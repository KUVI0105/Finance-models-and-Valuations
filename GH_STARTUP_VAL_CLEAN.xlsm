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b56b7cd70d4fd96/Documents/MY PROJECTS/"/>
    </mc:Choice>
  </mc:AlternateContent>
  <xr:revisionPtr revIDLastSave="1" documentId="8_{C6CE7169-E948-4B6A-A530-1283853CE9F1}" xr6:coauthVersionLast="47" xr6:coauthVersionMax="47" xr10:uidLastSave="{BFC73493-1C7A-437F-A846-E644ED8DF33F}"/>
  <bookViews>
    <workbookView minimized="1" xWindow="6348" yWindow="1392" windowWidth="13296" windowHeight="9168" tabRatio="688" activeTab="1" xr2:uid="{E980CCF0-2699-4E0C-A2C7-435609AD40C0}"/>
  </bookViews>
  <sheets>
    <sheet name="ASSUMPTIONS" sheetId="9" r:id="rId1"/>
    <sheet name="GIGA HEALTH" sheetId="1" r:id="rId2"/>
    <sheet name="GIGA EoR" sheetId="2" r:id="rId3"/>
    <sheet name="GIGA GPO" sheetId="3" r:id="rId4"/>
    <sheet name="GIGA FINANCE" sheetId="4" r:id="rId5"/>
    <sheet name="GIGA ADVISORY" sheetId="5" r:id="rId6"/>
    <sheet name="GIGA Rx" sheetId="6" r:id="rId7"/>
    <sheet name="EXEC." sheetId="8" r:id="rId8"/>
  </sheets>
  <externalReferences>
    <externalReference r:id="rId9"/>
    <externalReference r:id="rId10"/>
  </externalReferences>
  <definedNames>
    <definedName name="_xleta.CHOOSE" hidden="1" xlm="1">#NAME?</definedName>
    <definedName name="tax_rate">[1]Assumptions!$F$6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5" i="6" l="1"/>
  <c r="D33" i="9"/>
  <c r="D23" i="9"/>
  <c r="D15" i="9"/>
  <c r="D28" i="9" s="1"/>
  <c r="E88" i="8" l="1"/>
  <c r="G23" i="1" s="1"/>
  <c r="G17" i="6"/>
  <c r="E25" i="6" s="1"/>
  <c r="C17" i="6"/>
  <c r="G26" i="5"/>
  <c r="C26" i="5"/>
  <c r="G17" i="4"/>
  <c r="M26" i="4" s="1"/>
  <c r="C17" i="4"/>
  <c r="G7" i="3"/>
  <c r="C7" i="3"/>
  <c r="G26" i="2"/>
  <c r="D211" i="2" s="1"/>
  <c r="D222" i="2" s="1"/>
  <c r="D205" i="5"/>
  <c r="D209" i="4"/>
  <c r="D113" i="3"/>
  <c r="D253" i="2"/>
  <c r="D151" i="1"/>
  <c r="D75" i="8"/>
  <c r="E113" i="8" s="1"/>
  <c r="E112" i="8" s="1"/>
  <c r="D146" i="6"/>
  <c r="B88" i="8"/>
  <c r="E34" i="9" s="1"/>
  <c r="C23" i="1"/>
  <c r="D28" i="8"/>
  <c r="E28" i="8" s="1"/>
  <c r="F28" i="8" s="1"/>
  <c r="G28" i="8" s="1"/>
  <c r="H28" i="8" s="1"/>
  <c r="I28" i="8" s="1"/>
  <c r="J28" i="8" s="1"/>
  <c r="K28" i="8" s="1"/>
  <c r="L28" i="8" s="1"/>
  <c r="M28" i="8" s="1"/>
  <c r="N28" i="8" s="1"/>
  <c r="D71" i="3"/>
  <c r="D82" i="3" s="1"/>
  <c r="D68" i="3"/>
  <c r="E68" i="3" s="1"/>
  <c r="F68" i="3" s="1"/>
  <c r="G68" i="3" s="1"/>
  <c r="H68" i="3" s="1"/>
  <c r="I68" i="3" s="1"/>
  <c r="J68" i="3" s="1"/>
  <c r="K68" i="3" s="1"/>
  <c r="L68" i="3" s="1"/>
  <c r="M68" i="3" s="1"/>
  <c r="N68" i="3" s="1"/>
  <c r="X65" i="3"/>
  <c r="T23" i="3" s="1"/>
  <c r="U65" i="3"/>
  <c r="M28" i="3" s="1"/>
  <c r="S65" i="3"/>
  <c r="M23" i="3" s="1"/>
  <c r="Q65" i="3"/>
  <c r="F28" i="3" s="1"/>
  <c r="M64" i="3"/>
  <c r="Z64" i="3" s="1"/>
  <c r="M63" i="3"/>
  <c r="O63" i="3" s="1"/>
  <c r="AB63" i="3" s="1"/>
  <c r="M62" i="3"/>
  <c r="M65" i="3" s="1"/>
  <c r="S23" i="3"/>
  <c r="S22" i="3" s="1"/>
  <c r="F13" i="3"/>
  <c r="N116" i="6"/>
  <c r="M116" i="6"/>
  <c r="L116" i="6"/>
  <c r="K116" i="6"/>
  <c r="J116" i="6"/>
  <c r="I116" i="6"/>
  <c r="H116" i="6"/>
  <c r="G116" i="6"/>
  <c r="F116" i="6"/>
  <c r="E116" i="6"/>
  <c r="D116" i="6"/>
  <c r="N114" i="6"/>
  <c r="M114" i="6"/>
  <c r="L114" i="6"/>
  <c r="K114" i="6"/>
  <c r="J114" i="6"/>
  <c r="I114" i="6"/>
  <c r="H114" i="6"/>
  <c r="G114" i="6"/>
  <c r="F114" i="6"/>
  <c r="E114" i="6"/>
  <c r="D114" i="6"/>
  <c r="N112" i="6"/>
  <c r="M112" i="6"/>
  <c r="L112" i="6"/>
  <c r="K112" i="6"/>
  <c r="J112" i="6"/>
  <c r="I112" i="6"/>
  <c r="H112" i="6"/>
  <c r="G112" i="6"/>
  <c r="F112" i="6"/>
  <c r="E112" i="6"/>
  <c r="D112" i="6"/>
  <c r="D102" i="6"/>
  <c r="D117" i="6" s="1"/>
  <c r="D99" i="6"/>
  <c r="E99" i="6" s="1"/>
  <c r="F99" i="6" s="1"/>
  <c r="G99" i="6" s="1"/>
  <c r="H99" i="6" s="1"/>
  <c r="I99" i="6" s="1"/>
  <c r="J99" i="6" s="1"/>
  <c r="K99" i="6" s="1"/>
  <c r="L99" i="6" s="1"/>
  <c r="M99" i="6" s="1"/>
  <c r="N99" i="6" s="1"/>
  <c r="H96" i="6"/>
  <c r="J96" i="6" s="1"/>
  <c r="E96" i="6"/>
  <c r="B96" i="6" s="1"/>
  <c r="D96" i="6" s="1"/>
  <c r="J95" i="6"/>
  <c r="G95" i="6"/>
  <c r="G96" i="6" s="1"/>
  <c r="B95" i="6"/>
  <c r="D95" i="6" s="1"/>
  <c r="Q90" i="6"/>
  <c r="I90" i="6"/>
  <c r="K90" i="6" s="1"/>
  <c r="M41" i="6"/>
  <c r="M42" i="6" s="1"/>
  <c r="L41" i="6"/>
  <c r="L42" i="6" s="1"/>
  <c r="F41" i="6"/>
  <c r="F42" i="6" s="1"/>
  <c r="E41" i="6"/>
  <c r="E42" i="6" s="1"/>
  <c r="M36" i="6"/>
  <c r="M24" i="6" s="1"/>
  <c r="L36" i="6"/>
  <c r="L37" i="6" s="1"/>
  <c r="F36" i="6"/>
  <c r="F37" i="6" s="1"/>
  <c r="E36" i="6"/>
  <c r="E35" i="6" s="1"/>
  <c r="M22" i="6"/>
  <c r="F22" i="6"/>
  <c r="N175" i="5"/>
  <c r="M175" i="5"/>
  <c r="L175" i="5"/>
  <c r="K175" i="5"/>
  <c r="J175" i="5"/>
  <c r="I175" i="5"/>
  <c r="H175" i="5"/>
  <c r="G175" i="5"/>
  <c r="F175" i="5"/>
  <c r="E175" i="5"/>
  <c r="D175" i="5"/>
  <c r="N173" i="5"/>
  <c r="M173" i="5"/>
  <c r="L173" i="5"/>
  <c r="K173" i="5"/>
  <c r="J173" i="5"/>
  <c r="I173" i="5"/>
  <c r="H173" i="5"/>
  <c r="G173" i="5"/>
  <c r="F173" i="5"/>
  <c r="E173" i="5"/>
  <c r="D173" i="5"/>
  <c r="N171" i="5"/>
  <c r="M171" i="5"/>
  <c r="L171" i="5"/>
  <c r="K171" i="5"/>
  <c r="J171" i="5"/>
  <c r="I171" i="5"/>
  <c r="H171" i="5"/>
  <c r="G171" i="5"/>
  <c r="F171" i="5"/>
  <c r="E171" i="5"/>
  <c r="D171" i="5"/>
  <c r="D161" i="5"/>
  <c r="D174" i="5" s="1"/>
  <c r="D158" i="5"/>
  <c r="E158" i="5" s="1"/>
  <c r="F158" i="5" s="1"/>
  <c r="G158" i="5" s="1"/>
  <c r="H158" i="5" s="1"/>
  <c r="I158" i="5" s="1"/>
  <c r="J158" i="5" s="1"/>
  <c r="K158" i="5" s="1"/>
  <c r="L158" i="5" s="1"/>
  <c r="M158" i="5" s="1"/>
  <c r="N158" i="5" s="1"/>
  <c r="F148" i="5"/>
  <c r="H145" i="5"/>
  <c r="T145" i="5" s="1"/>
  <c r="V131" i="5"/>
  <c r="F134" i="5" s="1"/>
  <c r="H123" i="5"/>
  <c r="K122" i="5"/>
  <c r="N122" i="5" s="1"/>
  <c r="K121" i="5"/>
  <c r="N121" i="5" s="1"/>
  <c r="K120" i="5"/>
  <c r="N120" i="5" s="1"/>
  <c r="D101" i="5"/>
  <c r="D146" i="5" s="1"/>
  <c r="H146" i="5" s="1"/>
  <c r="F100" i="5"/>
  <c r="I100" i="5" s="1"/>
  <c r="F99" i="5"/>
  <c r="I99" i="5" s="1"/>
  <c r="F98" i="5"/>
  <c r="I98" i="5" s="1"/>
  <c r="AA50" i="5"/>
  <c r="Z50" i="5"/>
  <c r="T50" i="5"/>
  <c r="T51" i="5" s="1"/>
  <c r="S50" i="5"/>
  <c r="M50" i="5"/>
  <c r="L50" i="5"/>
  <c r="F50" i="5"/>
  <c r="E50" i="5"/>
  <c r="AA45" i="5"/>
  <c r="Z45" i="5"/>
  <c r="T45" i="5"/>
  <c r="S45" i="5"/>
  <c r="M45" i="5"/>
  <c r="L45" i="5"/>
  <c r="F45" i="5"/>
  <c r="E45" i="5"/>
  <c r="AA31" i="5"/>
  <c r="T31" i="5"/>
  <c r="M31" i="5"/>
  <c r="F31" i="5"/>
  <c r="N179" i="4"/>
  <c r="M179" i="4"/>
  <c r="L179" i="4"/>
  <c r="K179" i="4"/>
  <c r="J179" i="4"/>
  <c r="I179" i="4"/>
  <c r="H179" i="4"/>
  <c r="G179" i="4"/>
  <c r="F179" i="4"/>
  <c r="E179" i="4"/>
  <c r="D179" i="4"/>
  <c r="N177" i="4"/>
  <c r="M177" i="4"/>
  <c r="L177" i="4"/>
  <c r="K177" i="4"/>
  <c r="J177" i="4"/>
  <c r="I177" i="4"/>
  <c r="H177" i="4"/>
  <c r="G177" i="4"/>
  <c r="F177" i="4"/>
  <c r="E177" i="4"/>
  <c r="D177" i="4"/>
  <c r="N175" i="4"/>
  <c r="M175" i="4"/>
  <c r="L175" i="4"/>
  <c r="K175" i="4"/>
  <c r="J175" i="4"/>
  <c r="I175" i="4"/>
  <c r="H175" i="4"/>
  <c r="G175" i="4"/>
  <c r="F175" i="4"/>
  <c r="E175" i="4"/>
  <c r="D175" i="4"/>
  <c r="N173" i="4"/>
  <c r="M173" i="4"/>
  <c r="L173" i="4"/>
  <c r="K173" i="4"/>
  <c r="J173" i="4"/>
  <c r="I173" i="4"/>
  <c r="H173" i="4"/>
  <c r="G173" i="4"/>
  <c r="F173" i="4"/>
  <c r="E173" i="4"/>
  <c r="D173" i="4"/>
  <c r="D163" i="4"/>
  <c r="D172" i="4" s="1"/>
  <c r="D160" i="4"/>
  <c r="E160" i="4" s="1"/>
  <c r="F160" i="4" s="1"/>
  <c r="G160" i="4" s="1"/>
  <c r="H160" i="4" s="1"/>
  <c r="I160" i="4" s="1"/>
  <c r="J160" i="4" s="1"/>
  <c r="K160" i="4" s="1"/>
  <c r="L160" i="4" s="1"/>
  <c r="M160" i="4" s="1"/>
  <c r="N160" i="4" s="1"/>
  <c r="I157" i="4"/>
  <c r="M37" i="4" s="1"/>
  <c r="H149" i="4"/>
  <c r="K149" i="4" s="1"/>
  <c r="N149" i="4" s="1"/>
  <c r="H148" i="4"/>
  <c r="H147" i="4"/>
  <c r="K147" i="4" s="1"/>
  <c r="D144" i="4"/>
  <c r="G144" i="4" s="1"/>
  <c r="G153" i="4" s="1"/>
  <c r="I126" i="4"/>
  <c r="F37" i="4" s="1"/>
  <c r="P118" i="4"/>
  <c r="P117" i="4"/>
  <c r="P116" i="4"/>
  <c r="P115" i="4"/>
  <c r="P113" i="4"/>
  <c r="P112" i="4"/>
  <c r="P111" i="4"/>
  <c r="P110" i="4"/>
  <c r="P109" i="4"/>
  <c r="P108" i="4"/>
  <c r="P106" i="4"/>
  <c r="P105" i="4"/>
  <c r="P104" i="4"/>
  <c r="P103" i="4"/>
  <c r="P101" i="4"/>
  <c r="P100" i="4"/>
  <c r="E122" i="4" s="1"/>
  <c r="P99" i="4"/>
  <c r="P98" i="4"/>
  <c r="P97" i="4"/>
  <c r="L92" i="4"/>
  <c r="L91" i="4"/>
  <c r="L90" i="4"/>
  <c r="A122" i="4" s="1"/>
  <c r="M47" i="4"/>
  <c r="M46" i="4" s="1"/>
  <c r="L47" i="4"/>
  <c r="L48" i="4" s="1"/>
  <c r="F47" i="4"/>
  <c r="F48" i="4" s="1"/>
  <c r="E47" i="4"/>
  <c r="E46" i="4" s="1"/>
  <c r="F46" i="4"/>
  <c r="M42" i="4"/>
  <c r="M43" i="4" s="1"/>
  <c r="L42" i="4"/>
  <c r="L41" i="4" s="1"/>
  <c r="F42" i="4"/>
  <c r="F41" i="4" s="1"/>
  <c r="E42" i="4"/>
  <c r="E41" i="4" s="1"/>
  <c r="L37" i="4"/>
  <c r="L38" i="4" s="1"/>
  <c r="E37" i="4"/>
  <c r="E38" i="4" s="1"/>
  <c r="M22" i="4"/>
  <c r="F22" i="4"/>
  <c r="D208" i="2"/>
  <c r="E208" i="2" s="1"/>
  <c r="F208" i="2" s="1"/>
  <c r="G208" i="2" s="1"/>
  <c r="H208" i="2" s="1"/>
  <c r="I208" i="2" s="1"/>
  <c r="J208" i="2" s="1"/>
  <c r="K208" i="2" s="1"/>
  <c r="L208" i="2" s="1"/>
  <c r="M208" i="2" s="1"/>
  <c r="N208" i="2" s="1"/>
  <c r="AA204" i="2"/>
  <c r="T56" i="2" s="1"/>
  <c r="T55" i="2" s="1"/>
  <c r="V204" i="2"/>
  <c r="T61" i="2" s="1"/>
  <c r="L204" i="2"/>
  <c r="T51" i="2" s="1"/>
  <c r="H196" i="2"/>
  <c r="M196" i="2" s="1"/>
  <c r="R196" i="2" s="1"/>
  <c r="H195" i="2"/>
  <c r="M195" i="2" s="1"/>
  <c r="H189" i="2"/>
  <c r="M189" i="2" s="1"/>
  <c r="R189" i="2" s="1"/>
  <c r="H188" i="2"/>
  <c r="M188" i="2" s="1"/>
  <c r="R188" i="2" s="1"/>
  <c r="H187" i="2"/>
  <c r="M187" i="2" s="1"/>
  <c r="H181" i="2"/>
  <c r="M181" i="2" s="1"/>
  <c r="R181" i="2" s="1"/>
  <c r="H180" i="2"/>
  <c r="M180" i="2" s="1"/>
  <c r="R180" i="2" s="1"/>
  <c r="H179" i="2"/>
  <c r="M179" i="2" s="1"/>
  <c r="R179" i="2" s="1"/>
  <c r="H178" i="2"/>
  <c r="M178" i="2" s="1"/>
  <c r="R178" i="2" s="1"/>
  <c r="H177" i="2"/>
  <c r="M177" i="2" s="1"/>
  <c r="AA166" i="2"/>
  <c r="M56" i="2" s="1"/>
  <c r="V166" i="2"/>
  <c r="L166" i="2"/>
  <c r="M51" i="2" s="1"/>
  <c r="M50" i="2" s="1"/>
  <c r="I157" i="2"/>
  <c r="M157" i="2" s="1"/>
  <c r="I156" i="2"/>
  <c r="I155" i="2"/>
  <c r="M155" i="2" s="1"/>
  <c r="I149" i="2"/>
  <c r="M149" i="2" s="1"/>
  <c r="I148" i="2"/>
  <c r="I147" i="2"/>
  <c r="M147" i="2" s="1"/>
  <c r="I141" i="2"/>
  <c r="M141" i="2" s="1"/>
  <c r="I140" i="2"/>
  <c r="AA133" i="2"/>
  <c r="F56" i="2" s="1"/>
  <c r="V133" i="2"/>
  <c r="E61" i="2" s="1"/>
  <c r="E62" i="2" s="1"/>
  <c r="L133" i="2"/>
  <c r="E51" i="2" s="1"/>
  <c r="I122" i="2"/>
  <c r="M122" i="2" s="1"/>
  <c r="I121" i="2"/>
  <c r="L114" i="2"/>
  <c r="P114" i="2" s="1"/>
  <c r="L113" i="2"/>
  <c r="P113" i="2" s="1"/>
  <c r="H108" i="2"/>
  <c r="E108" i="2"/>
  <c r="K102" i="2"/>
  <c r="I102" i="2"/>
  <c r="G102" i="2"/>
  <c r="K101" i="2"/>
  <c r="I101" i="2"/>
  <c r="G101" i="2"/>
  <c r="K100" i="2"/>
  <c r="I100" i="2"/>
  <c r="G100" i="2"/>
  <c r="K99" i="2"/>
  <c r="I99" i="2"/>
  <c r="G99" i="2"/>
  <c r="E92" i="2"/>
  <c r="B92" i="2"/>
  <c r="E91" i="2"/>
  <c r="B91" i="2"/>
  <c r="E90" i="2"/>
  <c r="B90" i="2"/>
  <c r="M61" i="2"/>
  <c r="M62" i="2" s="1"/>
  <c r="L61" i="2"/>
  <c r="L62" i="2" s="1"/>
  <c r="T31" i="2"/>
  <c r="M31" i="2"/>
  <c r="F31" i="2"/>
  <c r="D109" i="1"/>
  <c r="E109" i="1" s="1"/>
  <c r="F109" i="1" s="1"/>
  <c r="G109" i="1" s="1"/>
  <c r="H109" i="1" s="1"/>
  <c r="I109" i="1" s="1"/>
  <c r="J109" i="1" s="1"/>
  <c r="K109" i="1" s="1"/>
  <c r="L109" i="1" s="1"/>
  <c r="M109" i="1" s="1"/>
  <c r="N109" i="1" s="1"/>
  <c r="U106" i="1"/>
  <c r="H106" i="1"/>
  <c r="T42" i="1" s="1"/>
  <c r="B106" i="1"/>
  <c r="T37" i="1" s="1"/>
  <c r="E105" i="1"/>
  <c r="N105" i="1" s="1"/>
  <c r="P105" i="1" s="1"/>
  <c r="AA105" i="1" s="1"/>
  <c r="E100" i="1"/>
  <c r="M42" i="1" s="1"/>
  <c r="B100" i="1"/>
  <c r="L99" i="1"/>
  <c r="M99" i="1" s="1"/>
  <c r="P99" i="1" s="1"/>
  <c r="P85" i="1"/>
  <c r="S85" i="1" s="1"/>
  <c r="AC85" i="1" s="1"/>
  <c r="P84" i="1"/>
  <c r="S84" i="1" s="1"/>
  <c r="AC84" i="1" s="1"/>
  <c r="P83" i="1"/>
  <c r="AA83" i="1" s="1"/>
  <c r="P82" i="1"/>
  <c r="S82" i="1" s="1"/>
  <c r="AC82" i="1" s="1"/>
  <c r="P81" i="1"/>
  <c r="S81" i="1" s="1"/>
  <c r="AA47" i="1"/>
  <c r="Z47" i="1"/>
  <c r="S47" i="1"/>
  <c r="M47" i="1"/>
  <c r="L47" i="1"/>
  <c r="L46" i="1" s="1"/>
  <c r="F47" i="1"/>
  <c r="F48" i="1" s="1"/>
  <c r="E47" i="1"/>
  <c r="AA42" i="1"/>
  <c r="AA41" i="1" s="1"/>
  <c r="Z42" i="1"/>
  <c r="Z43" i="1" s="1"/>
  <c r="S42" i="1"/>
  <c r="S43" i="1" s="1"/>
  <c r="L42" i="1"/>
  <c r="L43" i="1" s="1"/>
  <c r="F42" i="1"/>
  <c r="F43" i="1" s="1"/>
  <c r="E42" i="1"/>
  <c r="E43" i="1" s="1"/>
  <c r="Z37" i="1"/>
  <c r="Z38" i="1" s="1"/>
  <c r="S37" i="1"/>
  <c r="S38" i="1" s="1"/>
  <c r="M37" i="1"/>
  <c r="L37" i="1"/>
  <c r="L38" i="1" s="1"/>
  <c r="T28" i="1"/>
  <c r="M28" i="1"/>
  <c r="F28" i="1"/>
  <c r="S46" i="5" l="1"/>
  <c r="T46" i="5"/>
  <c r="Z46" i="5"/>
  <c r="AA46" i="5"/>
  <c r="E51" i="5"/>
  <c r="F51" i="5"/>
  <c r="L51" i="5"/>
  <c r="M51" i="5"/>
  <c r="S51" i="5"/>
  <c r="Z49" i="5"/>
  <c r="AA51" i="5"/>
  <c r="E46" i="5"/>
  <c r="F46" i="5"/>
  <c r="L46" i="5"/>
  <c r="M46" i="5"/>
  <c r="E24" i="4"/>
  <c r="L26" i="4"/>
  <c r="S34" i="5"/>
  <c r="E34" i="5"/>
  <c r="M25" i="4"/>
  <c r="F26" i="4"/>
  <c r="F51" i="2"/>
  <c r="F33" i="2" s="1"/>
  <c r="L24" i="6"/>
  <c r="S30" i="1"/>
  <c r="D112" i="1"/>
  <c r="D125" i="1" s="1"/>
  <c r="E30" i="1"/>
  <c r="M31" i="1"/>
  <c r="T30" i="1"/>
  <c r="M29" i="1"/>
  <c r="D32" i="9"/>
  <c r="E32" i="9"/>
  <c r="D34" i="9"/>
  <c r="Z46" i="1"/>
  <c r="F61" i="2"/>
  <c r="F62" i="2" s="1"/>
  <c r="L60" i="2"/>
  <c r="M60" i="2"/>
  <c r="I142" i="2"/>
  <c r="E11" i="2" s="1"/>
  <c r="E50" i="2"/>
  <c r="E33" i="2"/>
  <c r="I158" i="2"/>
  <c r="F165" i="2" s="1"/>
  <c r="N165" i="2" s="1"/>
  <c r="X165" i="2" s="1"/>
  <c r="M35" i="2"/>
  <c r="E35" i="2"/>
  <c r="L35" i="2"/>
  <c r="L51" i="2"/>
  <c r="L50" i="2" s="1"/>
  <c r="E60" i="2"/>
  <c r="M36" i="1"/>
  <c r="S36" i="1"/>
  <c r="T31" i="1"/>
  <c r="L48" i="1"/>
  <c r="L31" i="1"/>
  <c r="M38" i="1"/>
  <c r="F30" i="1"/>
  <c r="L30" i="1"/>
  <c r="N100" i="2"/>
  <c r="Q100" i="2" s="1"/>
  <c r="M48" i="1"/>
  <c r="Z48" i="1"/>
  <c r="Z36" i="1"/>
  <c r="L36" i="1"/>
  <c r="E46" i="1"/>
  <c r="AA48" i="1"/>
  <c r="F46" i="1"/>
  <c r="AA43" i="1"/>
  <c r="L29" i="1"/>
  <c r="AA37" i="1"/>
  <c r="AA38" i="1" s="1"/>
  <c r="M46" i="1"/>
  <c r="AA82" i="1"/>
  <c r="AA46" i="1"/>
  <c r="N90" i="2"/>
  <c r="P90" i="2" s="1"/>
  <c r="E52" i="2"/>
  <c r="K148" i="4"/>
  <c r="N148" i="4" s="1"/>
  <c r="L24" i="4"/>
  <c r="E26" i="4"/>
  <c r="E36" i="4"/>
  <c r="L36" i="4"/>
  <c r="Z34" i="5"/>
  <c r="N145" i="5"/>
  <c r="F152" i="5" s="1"/>
  <c r="Z51" i="5"/>
  <c r="D170" i="5"/>
  <c r="D176" i="5"/>
  <c r="D182" i="5"/>
  <c r="D191" i="5"/>
  <c r="S49" i="5"/>
  <c r="M37" i="6"/>
  <c r="D105" i="6"/>
  <c r="D132" i="6"/>
  <c r="D115" i="6"/>
  <c r="F35" i="6"/>
  <c r="L35" i="6"/>
  <c r="M35" i="6"/>
  <c r="E114" i="8"/>
  <c r="T60" i="2"/>
  <c r="T35" i="2"/>
  <c r="T50" i="2"/>
  <c r="T33" i="2"/>
  <c r="S51" i="2"/>
  <c r="S52" i="2" s="1"/>
  <c r="I150" i="2"/>
  <c r="N91" i="2"/>
  <c r="P91" i="2" s="1"/>
  <c r="L108" i="2"/>
  <c r="O108" i="2" s="1"/>
  <c r="F60" i="2"/>
  <c r="N92" i="2"/>
  <c r="P92" i="2" s="1"/>
  <c r="T34" i="2"/>
  <c r="L115" i="2"/>
  <c r="F131" i="2" s="1"/>
  <c r="N131" i="2" s="1"/>
  <c r="X131" i="2" s="1"/>
  <c r="I123" i="2"/>
  <c r="F132" i="2" s="1"/>
  <c r="N132" i="2" s="1"/>
  <c r="X132" i="2" s="1"/>
  <c r="F35" i="2"/>
  <c r="M121" i="2"/>
  <c r="M123" i="2" s="1"/>
  <c r="G8" i="2" s="1"/>
  <c r="S61" i="2"/>
  <c r="S60" i="2" s="1"/>
  <c r="M156" i="2"/>
  <c r="M158" i="2" s="1"/>
  <c r="E7" i="2"/>
  <c r="F57" i="2"/>
  <c r="F34" i="2"/>
  <c r="M190" i="2"/>
  <c r="F202" i="2" s="1"/>
  <c r="N202" i="2" s="1"/>
  <c r="X202" i="2" s="1"/>
  <c r="T57" i="2"/>
  <c r="T62" i="2"/>
  <c r="M140" i="2"/>
  <c r="M142" i="2" s="1"/>
  <c r="N102" i="2"/>
  <c r="Q102" i="2" s="1"/>
  <c r="N99" i="2"/>
  <c r="P115" i="2"/>
  <c r="I131" i="2" s="1"/>
  <c r="R131" i="2" s="1"/>
  <c r="AC131" i="2" s="1"/>
  <c r="F52" i="2"/>
  <c r="N101" i="2"/>
  <c r="Q101" i="2" s="1"/>
  <c r="O62" i="3"/>
  <c r="Z62" i="3"/>
  <c r="Z65" i="3" s="1"/>
  <c r="Z63" i="3"/>
  <c r="L46" i="4"/>
  <c r="D174" i="4"/>
  <c r="E48" i="4"/>
  <c r="D195" i="4"/>
  <c r="E163" i="4"/>
  <c r="E174" i="4" s="1"/>
  <c r="I122" i="4"/>
  <c r="M122" i="4" s="1"/>
  <c r="C126" i="4" s="1"/>
  <c r="M41" i="4"/>
  <c r="D178" i="4"/>
  <c r="F33" i="5"/>
  <c r="E49" i="5"/>
  <c r="F34" i="5"/>
  <c r="F49" i="5"/>
  <c r="L34" i="5"/>
  <c r="L49" i="5"/>
  <c r="M34" i="5"/>
  <c r="M49" i="5"/>
  <c r="D147" i="5"/>
  <c r="H147" i="5" s="1"/>
  <c r="H148" i="5" s="1"/>
  <c r="Z40" i="5" s="1"/>
  <c r="T34" i="5"/>
  <c r="T49" i="5"/>
  <c r="AA34" i="5"/>
  <c r="AA49" i="5"/>
  <c r="D164" i="5"/>
  <c r="D167" i="5" s="1"/>
  <c r="D168" i="5" s="1"/>
  <c r="E24" i="6"/>
  <c r="F24" i="6"/>
  <c r="E37" i="6"/>
  <c r="L25" i="6"/>
  <c r="E40" i="6"/>
  <c r="D108" i="6"/>
  <c r="D109" i="6" s="1"/>
  <c r="M25" i="6"/>
  <c r="L40" i="6"/>
  <c r="E31" i="6"/>
  <c r="E23" i="6" s="1"/>
  <c r="M40" i="6"/>
  <c r="E23" i="3"/>
  <c r="C4" i="3"/>
  <c r="E9" i="8" s="1"/>
  <c r="M22" i="3"/>
  <c r="M24" i="3"/>
  <c r="F16" i="3"/>
  <c r="T22" i="3"/>
  <c r="F17" i="3"/>
  <c r="T24" i="3"/>
  <c r="F29" i="3"/>
  <c r="F15" i="3"/>
  <c r="F27" i="3"/>
  <c r="M27" i="3"/>
  <c r="M29" i="3"/>
  <c r="E71" i="3"/>
  <c r="D80" i="3"/>
  <c r="AB62" i="3"/>
  <c r="D99" i="3"/>
  <c r="S24" i="3"/>
  <c r="E17" i="3"/>
  <c r="D84" i="3"/>
  <c r="D90" i="3"/>
  <c r="D96" i="3"/>
  <c r="O64" i="3"/>
  <c r="AB64" i="3" s="1"/>
  <c r="E28" i="3"/>
  <c r="D74" i="3"/>
  <c r="D77" i="3" s="1"/>
  <c r="L23" i="3"/>
  <c r="L31" i="6"/>
  <c r="P96" i="6"/>
  <c r="G8" i="6"/>
  <c r="M31" i="6"/>
  <c r="F31" i="6"/>
  <c r="S90" i="6"/>
  <c r="F25" i="6"/>
  <c r="F40" i="6"/>
  <c r="D111" i="6"/>
  <c r="D123" i="6"/>
  <c r="D129" i="6"/>
  <c r="E102" i="6"/>
  <c r="D113" i="6"/>
  <c r="W98" i="5"/>
  <c r="P98" i="5"/>
  <c r="I101" i="5"/>
  <c r="E40" i="5" s="1"/>
  <c r="W99" i="5"/>
  <c r="P99" i="5"/>
  <c r="Y99" i="5" s="1"/>
  <c r="T146" i="5"/>
  <c r="N146" i="5"/>
  <c r="AA120" i="5"/>
  <c r="U120" i="5"/>
  <c r="N123" i="5"/>
  <c r="L40" i="5" s="1"/>
  <c r="U121" i="5"/>
  <c r="AC121" i="5" s="1"/>
  <c r="AA121" i="5"/>
  <c r="W100" i="5"/>
  <c r="P100" i="5"/>
  <c r="Y100" i="5" s="1"/>
  <c r="AA122" i="5"/>
  <c r="U122" i="5"/>
  <c r="AC122" i="5" s="1"/>
  <c r="A134" i="5"/>
  <c r="I134" i="5" s="1"/>
  <c r="E33" i="5"/>
  <c r="E44" i="5"/>
  <c r="F101" i="5"/>
  <c r="F44" i="5"/>
  <c r="L33" i="5"/>
  <c r="L44" i="5"/>
  <c r="M33" i="5"/>
  <c r="M44" i="5"/>
  <c r="D188" i="5"/>
  <c r="S33" i="5"/>
  <c r="S44" i="5"/>
  <c r="V145" i="5"/>
  <c r="E161" i="5"/>
  <c r="T33" i="5"/>
  <c r="T44" i="5"/>
  <c r="K123" i="5"/>
  <c r="D172" i="5"/>
  <c r="Z33" i="5"/>
  <c r="Z44" i="5"/>
  <c r="AA33" i="5"/>
  <c r="AA44" i="5"/>
  <c r="F38" i="4"/>
  <c r="F24" i="4"/>
  <c r="F36" i="4"/>
  <c r="N147" i="4"/>
  <c r="M38" i="4"/>
  <c r="M24" i="4"/>
  <c r="M36" i="4"/>
  <c r="M48" i="4"/>
  <c r="E43" i="4"/>
  <c r="F163" i="4"/>
  <c r="E195" i="4"/>
  <c r="F43" i="4"/>
  <c r="L43" i="4"/>
  <c r="D180" i="4"/>
  <c r="E180" i="4"/>
  <c r="D186" i="4"/>
  <c r="E25" i="4"/>
  <c r="D192" i="4"/>
  <c r="F25" i="4"/>
  <c r="L25" i="4"/>
  <c r="D176" i="4"/>
  <c r="E176" i="4"/>
  <c r="D166" i="4"/>
  <c r="D169" i="4" s="1"/>
  <c r="F163" i="2"/>
  <c r="F164" i="2"/>
  <c r="N164" i="2" s="1"/>
  <c r="X164" i="2" s="1"/>
  <c r="E12" i="2"/>
  <c r="M197" i="2"/>
  <c r="R195" i="2"/>
  <c r="R197" i="2" s="1"/>
  <c r="M57" i="2"/>
  <c r="M55" i="2"/>
  <c r="M34" i="2"/>
  <c r="R177" i="2"/>
  <c r="R182" i="2" s="1"/>
  <c r="M182" i="2"/>
  <c r="M33" i="2"/>
  <c r="E211" i="2"/>
  <c r="D220" i="2"/>
  <c r="D239" i="2"/>
  <c r="M52" i="2"/>
  <c r="R187" i="2"/>
  <c r="R190" i="2" s="1"/>
  <c r="D224" i="2"/>
  <c r="F50" i="2"/>
  <c r="T52" i="2"/>
  <c r="D230" i="2"/>
  <c r="F55" i="2"/>
  <c r="D236" i="2"/>
  <c r="M148" i="2"/>
  <c r="M150" i="2" s="1"/>
  <c r="D214" i="2"/>
  <c r="D217" i="2" s="1"/>
  <c r="T43" i="1"/>
  <c r="T41" i="1"/>
  <c r="M43" i="1"/>
  <c r="M41" i="1"/>
  <c r="M30" i="1"/>
  <c r="T38" i="1"/>
  <c r="T36" i="1"/>
  <c r="AC81" i="1"/>
  <c r="AA84" i="1"/>
  <c r="L100" i="1"/>
  <c r="M100" i="1" s="1"/>
  <c r="P100" i="1" s="1"/>
  <c r="F31" i="1"/>
  <c r="AA81" i="1"/>
  <c r="AA85" i="1"/>
  <c r="P86" i="1"/>
  <c r="E37" i="1" s="1"/>
  <c r="E31" i="1"/>
  <c r="S31" i="1"/>
  <c r="E41" i="1"/>
  <c r="E106" i="1"/>
  <c r="N106" i="1" s="1"/>
  <c r="P106" i="1" s="1"/>
  <c r="AA106" i="1" s="1"/>
  <c r="L41" i="1"/>
  <c r="F41" i="1"/>
  <c r="S29" i="1"/>
  <c r="S41" i="1"/>
  <c r="S83" i="1"/>
  <c r="AC83" i="1" s="1"/>
  <c r="E48" i="1"/>
  <c r="Z41" i="1"/>
  <c r="G8" i="1" l="1"/>
  <c r="D112" i="3"/>
  <c r="D145" i="6"/>
  <c r="D208" i="4"/>
  <c r="D150" i="1"/>
  <c r="D252" i="2"/>
  <c r="D74" i="8"/>
  <c r="E108" i="8" s="1"/>
  <c r="D204" i="5"/>
  <c r="A126" i="4"/>
  <c r="E186" i="4"/>
  <c r="A153" i="4"/>
  <c r="S153" i="4" s="1"/>
  <c r="E112" i="1"/>
  <c r="E31" i="8" s="1"/>
  <c r="D134" i="1"/>
  <c r="D31" i="8"/>
  <c r="D52" i="8" s="1"/>
  <c r="D115" i="1"/>
  <c r="D118" i="1" s="1"/>
  <c r="D119" i="1" s="1"/>
  <c r="D123" i="1"/>
  <c r="D42" i="8" s="1"/>
  <c r="D43" i="8" s="1"/>
  <c r="D121" i="1"/>
  <c r="L32" i="1"/>
  <c r="E9" i="1" s="1"/>
  <c r="D137" i="1"/>
  <c r="D61" i="8" s="1"/>
  <c r="D128" i="1"/>
  <c r="E13" i="2"/>
  <c r="E17" i="2"/>
  <c r="L52" i="2"/>
  <c r="L33" i="2"/>
  <c r="AA86" i="1"/>
  <c r="E8" i="1"/>
  <c r="I8" i="1" s="1"/>
  <c r="T29" i="1"/>
  <c r="G13" i="1" s="1"/>
  <c r="M32" i="1"/>
  <c r="G9" i="1" s="1"/>
  <c r="AA36" i="1"/>
  <c r="G13" i="2"/>
  <c r="I165" i="2"/>
  <c r="R165" i="2" s="1"/>
  <c r="AC165" i="2" s="1"/>
  <c r="D58" i="8"/>
  <c r="E8" i="2"/>
  <c r="D44" i="8"/>
  <c r="D40" i="8"/>
  <c r="N147" i="5"/>
  <c r="F154" i="5" s="1"/>
  <c r="T147" i="5"/>
  <c r="T148" i="5" s="1"/>
  <c r="D126" i="6"/>
  <c r="D127" i="6" s="1"/>
  <c r="N103" i="2"/>
  <c r="E5" i="2" s="1"/>
  <c r="G7" i="2"/>
  <c r="P93" i="2"/>
  <c r="G4" i="2" s="1"/>
  <c r="S50" i="2"/>
  <c r="S33" i="2"/>
  <c r="F130" i="2"/>
  <c r="N130" i="2" s="1"/>
  <c r="X130" i="2" s="1"/>
  <c r="I132" i="2"/>
  <c r="R132" i="2" s="1"/>
  <c r="AC132" i="2" s="1"/>
  <c r="E6" i="2"/>
  <c r="N93" i="2"/>
  <c r="F128" i="2" s="1"/>
  <c r="N128" i="2" s="1"/>
  <c r="X128" i="2" s="1"/>
  <c r="S35" i="2"/>
  <c r="S62" i="2"/>
  <c r="Q99" i="2"/>
  <c r="Q103" i="2" s="1"/>
  <c r="G5" i="2" s="1"/>
  <c r="E166" i="4"/>
  <c r="E169" i="4" s="1"/>
  <c r="E170" i="4" s="1"/>
  <c r="E172" i="4"/>
  <c r="E192" i="4"/>
  <c r="E178" i="4"/>
  <c r="D185" i="5"/>
  <c r="D194" i="5" s="1"/>
  <c r="AA123" i="5"/>
  <c r="D120" i="6"/>
  <c r="D121" i="6" s="1"/>
  <c r="E30" i="6"/>
  <c r="E32" i="6"/>
  <c r="D87" i="3"/>
  <c r="D88" i="3" s="1"/>
  <c r="D93" i="3"/>
  <c r="L22" i="3"/>
  <c r="L24" i="3"/>
  <c r="E16" i="3"/>
  <c r="E29" i="3"/>
  <c r="E15" i="3"/>
  <c r="E27" i="3"/>
  <c r="E82" i="3"/>
  <c r="E74" i="3"/>
  <c r="E77" i="3" s="1"/>
  <c r="E80" i="3"/>
  <c r="E96" i="3"/>
  <c r="E90" i="3"/>
  <c r="E84" i="3"/>
  <c r="F71" i="3"/>
  <c r="E99" i="3"/>
  <c r="AB65" i="3"/>
  <c r="E14" i="3"/>
  <c r="E24" i="3"/>
  <c r="E22" i="3"/>
  <c r="O65" i="3"/>
  <c r="E26" i="6"/>
  <c r="E5" i="6" s="1"/>
  <c r="E4" i="6"/>
  <c r="F30" i="6"/>
  <c r="F23" i="6"/>
  <c r="F32" i="6"/>
  <c r="M30" i="6"/>
  <c r="M23" i="6"/>
  <c r="M26" i="6" s="1"/>
  <c r="G9" i="6" s="1"/>
  <c r="M32" i="6"/>
  <c r="L30" i="6"/>
  <c r="L23" i="6"/>
  <c r="L32" i="6"/>
  <c r="E113" i="6"/>
  <c r="F102" i="6"/>
  <c r="E129" i="6"/>
  <c r="E123" i="6"/>
  <c r="E117" i="6"/>
  <c r="E111" i="6"/>
  <c r="E132" i="6"/>
  <c r="E105" i="6"/>
  <c r="E115" i="6"/>
  <c r="E108" i="6"/>
  <c r="E41" i="5"/>
  <c r="E39" i="5"/>
  <c r="E32" i="5"/>
  <c r="M134" i="5"/>
  <c r="S40" i="5"/>
  <c r="S134" i="5"/>
  <c r="Y98" i="5"/>
  <c r="Y101" i="5" s="1"/>
  <c r="P101" i="5"/>
  <c r="F40" i="5" s="1"/>
  <c r="Z41" i="5"/>
  <c r="Z32" i="5"/>
  <c r="Z39" i="5"/>
  <c r="D179" i="5"/>
  <c r="D180" i="5" s="1"/>
  <c r="W101" i="5"/>
  <c r="AC120" i="5"/>
  <c r="AC123" i="5" s="1"/>
  <c r="U123" i="5"/>
  <c r="M40" i="5" s="1"/>
  <c r="E172" i="5"/>
  <c r="F161" i="5"/>
  <c r="E188" i="5"/>
  <c r="E182" i="5"/>
  <c r="E176" i="5"/>
  <c r="E170" i="5"/>
  <c r="E191" i="5"/>
  <c r="E164" i="5"/>
  <c r="E174" i="5"/>
  <c r="E167" i="5"/>
  <c r="L41" i="5"/>
  <c r="L39" i="5"/>
  <c r="L32" i="5"/>
  <c r="V146" i="5"/>
  <c r="F153" i="5"/>
  <c r="D170" i="4"/>
  <c r="D189" i="4"/>
  <c r="D183" i="4"/>
  <c r="D184" i="4" s="1"/>
  <c r="E32" i="4"/>
  <c r="T126" i="4"/>
  <c r="F176" i="4"/>
  <c r="F192" i="4"/>
  <c r="F186" i="4"/>
  <c r="F166" i="4"/>
  <c r="F169" i="4" s="1"/>
  <c r="F180" i="4"/>
  <c r="F174" i="4"/>
  <c r="F195" i="4"/>
  <c r="G163" i="4"/>
  <c r="F178" i="4"/>
  <c r="F172" i="4"/>
  <c r="F32" i="4"/>
  <c r="V126" i="4"/>
  <c r="A157" i="4"/>
  <c r="W153" i="4"/>
  <c r="C157" i="4" s="1"/>
  <c r="D233" i="2"/>
  <c r="D227" i="2"/>
  <c r="D228" i="2" s="1"/>
  <c r="I164" i="2"/>
  <c r="R164" i="2" s="1"/>
  <c r="AC164" i="2" s="1"/>
  <c r="G12" i="2"/>
  <c r="F166" i="2"/>
  <c r="L41" i="2" s="1"/>
  <c r="N163" i="2"/>
  <c r="G11" i="2"/>
  <c r="I163" i="2"/>
  <c r="F201" i="2"/>
  <c r="E16" i="2"/>
  <c r="I202" i="2"/>
  <c r="R202" i="2" s="1"/>
  <c r="AC202" i="2" s="1"/>
  <c r="G17" i="2"/>
  <c r="E222" i="2"/>
  <c r="E214" i="2"/>
  <c r="E217" i="2" s="1"/>
  <c r="E236" i="2"/>
  <c r="E230" i="2"/>
  <c r="E224" i="2"/>
  <c r="E239" i="2"/>
  <c r="E220" i="2"/>
  <c r="F211" i="2"/>
  <c r="G18" i="2"/>
  <c r="I203" i="2"/>
  <c r="R203" i="2" s="1"/>
  <c r="AC203" i="2" s="1"/>
  <c r="E14" i="2"/>
  <c r="I201" i="2"/>
  <c r="G16" i="2"/>
  <c r="E18" i="2"/>
  <c r="F203" i="2"/>
  <c r="N203" i="2" s="1"/>
  <c r="X203" i="2" s="1"/>
  <c r="I130" i="2"/>
  <c r="R130" i="2" s="1"/>
  <c r="AC130" i="2" s="1"/>
  <c r="G6" i="2"/>
  <c r="AC86" i="1"/>
  <c r="S32" i="1"/>
  <c r="E14" i="1" s="1"/>
  <c r="E13" i="1"/>
  <c r="S86" i="1"/>
  <c r="F37" i="1" s="1"/>
  <c r="E38" i="1"/>
  <c r="E29" i="1"/>
  <c r="E36" i="1"/>
  <c r="E123" i="1" l="1"/>
  <c r="E115" i="1"/>
  <c r="E118" i="1" s="1"/>
  <c r="E134" i="1"/>
  <c r="E125" i="1"/>
  <c r="D41" i="8"/>
  <c r="D131" i="1"/>
  <c r="D62" i="8"/>
  <c r="D34" i="8"/>
  <c r="D35" i="8" s="1"/>
  <c r="D45" i="8"/>
  <c r="E200" i="5"/>
  <c r="K200" i="5"/>
  <c r="M200" i="5"/>
  <c r="J200" i="5"/>
  <c r="G200" i="5"/>
  <c r="H200" i="5"/>
  <c r="D200" i="5"/>
  <c r="L200" i="5"/>
  <c r="I200" i="5"/>
  <c r="F200" i="5"/>
  <c r="N200" i="5"/>
  <c r="E107" i="8"/>
  <c r="E109" i="8"/>
  <c r="E95" i="8" s="1"/>
  <c r="H204" i="4"/>
  <c r="N204" i="4"/>
  <c r="I204" i="4"/>
  <c r="E204" i="4"/>
  <c r="M204" i="4"/>
  <c r="J204" i="4"/>
  <c r="D204" i="4"/>
  <c r="L204" i="4"/>
  <c r="G204" i="4"/>
  <c r="K204" i="4"/>
  <c r="F204" i="4"/>
  <c r="E141" i="6"/>
  <c r="L141" i="6"/>
  <c r="N141" i="6"/>
  <c r="K141" i="6"/>
  <c r="F141" i="6"/>
  <c r="I141" i="6"/>
  <c r="D141" i="6"/>
  <c r="H141" i="6"/>
  <c r="M141" i="6"/>
  <c r="J141" i="6"/>
  <c r="G141" i="6"/>
  <c r="K108" i="3"/>
  <c r="J108" i="3"/>
  <c r="H108" i="3"/>
  <c r="I108" i="3"/>
  <c r="D108" i="3"/>
  <c r="M108" i="3"/>
  <c r="G108" i="3"/>
  <c r="L108" i="3"/>
  <c r="F108" i="3"/>
  <c r="E108" i="3"/>
  <c r="N108" i="3"/>
  <c r="D59" i="8"/>
  <c r="E121" i="1"/>
  <c r="E128" i="1"/>
  <c r="E131" i="1" s="1"/>
  <c r="F112" i="1"/>
  <c r="F125" i="1" s="1"/>
  <c r="E137" i="1"/>
  <c r="E61" i="8" s="1"/>
  <c r="E62" i="8" s="1"/>
  <c r="E32" i="8"/>
  <c r="N148" i="5"/>
  <c r="V147" i="5"/>
  <c r="V148" i="5" s="1"/>
  <c r="F31" i="8"/>
  <c r="F32" i="8" s="1"/>
  <c r="E10" i="1"/>
  <c r="I9" i="1"/>
  <c r="T32" i="1"/>
  <c r="G14" i="1" s="1"/>
  <c r="I14" i="1" s="1"/>
  <c r="D135" i="6"/>
  <c r="D138" i="6" s="1"/>
  <c r="I13" i="1"/>
  <c r="G10" i="1"/>
  <c r="I128" i="2"/>
  <c r="R128" i="2" s="1"/>
  <c r="AC128" i="2" s="1"/>
  <c r="F129" i="2"/>
  <c r="N129" i="2" s="1"/>
  <c r="E15" i="1"/>
  <c r="D47" i="8"/>
  <c r="D37" i="8"/>
  <c r="D38" i="8" s="1"/>
  <c r="I129" i="2"/>
  <c r="I133" i="2" s="1"/>
  <c r="F41" i="2" s="1"/>
  <c r="E4" i="2"/>
  <c r="E9" i="2" s="1"/>
  <c r="G14" i="2"/>
  <c r="E40" i="8"/>
  <c r="E41" i="8" s="1"/>
  <c r="E52" i="8"/>
  <c r="E34" i="8"/>
  <c r="E35" i="8" s="1"/>
  <c r="E58" i="8"/>
  <c r="E59" i="8" s="1"/>
  <c r="E42" i="8"/>
  <c r="E43" i="8" s="1"/>
  <c r="E183" i="4"/>
  <c r="E184" i="4" s="1"/>
  <c r="D46" i="8"/>
  <c r="E189" i="4"/>
  <c r="D197" i="5"/>
  <c r="D198" i="5" s="1"/>
  <c r="D186" i="5"/>
  <c r="E44" i="8"/>
  <c r="E45" i="8" s="1"/>
  <c r="E19" i="2"/>
  <c r="E87" i="3"/>
  <c r="E88" i="3" s="1"/>
  <c r="E93" i="3"/>
  <c r="F23" i="3"/>
  <c r="E4" i="3"/>
  <c r="G9" i="8" s="1"/>
  <c r="I9" i="8" s="1"/>
  <c r="G71" i="3"/>
  <c r="F82" i="3"/>
  <c r="F74" i="3"/>
  <c r="F96" i="3"/>
  <c r="F90" i="3"/>
  <c r="F84" i="3"/>
  <c r="F80" i="3"/>
  <c r="F77" i="3"/>
  <c r="F99" i="3"/>
  <c r="E18" i="3"/>
  <c r="C5" i="3" s="1"/>
  <c r="E10" i="8" s="1"/>
  <c r="D102" i="3"/>
  <c r="D105" i="3" s="1"/>
  <c r="D94" i="3"/>
  <c r="F26" i="6"/>
  <c r="G5" i="6" s="1"/>
  <c r="G19" i="8" s="1"/>
  <c r="G4" i="6"/>
  <c r="G18" i="8" s="1"/>
  <c r="E109" i="6"/>
  <c r="E126" i="6"/>
  <c r="E120" i="6"/>
  <c r="E121" i="6" s="1"/>
  <c r="E6" i="6"/>
  <c r="D139" i="6"/>
  <c r="L26" i="6"/>
  <c r="E9" i="6" s="1"/>
  <c r="E19" i="8" s="1"/>
  <c r="E8" i="6"/>
  <c r="I8" i="6" s="1"/>
  <c r="G10" i="6"/>
  <c r="F111" i="6"/>
  <c r="F113" i="6"/>
  <c r="G102" i="6"/>
  <c r="F129" i="6"/>
  <c r="F123" i="6"/>
  <c r="F117" i="6"/>
  <c r="F132" i="6"/>
  <c r="F105" i="6"/>
  <c r="F115" i="6"/>
  <c r="F108" i="6"/>
  <c r="Z35" i="5"/>
  <c r="E18" i="5" s="1"/>
  <c r="E17" i="5"/>
  <c r="M41" i="5"/>
  <c r="M39" i="5"/>
  <c r="M32" i="5"/>
  <c r="F41" i="5"/>
  <c r="F39" i="5"/>
  <c r="F32" i="5"/>
  <c r="E185" i="5"/>
  <c r="E168" i="5"/>
  <c r="E179" i="5"/>
  <c r="E180" i="5" s="1"/>
  <c r="S39" i="5"/>
  <c r="S41" i="5"/>
  <c r="S32" i="5"/>
  <c r="E35" i="5"/>
  <c r="E5" i="5" s="1"/>
  <c r="E4" i="5"/>
  <c r="E8" i="5"/>
  <c r="L35" i="5"/>
  <c r="E9" i="5" s="1"/>
  <c r="T40" i="5"/>
  <c r="U134" i="5"/>
  <c r="F172" i="5"/>
  <c r="G161" i="5"/>
  <c r="F188" i="5"/>
  <c r="F182" i="5"/>
  <c r="F176" i="5"/>
  <c r="F170" i="5"/>
  <c r="F191" i="5"/>
  <c r="F164" i="5"/>
  <c r="F174" i="5"/>
  <c r="F167" i="5"/>
  <c r="F170" i="4"/>
  <c r="F189" i="4"/>
  <c r="F183" i="4"/>
  <c r="F184" i="4" s="1"/>
  <c r="E190" i="4"/>
  <c r="E198" i="4"/>
  <c r="E201" i="4" s="1"/>
  <c r="F33" i="4"/>
  <c r="F31" i="4"/>
  <c r="F23" i="4"/>
  <c r="E33" i="4"/>
  <c r="E31" i="4"/>
  <c r="E23" i="4"/>
  <c r="M32" i="4"/>
  <c r="V157" i="4"/>
  <c r="D198" i="4"/>
  <c r="D201" i="4" s="1"/>
  <c r="D190" i="4"/>
  <c r="L32" i="4"/>
  <c r="T157" i="4"/>
  <c r="G176" i="4"/>
  <c r="G192" i="4"/>
  <c r="G186" i="4"/>
  <c r="G180" i="4"/>
  <c r="G174" i="4"/>
  <c r="G195" i="4"/>
  <c r="H163" i="4"/>
  <c r="G178" i="4"/>
  <c r="G172" i="4"/>
  <c r="G166" i="4"/>
  <c r="G169" i="4" s="1"/>
  <c r="F222" i="2"/>
  <c r="F214" i="2"/>
  <c r="F217" i="2" s="1"/>
  <c r="F236" i="2"/>
  <c r="F230" i="2"/>
  <c r="F224" i="2"/>
  <c r="F239" i="2"/>
  <c r="F220" i="2"/>
  <c r="G211" i="2"/>
  <c r="F204" i="2"/>
  <c r="S41" i="2" s="1"/>
  <c r="N201" i="2"/>
  <c r="N166" i="2"/>
  <c r="X166" i="2" s="1"/>
  <c r="X167" i="2" s="1"/>
  <c r="X163" i="2"/>
  <c r="L46" i="2"/>
  <c r="L40" i="2"/>
  <c r="L42" i="2"/>
  <c r="G19" i="2"/>
  <c r="E233" i="2"/>
  <c r="E227" i="2"/>
  <c r="E228" i="2" s="1"/>
  <c r="I166" i="2"/>
  <c r="M41" i="2" s="1"/>
  <c r="R163" i="2"/>
  <c r="I204" i="2"/>
  <c r="T41" i="2" s="1"/>
  <c r="R201" i="2"/>
  <c r="G9" i="2"/>
  <c r="D242" i="2"/>
  <c r="D245" i="2" s="1"/>
  <c r="D234" i="2"/>
  <c r="E32" i="1"/>
  <c r="E5" i="1" s="1"/>
  <c r="E4" i="8" s="1"/>
  <c r="E4" i="1"/>
  <c r="D140" i="1"/>
  <c r="D143" i="1" s="1"/>
  <c r="D132" i="1"/>
  <c r="F36" i="1"/>
  <c r="F29" i="1"/>
  <c r="F38" i="1"/>
  <c r="E119" i="1"/>
  <c r="F128" i="1" l="1"/>
  <c r="F137" i="1"/>
  <c r="F61" i="8" s="1"/>
  <c r="F62" i="8" s="1"/>
  <c r="F115" i="1"/>
  <c r="F118" i="1" s="1"/>
  <c r="F121" i="1"/>
  <c r="F134" i="1"/>
  <c r="F123" i="1"/>
  <c r="G112" i="1"/>
  <c r="G115" i="1" s="1"/>
  <c r="G118" i="1" s="1"/>
  <c r="G15" i="1"/>
  <c r="I9" i="6"/>
  <c r="D146" i="1"/>
  <c r="AA40" i="5"/>
  <c r="F155" i="5"/>
  <c r="G31" i="8"/>
  <c r="G32" i="8" s="1"/>
  <c r="F133" i="2"/>
  <c r="E41" i="2" s="1"/>
  <c r="E42" i="2" s="1"/>
  <c r="D248" i="2"/>
  <c r="D249" i="2" s="1"/>
  <c r="R129" i="2"/>
  <c r="AC129" i="2" s="1"/>
  <c r="D55" i="8"/>
  <c r="D56" i="8" s="1"/>
  <c r="E21" i="2"/>
  <c r="D49" i="8"/>
  <c r="D50" i="8" s="1"/>
  <c r="D64" i="8"/>
  <c r="D67" i="8" s="1"/>
  <c r="F52" i="8"/>
  <c r="E18" i="1"/>
  <c r="E3" i="8"/>
  <c r="E5" i="8" s="1"/>
  <c r="E37" i="8"/>
  <c r="E46" i="8"/>
  <c r="F58" i="8"/>
  <c r="F59" i="8" s="1"/>
  <c r="F42" i="8"/>
  <c r="F43" i="8" s="1"/>
  <c r="F40" i="8"/>
  <c r="F44" i="8"/>
  <c r="F45" i="8" s="1"/>
  <c r="E47" i="8"/>
  <c r="F34" i="8"/>
  <c r="G13" i="6"/>
  <c r="E6" i="8"/>
  <c r="G21" i="2"/>
  <c r="G6" i="8"/>
  <c r="E11" i="8"/>
  <c r="I19" i="8"/>
  <c r="G20" i="8"/>
  <c r="E18" i="8"/>
  <c r="E20" i="8" s="1"/>
  <c r="D106" i="3"/>
  <c r="G82" i="3"/>
  <c r="G74" i="3"/>
  <c r="G77" i="3" s="1"/>
  <c r="G96" i="3"/>
  <c r="G90" i="3"/>
  <c r="G84" i="3"/>
  <c r="G99" i="3"/>
  <c r="G80" i="3"/>
  <c r="H71" i="3"/>
  <c r="F93" i="3"/>
  <c r="F87" i="3"/>
  <c r="F88" i="3" s="1"/>
  <c r="F14" i="3"/>
  <c r="F18" i="3" s="1"/>
  <c r="E5" i="3" s="1"/>
  <c r="F22" i="3"/>
  <c r="F24" i="3"/>
  <c r="E94" i="3"/>
  <c r="E102" i="3"/>
  <c r="E105" i="3" s="1"/>
  <c r="E127" i="6"/>
  <c r="E135" i="6"/>
  <c r="E138" i="6" s="1"/>
  <c r="F109" i="6"/>
  <c r="F126" i="6"/>
  <c r="F120" i="6"/>
  <c r="F121" i="6" s="1"/>
  <c r="G113" i="6"/>
  <c r="G132" i="6"/>
  <c r="H102" i="6"/>
  <c r="G129" i="6"/>
  <c r="G123" i="6"/>
  <c r="G117" i="6"/>
  <c r="G105" i="6"/>
  <c r="G111" i="6"/>
  <c r="G115" i="6"/>
  <c r="E12" i="6"/>
  <c r="E10" i="6"/>
  <c r="E13" i="6"/>
  <c r="I4" i="6"/>
  <c r="G12" i="6"/>
  <c r="I12" i="6" s="1"/>
  <c r="D142" i="6"/>
  <c r="G6" i="6"/>
  <c r="I5" i="6"/>
  <c r="F35" i="5"/>
  <c r="G5" i="5" s="1"/>
  <c r="G4" i="5"/>
  <c r="G8" i="5"/>
  <c r="I8" i="5" s="1"/>
  <c r="M35" i="5"/>
  <c r="G9" i="5" s="1"/>
  <c r="D201" i="5"/>
  <c r="E10" i="5"/>
  <c r="E6" i="5"/>
  <c r="E186" i="5"/>
  <c r="E194" i="5"/>
  <c r="E197" i="5" s="1"/>
  <c r="F179" i="5"/>
  <c r="F180" i="5" s="1"/>
  <c r="F168" i="5"/>
  <c r="F185" i="5"/>
  <c r="S35" i="5"/>
  <c r="E14" i="5" s="1"/>
  <c r="E16" i="8" s="1"/>
  <c r="E13" i="5"/>
  <c r="E15" i="8" s="1"/>
  <c r="G172" i="5"/>
  <c r="H161" i="5"/>
  <c r="G188" i="5"/>
  <c r="G182" i="5"/>
  <c r="G176" i="5"/>
  <c r="G174" i="5"/>
  <c r="G170" i="5"/>
  <c r="G191" i="5"/>
  <c r="G164" i="5"/>
  <c r="G167" i="5" s="1"/>
  <c r="T41" i="5"/>
  <c r="T39" i="5"/>
  <c r="T32" i="5"/>
  <c r="E19" i="5"/>
  <c r="D202" i="4"/>
  <c r="E202" i="4"/>
  <c r="G170" i="4"/>
  <c r="G189" i="4"/>
  <c r="G183" i="4"/>
  <c r="G184" i="4" s="1"/>
  <c r="E27" i="4"/>
  <c r="E5" i="4" s="1"/>
  <c r="E4" i="4"/>
  <c r="G4" i="4"/>
  <c r="F27" i="4"/>
  <c r="G5" i="4" s="1"/>
  <c r="M33" i="4"/>
  <c r="M31" i="4"/>
  <c r="M23" i="4"/>
  <c r="H176" i="4"/>
  <c r="H192" i="4"/>
  <c r="H186" i="4"/>
  <c r="H180" i="4"/>
  <c r="H174" i="4"/>
  <c r="H195" i="4"/>
  <c r="I163" i="4"/>
  <c r="H178" i="4"/>
  <c r="H172" i="4"/>
  <c r="H166" i="4"/>
  <c r="H169" i="4" s="1"/>
  <c r="L33" i="4"/>
  <c r="L31" i="4"/>
  <c r="L23" i="4"/>
  <c r="F190" i="4"/>
  <c r="F198" i="4"/>
  <c r="F201" i="4" s="1"/>
  <c r="D246" i="2"/>
  <c r="N204" i="2"/>
  <c r="X204" i="2" s="1"/>
  <c r="X205" i="2" s="1"/>
  <c r="X201" i="2"/>
  <c r="R204" i="2"/>
  <c r="AC201" i="2"/>
  <c r="M46" i="2"/>
  <c r="M40" i="2"/>
  <c r="M42" i="2"/>
  <c r="F42" i="2"/>
  <c r="F40" i="2"/>
  <c r="G222" i="2"/>
  <c r="G214" i="2"/>
  <c r="G217" i="2" s="1"/>
  <c r="G236" i="2"/>
  <c r="G230" i="2"/>
  <c r="G224" i="2"/>
  <c r="G239" i="2"/>
  <c r="G220" i="2"/>
  <c r="H211" i="2"/>
  <c r="E234" i="2"/>
  <c r="E242" i="2"/>
  <c r="E245" i="2" s="1"/>
  <c r="L32" i="2"/>
  <c r="L36" i="2" s="1"/>
  <c r="E15" i="2" s="1"/>
  <c r="L45" i="2"/>
  <c r="L47" i="2"/>
  <c r="S46" i="2"/>
  <c r="S40" i="2"/>
  <c r="S42" i="2"/>
  <c r="T40" i="2"/>
  <c r="T42" i="2"/>
  <c r="R166" i="2"/>
  <c r="AC166" i="2" s="1"/>
  <c r="AC167" i="2" s="1"/>
  <c r="AC163" i="2"/>
  <c r="F233" i="2"/>
  <c r="F227" i="2"/>
  <c r="F228" i="2" s="1"/>
  <c r="N133" i="2"/>
  <c r="X133" i="2" s="1"/>
  <c r="X134" i="2" s="1"/>
  <c r="X129" i="2"/>
  <c r="H112" i="1"/>
  <c r="G125" i="1"/>
  <c r="G134" i="1"/>
  <c r="G128" i="1"/>
  <c r="G121" i="1"/>
  <c r="F119" i="1"/>
  <c r="F131" i="1"/>
  <c r="D144" i="1"/>
  <c r="E132" i="1"/>
  <c r="E140" i="1"/>
  <c r="E143" i="1" s="1"/>
  <c r="E146" i="1" s="1"/>
  <c r="F32" i="1"/>
  <c r="G5" i="1" s="1"/>
  <c r="G4" i="8" s="1"/>
  <c r="G4" i="1"/>
  <c r="G3" i="8" s="1"/>
  <c r="E6" i="1"/>
  <c r="E19" i="1"/>
  <c r="E40" i="2" l="1"/>
  <c r="E46" i="2"/>
  <c r="R133" i="2"/>
  <c r="G137" i="1"/>
  <c r="G123" i="1"/>
  <c r="E6" i="4"/>
  <c r="E14" i="6"/>
  <c r="H31" i="8"/>
  <c r="AA41" i="5"/>
  <c r="AA32" i="5"/>
  <c r="AA39" i="5"/>
  <c r="E248" i="2"/>
  <c r="E249" i="2" s="1"/>
  <c r="D70" i="8"/>
  <c r="D71" i="8" s="1"/>
  <c r="D68" i="8"/>
  <c r="F46" i="8"/>
  <c r="I3" i="8"/>
  <c r="E20" i="1"/>
  <c r="G5" i="8"/>
  <c r="I4" i="8"/>
  <c r="G52" i="8"/>
  <c r="G42" i="8"/>
  <c r="G43" i="8" s="1"/>
  <c r="F41" i="8"/>
  <c r="F47" i="8" s="1"/>
  <c r="E49" i="8"/>
  <c r="E50" i="8" s="1"/>
  <c r="E38" i="8"/>
  <c r="E55" i="8"/>
  <c r="G44" i="8"/>
  <c r="G45" i="8" s="1"/>
  <c r="G40" i="8"/>
  <c r="G41" i="8" s="1"/>
  <c r="F35" i="8"/>
  <c r="F37" i="8"/>
  <c r="G58" i="8"/>
  <c r="G59" i="8" s="1"/>
  <c r="H32" i="8"/>
  <c r="G61" i="8"/>
  <c r="G62" i="8" s="1"/>
  <c r="G108" i="6"/>
  <c r="G120" i="6" s="1"/>
  <c r="G121" i="6" s="1"/>
  <c r="G34" i="8"/>
  <c r="I6" i="8"/>
  <c r="I5" i="3"/>
  <c r="G10" i="8"/>
  <c r="E17" i="8"/>
  <c r="E21" i="5"/>
  <c r="E15" i="5"/>
  <c r="E22" i="5"/>
  <c r="E23" i="5" s="1"/>
  <c r="I18" i="8"/>
  <c r="E106" i="3"/>
  <c r="G93" i="3"/>
  <c r="G87" i="3"/>
  <c r="G88" i="3" s="1"/>
  <c r="E109" i="3"/>
  <c r="D109" i="3"/>
  <c r="F102" i="3"/>
  <c r="F105" i="3" s="1"/>
  <c r="F94" i="3"/>
  <c r="H74" i="3"/>
  <c r="H77" i="3" s="1"/>
  <c r="H96" i="3"/>
  <c r="H90" i="3"/>
  <c r="H84" i="3"/>
  <c r="H99" i="3"/>
  <c r="H80" i="3"/>
  <c r="I71" i="3"/>
  <c r="H82" i="3"/>
  <c r="G109" i="6"/>
  <c r="G126" i="6"/>
  <c r="E139" i="6"/>
  <c r="E142" i="6"/>
  <c r="H113" i="6"/>
  <c r="I102" i="6"/>
  <c r="H129" i="6"/>
  <c r="H123" i="6"/>
  <c r="H117" i="6"/>
  <c r="H111" i="6"/>
  <c r="H132" i="6"/>
  <c r="H105" i="6"/>
  <c r="H115" i="6"/>
  <c r="F135" i="6"/>
  <c r="F138" i="6" s="1"/>
  <c r="F127" i="6"/>
  <c r="I13" i="6"/>
  <c r="G14" i="6"/>
  <c r="G168" i="5"/>
  <c r="G185" i="5"/>
  <c r="G179" i="5"/>
  <c r="G180" i="5" s="1"/>
  <c r="E198" i="5"/>
  <c r="E201" i="5"/>
  <c r="H172" i="5"/>
  <c r="I161" i="5"/>
  <c r="H188" i="5"/>
  <c r="H182" i="5"/>
  <c r="H176" i="5"/>
  <c r="H170" i="5"/>
  <c r="H191" i="5"/>
  <c r="H164" i="5"/>
  <c r="H167" i="5" s="1"/>
  <c r="H174" i="5"/>
  <c r="I9" i="5"/>
  <c r="G10" i="5"/>
  <c r="F194" i="5"/>
  <c r="F197" i="5" s="1"/>
  <c r="F186" i="5"/>
  <c r="I4" i="5"/>
  <c r="T35" i="5"/>
  <c r="G14" i="5" s="1"/>
  <c r="G13" i="5"/>
  <c r="I13" i="5" s="1"/>
  <c r="G6" i="5"/>
  <c r="I5" i="5"/>
  <c r="H170" i="4"/>
  <c r="H189" i="4"/>
  <c r="H183" i="4"/>
  <c r="H184" i="4" s="1"/>
  <c r="F202" i="4"/>
  <c r="E8" i="4"/>
  <c r="E12" i="4" s="1"/>
  <c r="L27" i="4"/>
  <c r="E9" i="4" s="1"/>
  <c r="E13" i="4" s="1"/>
  <c r="E205" i="4"/>
  <c r="D205" i="4"/>
  <c r="I4" i="4"/>
  <c r="G6" i="4"/>
  <c r="I5" i="4"/>
  <c r="G198" i="4"/>
  <c r="G201" i="4" s="1"/>
  <c r="G190" i="4"/>
  <c r="G8" i="4"/>
  <c r="G12" i="4" s="1"/>
  <c r="M27" i="4"/>
  <c r="G9" i="4" s="1"/>
  <c r="I192" i="4"/>
  <c r="I186" i="4"/>
  <c r="I180" i="4"/>
  <c r="I174" i="4"/>
  <c r="I195" i="4"/>
  <c r="J163" i="4"/>
  <c r="I176" i="4"/>
  <c r="I178" i="4"/>
  <c r="I172" i="4"/>
  <c r="I166" i="4"/>
  <c r="I169" i="4" s="1"/>
  <c r="E246" i="2"/>
  <c r="G233" i="2"/>
  <c r="G227" i="2"/>
  <c r="G228" i="2" s="1"/>
  <c r="F234" i="2"/>
  <c r="F242" i="2"/>
  <c r="F245" i="2" s="1"/>
  <c r="F248" i="2" s="1"/>
  <c r="H214" i="2"/>
  <c r="H217" i="2" s="1"/>
  <c r="H222" i="2"/>
  <c r="H236" i="2"/>
  <c r="H230" i="2"/>
  <c r="H224" i="2"/>
  <c r="H239" i="2"/>
  <c r="H220" i="2"/>
  <c r="I211" i="2"/>
  <c r="AC204" i="2"/>
  <c r="AC205" i="2" s="1"/>
  <c r="T46" i="2"/>
  <c r="S32" i="2"/>
  <c r="S36" i="2" s="1"/>
  <c r="E20" i="2" s="1"/>
  <c r="S45" i="2"/>
  <c r="S47" i="2"/>
  <c r="E32" i="2"/>
  <c r="E36" i="2" s="1"/>
  <c r="E10" i="2" s="1"/>
  <c r="E45" i="2"/>
  <c r="E47" i="2"/>
  <c r="M32" i="2"/>
  <c r="M36" i="2" s="1"/>
  <c r="G15" i="2" s="1"/>
  <c r="M45" i="2"/>
  <c r="M47" i="2"/>
  <c r="E144" i="1"/>
  <c r="G18" i="1"/>
  <c r="I18" i="1" s="1"/>
  <c r="I4" i="1"/>
  <c r="E147" i="1"/>
  <c r="D147" i="1"/>
  <c r="G119" i="1"/>
  <c r="G131" i="1"/>
  <c r="G6" i="1"/>
  <c r="I5" i="1"/>
  <c r="G19" i="1"/>
  <c r="F132" i="1"/>
  <c r="F140" i="1"/>
  <c r="F143" i="1" s="1"/>
  <c r="F146" i="1" s="1"/>
  <c r="H115" i="1"/>
  <c r="H118" i="1" s="1"/>
  <c r="H134" i="1"/>
  <c r="H128" i="1"/>
  <c r="H121" i="1"/>
  <c r="H125" i="1"/>
  <c r="H137" i="1"/>
  <c r="H123" i="1"/>
  <c r="I112" i="1"/>
  <c r="F46" i="2" l="1"/>
  <c r="AC133" i="2"/>
  <c r="AC134" i="2" s="1"/>
  <c r="G17" i="5"/>
  <c r="I17" i="5" s="1"/>
  <c r="AA35" i="5"/>
  <c r="G18" i="5" s="1"/>
  <c r="G22" i="5" s="1"/>
  <c r="I22" i="5" s="1"/>
  <c r="I31" i="8"/>
  <c r="G47" i="8"/>
  <c r="G46" i="8"/>
  <c r="H42" i="8"/>
  <c r="H43" i="8" s="1"/>
  <c r="E56" i="8"/>
  <c r="E64" i="8"/>
  <c r="E67" i="8" s="1"/>
  <c r="E70" i="8" s="1"/>
  <c r="H52" i="8"/>
  <c r="I32" i="8"/>
  <c r="G12" i="8"/>
  <c r="H44" i="8"/>
  <c r="H45" i="8" s="1"/>
  <c r="H40" i="8"/>
  <c r="H61" i="8"/>
  <c r="H62" i="8" s="1"/>
  <c r="F49" i="8"/>
  <c r="F50" i="8" s="1"/>
  <c r="F38" i="8"/>
  <c r="F55" i="8"/>
  <c r="H58" i="8"/>
  <c r="H59" i="8" s="1"/>
  <c r="G35" i="8"/>
  <c r="G37" i="8"/>
  <c r="H108" i="6"/>
  <c r="H34" i="8"/>
  <c r="E22" i="2"/>
  <c r="E23" i="2" s="1"/>
  <c r="E7" i="8"/>
  <c r="G11" i="8"/>
  <c r="I10" i="8"/>
  <c r="E12" i="8"/>
  <c r="E22" i="8" s="1"/>
  <c r="G16" i="8"/>
  <c r="G15" i="8"/>
  <c r="F109" i="3"/>
  <c r="F106" i="3"/>
  <c r="G102" i="3"/>
  <c r="G105" i="3" s="1"/>
  <c r="G94" i="3"/>
  <c r="I96" i="3"/>
  <c r="I90" i="3"/>
  <c r="I84" i="3"/>
  <c r="I99" i="3"/>
  <c r="I80" i="3"/>
  <c r="J71" i="3"/>
  <c r="I82" i="3"/>
  <c r="I74" i="3"/>
  <c r="I77" i="3" s="1"/>
  <c r="H93" i="3"/>
  <c r="H87" i="3"/>
  <c r="H88" i="3" s="1"/>
  <c r="H126" i="6"/>
  <c r="H109" i="6"/>
  <c r="H120" i="6"/>
  <c r="H121" i="6" s="1"/>
  <c r="F139" i="6"/>
  <c r="F142" i="6"/>
  <c r="J102" i="6"/>
  <c r="I129" i="6"/>
  <c r="I123" i="6"/>
  <c r="I117" i="6"/>
  <c r="I111" i="6"/>
  <c r="I132" i="6"/>
  <c r="I105" i="6"/>
  <c r="I115" i="6"/>
  <c r="I108" i="6"/>
  <c r="I113" i="6"/>
  <c r="G135" i="6"/>
  <c r="G138" i="6" s="1"/>
  <c r="G127" i="6"/>
  <c r="H168" i="5"/>
  <c r="H185" i="5"/>
  <c r="H179" i="5"/>
  <c r="H180" i="5" s="1"/>
  <c r="F198" i="5"/>
  <c r="F201" i="5"/>
  <c r="G21" i="5"/>
  <c r="I21" i="5" s="1"/>
  <c r="G15" i="5"/>
  <c r="I14" i="5"/>
  <c r="J161" i="5"/>
  <c r="I188" i="5"/>
  <c r="I182" i="5"/>
  <c r="I176" i="5"/>
  <c r="I170" i="5"/>
  <c r="I191" i="5"/>
  <c r="I164" i="5"/>
  <c r="I167" i="5"/>
  <c r="I174" i="5"/>
  <c r="I172" i="5"/>
  <c r="G194" i="5"/>
  <c r="G197" i="5" s="1"/>
  <c r="G186" i="5"/>
  <c r="G202" i="4"/>
  <c r="I170" i="4"/>
  <c r="I189" i="4"/>
  <c r="I183" i="4"/>
  <c r="I184" i="4" s="1"/>
  <c r="I12" i="4"/>
  <c r="E14" i="4"/>
  <c r="E10" i="4"/>
  <c r="J192" i="4"/>
  <c r="J186" i="4"/>
  <c r="J180" i="4"/>
  <c r="J174" i="4"/>
  <c r="J195" i="4"/>
  <c r="K163" i="4"/>
  <c r="J178" i="4"/>
  <c r="J172" i="4"/>
  <c r="J166" i="4"/>
  <c r="J169" i="4" s="1"/>
  <c r="J176" i="4"/>
  <c r="F205" i="4"/>
  <c r="H198" i="4"/>
  <c r="H201" i="4" s="1"/>
  <c r="H190" i="4"/>
  <c r="G13" i="4"/>
  <c r="G10" i="4"/>
  <c r="I9" i="4"/>
  <c r="I8" i="4"/>
  <c r="F246" i="2"/>
  <c r="F249" i="2"/>
  <c r="H233" i="2"/>
  <c r="H227" i="2"/>
  <c r="H228" i="2" s="1"/>
  <c r="G242" i="2"/>
  <c r="G245" i="2" s="1"/>
  <c r="G248" i="2" s="1"/>
  <c r="G234" i="2"/>
  <c r="T32" i="2"/>
  <c r="T36" i="2" s="1"/>
  <c r="G20" i="2" s="1"/>
  <c r="T45" i="2"/>
  <c r="T47" i="2"/>
  <c r="I236" i="2"/>
  <c r="I230" i="2"/>
  <c r="I214" i="2"/>
  <c r="I217" i="2" s="1"/>
  <c r="I224" i="2"/>
  <c r="I239" i="2"/>
  <c r="I220" i="2"/>
  <c r="J211" i="2"/>
  <c r="I222" i="2"/>
  <c r="F144" i="1"/>
  <c r="F147" i="1"/>
  <c r="H131" i="1"/>
  <c r="H119" i="1"/>
  <c r="G20" i="1"/>
  <c r="I19" i="1"/>
  <c r="G132" i="1"/>
  <c r="G140" i="1"/>
  <c r="G143" i="1" s="1"/>
  <c r="G146" i="1" s="1"/>
  <c r="I134" i="1"/>
  <c r="I128" i="1"/>
  <c r="I121" i="1"/>
  <c r="I115" i="1"/>
  <c r="I118" i="1" s="1"/>
  <c r="I137" i="1"/>
  <c r="J112" i="1"/>
  <c r="I123" i="1"/>
  <c r="I125" i="1"/>
  <c r="F45" i="2" l="1"/>
  <c r="F47" i="2"/>
  <c r="F32" i="2"/>
  <c r="F36" i="2" s="1"/>
  <c r="G10" i="2" s="1"/>
  <c r="G22" i="2" s="1"/>
  <c r="G19" i="5"/>
  <c r="I18" i="5"/>
  <c r="J31" i="8"/>
  <c r="H46" i="8"/>
  <c r="I58" i="8"/>
  <c r="I59" i="8" s="1"/>
  <c r="I52" i="8"/>
  <c r="H41" i="8"/>
  <c r="H47" i="8" s="1"/>
  <c r="E68" i="8"/>
  <c r="E71" i="8"/>
  <c r="J32" i="8"/>
  <c r="F64" i="8"/>
  <c r="F67" i="8" s="1"/>
  <c r="F70" i="8" s="1"/>
  <c r="F56" i="8"/>
  <c r="I44" i="8"/>
  <c r="I45" i="8" s="1"/>
  <c r="I34" i="8"/>
  <c r="I42" i="8"/>
  <c r="I43" i="8" s="1"/>
  <c r="I61" i="8"/>
  <c r="I62" i="8" s="1"/>
  <c r="I40" i="8"/>
  <c r="I41" i="8" s="1"/>
  <c r="G49" i="8"/>
  <c r="G50" i="8" s="1"/>
  <c r="G38" i="8"/>
  <c r="G55" i="8"/>
  <c r="H35" i="8"/>
  <c r="H37" i="8"/>
  <c r="I15" i="8"/>
  <c r="G22" i="8"/>
  <c r="I22" i="8" s="1"/>
  <c r="E8" i="8"/>
  <c r="E13" i="8"/>
  <c r="E14" i="8" s="1"/>
  <c r="G7" i="8"/>
  <c r="I12" i="8"/>
  <c r="I16" i="8"/>
  <c r="G17" i="8"/>
  <c r="I93" i="3"/>
  <c r="I87" i="3"/>
  <c r="I88" i="3" s="1"/>
  <c r="G106" i="3"/>
  <c r="G109" i="3"/>
  <c r="J96" i="3"/>
  <c r="J82" i="3"/>
  <c r="J90" i="3"/>
  <c r="J84" i="3"/>
  <c r="J99" i="3"/>
  <c r="J80" i="3"/>
  <c r="K71" i="3"/>
  <c r="J74" i="3"/>
  <c r="J77" i="3" s="1"/>
  <c r="H94" i="3"/>
  <c r="H102" i="3"/>
  <c r="H105" i="3" s="1"/>
  <c r="G139" i="6"/>
  <c r="G142" i="6"/>
  <c r="I109" i="6"/>
  <c r="I120" i="6"/>
  <c r="I121" i="6" s="1"/>
  <c r="I126" i="6"/>
  <c r="J129" i="6"/>
  <c r="J123" i="6"/>
  <c r="J117" i="6"/>
  <c r="J115" i="6"/>
  <c r="J111" i="6"/>
  <c r="J132" i="6"/>
  <c r="J105" i="6"/>
  <c r="J113" i="6"/>
  <c r="K102" i="6"/>
  <c r="H135" i="6"/>
  <c r="H138" i="6" s="1"/>
  <c r="H127" i="6"/>
  <c r="G198" i="5"/>
  <c r="G201" i="5"/>
  <c r="J188" i="5"/>
  <c r="J182" i="5"/>
  <c r="J176" i="5"/>
  <c r="J170" i="5"/>
  <c r="J191" i="5"/>
  <c r="J164" i="5"/>
  <c r="J167" i="5" s="1"/>
  <c r="J174" i="5"/>
  <c r="J172" i="5"/>
  <c r="K161" i="5"/>
  <c r="I168" i="5"/>
  <c r="I185" i="5"/>
  <c r="I179" i="5"/>
  <c r="I180" i="5" s="1"/>
  <c r="H194" i="5"/>
  <c r="H197" i="5" s="1"/>
  <c r="H186" i="5"/>
  <c r="G23" i="5"/>
  <c r="H202" i="4"/>
  <c r="J170" i="4"/>
  <c r="J189" i="4"/>
  <c r="J183" i="4"/>
  <c r="J184" i="4" s="1"/>
  <c r="I13" i="4"/>
  <c r="G14" i="4"/>
  <c r="I198" i="4"/>
  <c r="I201" i="4" s="1"/>
  <c r="I190" i="4"/>
  <c r="G205" i="4"/>
  <c r="K186" i="4"/>
  <c r="K180" i="4"/>
  <c r="K174" i="4"/>
  <c r="K195" i="4"/>
  <c r="L163" i="4"/>
  <c r="K192" i="4"/>
  <c r="K178" i="4"/>
  <c r="K172" i="4"/>
  <c r="K166" i="4"/>
  <c r="K169" i="4" s="1"/>
  <c r="K176" i="4"/>
  <c r="I233" i="2"/>
  <c r="I227" i="2"/>
  <c r="I228" i="2" s="1"/>
  <c r="G246" i="2"/>
  <c r="G249" i="2"/>
  <c r="J236" i="2"/>
  <c r="J230" i="2"/>
  <c r="J224" i="2"/>
  <c r="J239" i="2"/>
  <c r="J220" i="2"/>
  <c r="K211" i="2"/>
  <c r="J222" i="2"/>
  <c r="J214" i="2"/>
  <c r="J217" i="2" s="1"/>
  <c r="H242" i="2"/>
  <c r="H245" i="2" s="1"/>
  <c r="H248" i="2" s="1"/>
  <c r="H234" i="2"/>
  <c r="I119" i="1"/>
  <c r="I131" i="1"/>
  <c r="G144" i="1"/>
  <c r="G147" i="1"/>
  <c r="H140" i="1"/>
  <c r="H143" i="1" s="1"/>
  <c r="H146" i="1" s="1"/>
  <c r="H132" i="1"/>
  <c r="J134" i="1"/>
  <c r="J128" i="1"/>
  <c r="J137" i="1"/>
  <c r="J121" i="1"/>
  <c r="J115" i="1"/>
  <c r="J118" i="1" s="1"/>
  <c r="J123" i="1"/>
  <c r="J125" i="1"/>
  <c r="K112" i="1"/>
  <c r="K31" i="8" s="1"/>
  <c r="G23" i="2" l="1"/>
  <c r="J22" i="2"/>
  <c r="J58" i="8"/>
  <c r="J59" i="8" s="1"/>
  <c r="I47" i="8"/>
  <c r="K32" i="8"/>
  <c r="J52" i="8"/>
  <c r="I46" i="8"/>
  <c r="J42" i="8"/>
  <c r="J43" i="8" s="1"/>
  <c r="I35" i="8"/>
  <c r="I37" i="8"/>
  <c r="J61" i="8"/>
  <c r="J62" i="8" s="1"/>
  <c r="J40" i="8"/>
  <c r="J41" i="8" s="1"/>
  <c r="J34" i="8"/>
  <c r="J35" i="8" s="1"/>
  <c r="J44" i="8"/>
  <c r="J45" i="8" s="1"/>
  <c r="F68" i="8"/>
  <c r="F71" i="8"/>
  <c r="H49" i="8"/>
  <c r="H50" i="8" s="1"/>
  <c r="H55" i="8"/>
  <c r="H38" i="8"/>
  <c r="G56" i="8"/>
  <c r="G64" i="8"/>
  <c r="G67" i="8" s="1"/>
  <c r="G70" i="8" s="1"/>
  <c r="J108" i="6"/>
  <c r="E23" i="8"/>
  <c r="E24" i="8" s="1"/>
  <c r="G8" i="8"/>
  <c r="I7" i="8"/>
  <c r="G13" i="8"/>
  <c r="G23" i="8" s="1"/>
  <c r="J93" i="3"/>
  <c r="J87" i="3"/>
  <c r="J88" i="3" s="1"/>
  <c r="H106" i="3"/>
  <c r="H109" i="3"/>
  <c r="K90" i="3"/>
  <c r="K84" i="3"/>
  <c r="K99" i="3"/>
  <c r="K74" i="3"/>
  <c r="K77" i="3" s="1"/>
  <c r="K80" i="3"/>
  <c r="L71" i="3"/>
  <c r="K82" i="3"/>
  <c r="K96" i="3"/>
  <c r="I102" i="3"/>
  <c r="I105" i="3" s="1"/>
  <c r="I94" i="3"/>
  <c r="H139" i="6"/>
  <c r="H142" i="6"/>
  <c r="J126" i="6"/>
  <c r="J120" i="6"/>
  <c r="J121" i="6" s="1"/>
  <c r="J109" i="6"/>
  <c r="I135" i="6"/>
  <c r="I138" i="6" s="1"/>
  <c r="I127" i="6"/>
  <c r="K123" i="6"/>
  <c r="K117" i="6"/>
  <c r="K111" i="6"/>
  <c r="K132" i="6"/>
  <c r="K105" i="6"/>
  <c r="K115" i="6"/>
  <c r="K113" i="6"/>
  <c r="L102" i="6"/>
  <c r="K129" i="6"/>
  <c r="H198" i="5"/>
  <c r="H201" i="5"/>
  <c r="I194" i="5"/>
  <c r="I197" i="5" s="1"/>
  <c r="I186" i="5"/>
  <c r="K182" i="5"/>
  <c r="K176" i="5"/>
  <c r="K170" i="5"/>
  <c r="K191" i="5"/>
  <c r="K164" i="5"/>
  <c r="K167" i="5" s="1"/>
  <c r="K172" i="5"/>
  <c r="K174" i="5"/>
  <c r="L161" i="5"/>
  <c r="K188" i="5"/>
  <c r="J185" i="5"/>
  <c r="J179" i="5"/>
  <c r="J180" i="5" s="1"/>
  <c r="J168" i="5"/>
  <c r="I202" i="4"/>
  <c r="K170" i="4"/>
  <c r="K189" i="4"/>
  <c r="K183" i="4"/>
  <c r="K184" i="4" s="1"/>
  <c r="J198" i="4"/>
  <c r="J201" i="4" s="1"/>
  <c r="J190" i="4"/>
  <c r="L180" i="4"/>
  <c r="L174" i="4"/>
  <c r="L195" i="4"/>
  <c r="M163" i="4"/>
  <c r="L186" i="4"/>
  <c r="L178" i="4"/>
  <c r="L172" i="4"/>
  <c r="L166" i="4"/>
  <c r="L169" i="4" s="1"/>
  <c r="L176" i="4"/>
  <c r="L192" i="4"/>
  <c r="H205" i="4"/>
  <c r="H246" i="2"/>
  <c r="H249" i="2"/>
  <c r="K230" i="2"/>
  <c r="K224" i="2"/>
  <c r="K239" i="2"/>
  <c r="K220" i="2"/>
  <c r="L211" i="2"/>
  <c r="K236" i="2"/>
  <c r="K222" i="2"/>
  <c r="K214" i="2"/>
  <c r="K217" i="2" s="1"/>
  <c r="J233" i="2"/>
  <c r="J227" i="2"/>
  <c r="J228" i="2" s="1"/>
  <c r="I242" i="2"/>
  <c r="I245" i="2" s="1"/>
  <c r="I248" i="2" s="1"/>
  <c r="I234" i="2"/>
  <c r="H144" i="1"/>
  <c r="H147" i="1"/>
  <c r="J131" i="1"/>
  <c r="J119" i="1"/>
  <c r="K128" i="1"/>
  <c r="K125" i="1"/>
  <c r="K121" i="1"/>
  <c r="K115" i="1"/>
  <c r="K118" i="1" s="1"/>
  <c r="K137" i="1"/>
  <c r="K123" i="1"/>
  <c r="L112" i="1"/>
  <c r="K134" i="1"/>
  <c r="I140" i="1"/>
  <c r="I143" i="1" s="1"/>
  <c r="I146" i="1" s="1"/>
  <c r="I132" i="1"/>
  <c r="L31" i="8" l="1"/>
  <c r="L32" i="8" s="1"/>
  <c r="K52" i="8"/>
  <c r="J37" i="8"/>
  <c r="J38" i="8" s="1"/>
  <c r="J46" i="8"/>
  <c r="K58" i="8"/>
  <c r="K59" i="8" s="1"/>
  <c r="K42" i="8"/>
  <c r="K43" i="8" s="1"/>
  <c r="J47" i="8"/>
  <c r="K44" i="8"/>
  <c r="K45" i="8" s="1"/>
  <c r="K61" i="8"/>
  <c r="K62" i="8" s="1"/>
  <c r="J55" i="8"/>
  <c r="J64" i="8" s="1"/>
  <c r="J67" i="8" s="1"/>
  <c r="J70" i="8" s="1"/>
  <c r="K40" i="8"/>
  <c r="K41" i="8" s="1"/>
  <c r="I38" i="8"/>
  <c r="I55" i="8"/>
  <c r="I49" i="8"/>
  <c r="I50" i="8" s="1"/>
  <c r="H56" i="8"/>
  <c r="H64" i="8"/>
  <c r="H67" i="8" s="1"/>
  <c r="H70" i="8" s="1"/>
  <c r="G71" i="8"/>
  <c r="G68" i="8"/>
  <c r="K108" i="6"/>
  <c r="K34" i="8"/>
  <c r="J49" i="8"/>
  <c r="J50" i="8" s="1"/>
  <c r="G24" i="8"/>
  <c r="I23" i="8"/>
  <c r="I13" i="8"/>
  <c r="G14" i="8"/>
  <c r="K93" i="3"/>
  <c r="K87" i="3"/>
  <c r="K88" i="3" s="1"/>
  <c r="I106" i="3"/>
  <c r="I109" i="3"/>
  <c r="L84" i="3"/>
  <c r="L99" i="3"/>
  <c r="L74" i="3"/>
  <c r="L77" i="3" s="1"/>
  <c r="L80" i="3"/>
  <c r="M71" i="3"/>
  <c r="L82" i="3"/>
  <c r="L96" i="3"/>
  <c r="L90" i="3"/>
  <c r="J102" i="3"/>
  <c r="J105" i="3" s="1"/>
  <c r="J94" i="3"/>
  <c r="I139" i="6"/>
  <c r="I142" i="6"/>
  <c r="K126" i="6"/>
  <c r="K120" i="6"/>
  <c r="K121" i="6" s="1"/>
  <c r="K109" i="6"/>
  <c r="J135" i="6"/>
  <c r="J127" i="6"/>
  <c r="J138" i="6"/>
  <c r="L117" i="6"/>
  <c r="L111" i="6"/>
  <c r="L132" i="6"/>
  <c r="L105" i="6"/>
  <c r="L115" i="6"/>
  <c r="M102" i="6"/>
  <c r="L113" i="6"/>
  <c r="L129" i="6"/>
  <c r="L123" i="6"/>
  <c r="I198" i="5"/>
  <c r="I201" i="5"/>
  <c r="L176" i="5"/>
  <c r="L170" i="5"/>
  <c r="L191" i="5"/>
  <c r="L164" i="5"/>
  <c r="L167" i="5" s="1"/>
  <c r="L174" i="5"/>
  <c r="L172" i="5"/>
  <c r="M161" i="5"/>
  <c r="L188" i="5"/>
  <c r="L182" i="5"/>
  <c r="J186" i="5"/>
  <c r="J194" i="5"/>
  <c r="J197" i="5" s="1"/>
  <c r="K185" i="5"/>
  <c r="K179" i="5"/>
  <c r="K180" i="5" s="1"/>
  <c r="K168" i="5"/>
  <c r="J202" i="4"/>
  <c r="M174" i="4"/>
  <c r="M195" i="4"/>
  <c r="N163" i="4"/>
  <c r="M178" i="4"/>
  <c r="M172" i="4"/>
  <c r="M166" i="4"/>
  <c r="M169" i="4" s="1"/>
  <c r="M176" i="4"/>
  <c r="M180" i="4"/>
  <c r="M192" i="4"/>
  <c r="M186" i="4"/>
  <c r="K198" i="4"/>
  <c r="K201" i="4" s="1"/>
  <c r="K190" i="4"/>
  <c r="I205" i="4"/>
  <c r="J205" i="4" s="1"/>
  <c r="L170" i="4"/>
  <c r="L189" i="4"/>
  <c r="L183" i="4"/>
  <c r="L184" i="4" s="1"/>
  <c r="K233" i="2"/>
  <c r="K227" i="2"/>
  <c r="K228" i="2" s="1"/>
  <c r="J242" i="2"/>
  <c r="J245" i="2" s="1"/>
  <c r="J248" i="2" s="1"/>
  <c r="J234" i="2"/>
  <c r="I246" i="2"/>
  <c r="I249" i="2"/>
  <c r="L224" i="2"/>
  <c r="L239" i="2"/>
  <c r="L220" i="2"/>
  <c r="M211" i="2"/>
  <c r="L230" i="2"/>
  <c r="L222" i="2"/>
  <c r="L214" i="2"/>
  <c r="L217" i="2" s="1"/>
  <c r="L236" i="2"/>
  <c r="L121" i="1"/>
  <c r="L115" i="1"/>
  <c r="L118" i="1" s="1"/>
  <c r="L123" i="1"/>
  <c r="L137" i="1"/>
  <c r="L125" i="1"/>
  <c r="L134" i="1"/>
  <c r="L128" i="1"/>
  <c r="M112" i="1"/>
  <c r="I144" i="1"/>
  <c r="I147" i="1"/>
  <c r="K131" i="1"/>
  <c r="K119" i="1"/>
  <c r="J132" i="1"/>
  <c r="J140" i="1"/>
  <c r="J143" i="1" s="1"/>
  <c r="J146" i="1" s="1"/>
  <c r="M31" i="8" l="1"/>
  <c r="L52" i="8"/>
  <c r="K46" i="8"/>
  <c r="K47" i="8"/>
  <c r="J56" i="8"/>
  <c r="L58" i="8"/>
  <c r="L59" i="8" s="1"/>
  <c r="L42" i="8"/>
  <c r="L43" i="8" s="1"/>
  <c r="D122" i="3"/>
  <c r="M32" i="8"/>
  <c r="I64" i="8"/>
  <c r="I67" i="8" s="1"/>
  <c r="I70" i="8" s="1"/>
  <c r="I56" i="8"/>
  <c r="L44" i="8"/>
  <c r="L45" i="8" s="1"/>
  <c r="L61" i="8"/>
  <c r="L62" i="8" s="1"/>
  <c r="L40" i="8"/>
  <c r="K35" i="8"/>
  <c r="K37" i="8"/>
  <c r="H71" i="8"/>
  <c r="H68" i="8"/>
  <c r="L108" i="6"/>
  <c r="L120" i="6" s="1"/>
  <c r="L121" i="6" s="1"/>
  <c r="L34" i="8"/>
  <c r="J68" i="8"/>
  <c r="J106" i="3"/>
  <c r="J109" i="3"/>
  <c r="L93" i="3"/>
  <c r="L87" i="3"/>
  <c r="L88" i="3" s="1"/>
  <c r="M99" i="3"/>
  <c r="M80" i="3"/>
  <c r="N71" i="3"/>
  <c r="M82" i="3"/>
  <c r="M96" i="3"/>
  <c r="M74" i="3"/>
  <c r="M77" i="3" s="1"/>
  <c r="M90" i="3"/>
  <c r="M84" i="3"/>
  <c r="K102" i="3"/>
  <c r="K105" i="3" s="1"/>
  <c r="K94" i="3"/>
  <c r="M111" i="6"/>
  <c r="M132" i="6"/>
  <c r="M105" i="6"/>
  <c r="M115" i="6"/>
  <c r="M108" i="6"/>
  <c r="M129" i="6"/>
  <c r="M113" i="6"/>
  <c r="N102" i="6"/>
  <c r="M123" i="6"/>
  <c r="M117" i="6"/>
  <c r="J139" i="6"/>
  <c r="J142" i="6"/>
  <c r="K135" i="6"/>
  <c r="K138" i="6" s="1"/>
  <c r="K127" i="6"/>
  <c r="K194" i="5"/>
  <c r="K197" i="5" s="1"/>
  <c r="K186" i="5"/>
  <c r="J198" i="5"/>
  <c r="J201" i="5"/>
  <c r="M170" i="5"/>
  <c r="M191" i="5"/>
  <c r="M164" i="5"/>
  <c r="M174" i="5"/>
  <c r="M167" i="5"/>
  <c r="M172" i="5"/>
  <c r="N161" i="5"/>
  <c r="M188" i="5"/>
  <c r="M182" i="5"/>
  <c r="M176" i="5"/>
  <c r="L185" i="5"/>
  <c r="L179" i="5"/>
  <c r="L180" i="5" s="1"/>
  <c r="L168" i="5"/>
  <c r="L198" i="4"/>
  <c r="L190" i="4"/>
  <c r="L201" i="4"/>
  <c r="M170" i="4"/>
  <c r="M189" i="4"/>
  <c r="M183" i="4"/>
  <c r="M184" i="4" s="1"/>
  <c r="N174" i="4"/>
  <c r="N195" i="4"/>
  <c r="N178" i="4"/>
  <c r="N172" i="4"/>
  <c r="N166" i="4"/>
  <c r="N176" i="4"/>
  <c r="N192" i="4"/>
  <c r="N169" i="4"/>
  <c r="N186" i="4"/>
  <c r="N180" i="4"/>
  <c r="K202" i="4"/>
  <c r="K205" i="4"/>
  <c r="D218" i="4"/>
  <c r="L233" i="2"/>
  <c r="L227" i="2"/>
  <c r="L228" i="2" s="1"/>
  <c r="M239" i="2"/>
  <c r="M224" i="2"/>
  <c r="M220" i="2"/>
  <c r="N211" i="2"/>
  <c r="M222" i="2"/>
  <c r="M214" i="2"/>
  <c r="M217" i="2" s="1"/>
  <c r="M236" i="2"/>
  <c r="M230" i="2"/>
  <c r="J246" i="2"/>
  <c r="J249" i="2"/>
  <c r="K242" i="2"/>
  <c r="K245" i="2" s="1"/>
  <c r="K248" i="2" s="1"/>
  <c r="K234" i="2"/>
  <c r="J144" i="1"/>
  <c r="J147" i="1"/>
  <c r="K132" i="1"/>
  <c r="K140" i="1"/>
  <c r="K143" i="1" s="1"/>
  <c r="K146" i="1" s="1"/>
  <c r="M115" i="1"/>
  <c r="M118" i="1" s="1"/>
  <c r="M137" i="1"/>
  <c r="M123" i="1"/>
  <c r="N112" i="1"/>
  <c r="N31" i="8" s="1"/>
  <c r="M121" i="1"/>
  <c r="M125" i="1"/>
  <c r="M128" i="1"/>
  <c r="M134" i="1"/>
  <c r="L131" i="1"/>
  <c r="L119" i="1"/>
  <c r="D160" i="1" l="1"/>
  <c r="L46" i="8"/>
  <c r="L41" i="8"/>
  <c r="L47" i="8" s="1"/>
  <c r="M52" i="8"/>
  <c r="M61" i="8"/>
  <c r="M62" i="8" s="1"/>
  <c r="M40" i="8"/>
  <c r="M42" i="8"/>
  <c r="M43" i="8" s="1"/>
  <c r="N32" i="8"/>
  <c r="M44" i="8"/>
  <c r="M45" i="8" s="1"/>
  <c r="M58" i="8"/>
  <c r="M59" i="8" s="1"/>
  <c r="M34" i="8"/>
  <c r="M35" i="8" s="1"/>
  <c r="I71" i="8"/>
  <c r="J71" i="8" s="1"/>
  <c r="I68" i="8"/>
  <c r="M41" i="8"/>
  <c r="K49" i="8"/>
  <c r="K50" i="8" s="1"/>
  <c r="K38" i="8"/>
  <c r="K55" i="8"/>
  <c r="L109" i="6"/>
  <c r="L126" i="6"/>
  <c r="L135" i="6" s="1"/>
  <c r="L138" i="6" s="1"/>
  <c r="L35" i="8"/>
  <c r="L37" i="8"/>
  <c r="K106" i="3"/>
  <c r="K109" i="3"/>
  <c r="M93" i="3"/>
  <c r="M87" i="3"/>
  <c r="M88" i="3" s="1"/>
  <c r="N99" i="3"/>
  <c r="N80" i="3"/>
  <c r="N90" i="3"/>
  <c r="N82" i="3"/>
  <c r="N74" i="3"/>
  <c r="N96" i="3"/>
  <c r="N84" i="3"/>
  <c r="N77" i="3"/>
  <c r="L102" i="3"/>
  <c r="L105" i="3" s="1"/>
  <c r="L94" i="3"/>
  <c r="K139" i="6"/>
  <c r="K142" i="6"/>
  <c r="N111" i="6"/>
  <c r="N132" i="6"/>
  <c r="N105" i="6"/>
  <c r="N115" i="6"/>
  <c r="N108" i="6"/>
  <c r="N113" i="6"/>
  <c r="N129" i="6"/>
  <c r="N123" i="6"/>
  <c r="N117" i="6"/>
  <c r="M126" i="6"/>
  <c r="M120" i="6"/>
  <c r="M121" i="6" s="1"/>
  <c r="M109" i="6"/>
  <c r="N170" i="5"/>
  <c r="N191" i="5"/>
  <c r="N164" i="5"/>
  <c r="N174" i="5"/>
  <c r="N167" i="5"/>
  <c r="N172" i="5"/>
  <c r="N188" i="5"/>
  <c r="N182" i="5"/>
  <c r="N176" i="5"/>
  <c r="L194" i="5"/>
  <c r="L186" i="5"/>
  <c r="L197" i="5"/>
  <c r="M185" i="5"/>
  <c r="M179" i="5"/>
  <c r="M180" i="5" s="1"/>
  <c r="M168" i="5"/>
  <c r="K198" i="5"/>
  <c r="K201" i="5"/>
  <c r="L202" i="4"/>
  <c r="L205" i="4"/>
  <c r="N170" i="4"/>
  <c r="N189" i="4"/>
  <c r="N183" i="4"/>
  <c r="N184" i="4" s="1"/>
  <c r="M198" i="4"/>
  <c r="M190" i="4"/>
  <c r="M201" i="4"/>
  <c r="M233" i="2"/>
  <c r="M227" i="2"/>
  <c r="M228" i="2" s="1"/>
  <c r="N239" i="2"/>
  <c r="N220" i="2"/>
  <c r="N222" i="2"/>
  <c r="N214" i="2"/>
  <c r="N217" i="2" s="1"/>
  <c r="N236" i="2"/>
  <c r="N230" i="2"/>
  <c r="N224" i="2"/>
  <c r="K246" i="2"/>
  <c r="K249" i="2"/>
  <c r="L242" i="2"/>
  <c r="L245" i="2" s="1"/>
  <c r="L248" i="2" s="1"/>
  <c r="L234" i="2"/>
  <c r="K144" i="1"/>
  <c r="K147" i="1"/>
  <c r="N137" i="1"/>
  <c r="N121" i="1"/>
  <c r="N123" i="1"/>
  <c r="N125" i="1"/>
  <c r="N115" i="1"/>
  <c r="N118" i="1" s="1"/>
  <c r="N134" i="1"/>
  <c r="N128" i="1"/>
  <c r="L140" i="1"/>
  <c r="L143" i="1" s="1"/>
  <c r="L146" i="1" s="1"/>
  <c r="L132" i="1"/>
  <c r="M131" i="1"/>
  <c r="M119" i="1"/>
  <c r="M47" i="8" l="1"/>
  <c r="M46" i="8"/>
  <c r="N58" i="8"/>
  <c r="N59" i="8" s="1"/>
  <c r="N42" i="8"/>
  <c r="N43" i="8" s="1"/>
  <c r="N44" i="8"/>
  <c r="N45" i="8" s="1"/>
  <c r="N40" i="8"/>
  <c r="N41" i="8" s="1"/>
  <c r="N34" i="8"/>
  <c r="N35" i="8" s="1"/>
  <c r="N61" i="8"/>
  <c r="N62" i="8" s="1"/>
  <c r="M37" i="8"/>
  <c r="M49" i="8" s="1"/>
  <c r="M50" i="8" s="1"/>
  <c r="N52" i="8"/>
  <c r="L49" i="8"/>
  <c r="L50" i="8" s="1"/>
  <c r="L55" i="8"/>
  <c r="L38" i="8"/>
  <c r="K56" i="8"/>
  <c r="K64" i="8"/>
  <c r="K67" i="8" s="1"/>
  <c r="K70" i="8" s="1"/>
  <c r="L127" i="6"/>
  <c r="D155" i="6"/>
  <c r="L106" i="3"/>
  <c r="L109" i="3"/>
  <c r="N93" i="3"/>
  <c r="N87" i="3"/>
  <c r="N88" i="3" s="1"/>
  <c r="M102" i="3"/>
  <c r="M94" i="3"/>
  <c r="M105" i="3"/>
  <c r="L139" i="6"/>
  <c r="L142" i="6"/>
  <c r="M127" i="6"/>
  <c r="M135" i="6"/>
  <c r="M138" i="6" s="1"/>
  <c r="N126" i="6"/>
  <c r="N120" i="6"/>
  <c r="N121" i="6" s="1"/>
  <c r="N109" i="6"/>
  <c r="N185" i="5"/>
  <c r="N168" i="5"/>
  <c r="N179" i="5"/>
  <c r="N180" i="5" s="1"/>
  <c r="L198" i="5"/>
  <c r="L201" i="5"/>
  <c r="M194" i="5"/>
  <c r="M197" i="5" s="1"/>
  <c r="M186" i="5"/>
  <c r="N198" i="4"/>
  <c r="N201" i="4" s="1"/>
  <c r="N190" i="4"/>
  <c r="M202" i="4"/>
  <c r="M205" i="4"/>
  <c r="N233" i="2"/>
  <c r="N227" i="2"/>
  <c r="N228" i="2" s="1"/>
  <c r="D262" i="2"/>
  <c r="L246" i="2"/>
  <c r="L249" i="2"/>
  <c r="M242" i="2"/>
  <c r="M245" i="2" s="1"/>
  <c r="M248" i="2" s="1"/>
  <c r="M234" i="2"/>
  <c r="N131" i="1"/>
  <c r="N119" i="1"/>
  <c r="L144" i="1"/>
  <c r="L147" i="1"/>
  <c r="M140" i="1"/>
  <c r="M143" i="1" s="1"/>
  <c r="M146" i="1" s="1"/>
  <c r="M132" i="1"/>
  <c r="N37" i="8" l="1"/>
  <c r="N55" i="8" s="1"/>
  <c r="M55" i="8"/>
  <c r="M64" i="8" s="1"/>
  <c r="M67" i="8" s="1"/>
  <c r="M70" i="8" s="1"/>
  <c r="M38" i="8"/>
  <c r="N47" i="8"/>
  <c r="N46" i="8"/>
  <c r="K68" i="8"/>
  <c r="K71" i="8"/>
  <c r="L64" i="8"/>
  <c r="L67" i="8" s="1"/>
  <c r="L70" i="8" s="1"/>
  <c r="L56" i="8"/>
  <c r="N102" i="3"/>
  <c r="N94" i="3"/>
  <c r="N105" i="3"/>
  <c r="M106" i="3"/>
  <c r="M109" i="3"/>
  <c r="M139" i="6"/>
  <c r="M142" i="6"/>
  <c r="N135" i="6"/>
  <c r="N127" i="6"/>
  <c r="N138" i="6"/>
  <c r="M198" i="5"/>
  <c r="M201" i="5"/>
  <c r="N194" i="5"/>
  <c r="N197" i="5" s="1"/>
  <c r="N186" i="5"/>
  <c r="N202" i="4"/>
  <c r="N205" i="4"/>
  <c r="D210" i="4"/>
  <c r="D212" i="4"/>
  <c r="M246" i="2"/>
  <c r="M249" i="2"/>
  <c r="N242" i="2"/>
  <c r="N245" i="2" s="1"/>
  <c r="N248" i="2" s="1"/>
  <c r="N234" i="2"/>
  <c r="M144" i="1"/>
  <c r="M147" i="1"/>
  <c r="N140" i="1"/>
  <c r="N143" i="1" s="1"/>
  <c r="N132" i="1"/>
  <c r="N49" i="8" l="1"/>
  <c r="N50" i="8" s="1"/>
  <c r="N38" i="8"/>
  <c r="N146" i="1"/>
  <c r="D152" i="1"/>
  <c r="D154" i="1"/>
  <c r="M68" i="8"/>
  <c r="N64" i="8"/>
  <c r="N67" i="8" s="1"/>
  <c r="N70" i="8" s="1"/>
  <c r="N56" i="8"/>
  <c r="M56" i="8"/>
  <c r="N147" i="1"/>
  <c r="D214" i="5"/>
  <c r="L71" i="8"/>
  <c r="M71" i="8" s="1"/>
  <c r="L68" i="8"/>
  <c r="D84" i="8"/>
  <c r="N106" i="3"/>
  <c r="N109" i="3"/>
  <c r="D114" i="3"/>
  <c r="D116" i="3"/>
  <c r="N139" i="6"/>
  <c r="N142" i="6"/>
  <c r="D147" i="6"/>
  <c r="D149" i="6"/>
  <c r="N198" i="5"/>
  <c r="N201" i="5"/>
  <c r="D206" i="5"/>
  <c r="D208" i="5"/>
  <c r="D211" i="4"/>
  <c r="D214" i="4" s="1"/>
  <c r="N246" i="2"/>
  <c r="N249" i="2"/>
  <c r="D254" i="2"/>
  <c r="D256" i="2"/>
  <c r="N144" i="1"/>
  <c r="D78" i="8" l="1"/>
  <c r="E103" i="8" s="1"/>
  <c r="E104" i="8" s="1"/>
  <c r="E118" i="8"/>
  <c r="N68" i="8"/>
  <c r="D76" i="8"/>
  <c r="D153" i="1"/>
  <c r="D156" i="1" s="1"/>
  <c r="N71" i="8"/>
  <c r="E102" i="8"/>
  <c r="E94" i="8"/>
  <c r="E119" i="8"/>
  <c r="E117" i="8"/>
  <c r="E96" i="8" s="1"/>
  <c r="E97" i="8" s="1"/>
  <c r="D77" i="8"/>
  <c r="D80" i="8" s="1"/>
  <c r="D82" i="8" s="1"/>
  <c r="D115" i="3"/>
  <c r="D118" i="3" s="1"/>
  <c r="D148" i="6"/>
  <c r="D151" i="6" s="1"/>
  <c r="D153" i="6" s="1"/>
  <c r="D207" i="5"/>
  <c r="D210" i="5" s="1"/>
  <c r="D216" i="4"/>
  <c r="D215" i="4"/>
  <c r="D255" i="2"/>
  <c r="D258" i="2" s="1"/>
  <c r="D158" i="1" l="1"/>
  <c r="D157" i="1"/>
  <c r="E98" i="8"/>
  <c r="D81" i="8"/>
  <c r="D120" i="3"/>
  <c r="D119" i="3"/>
  <c r="D152" i="6"/>
  <c r="D212" i="5"/>
  <c r="D211" i="5"/>
  <c r="D260" i="2"/>
  <c r="D259" i="2"/>
</calcChain>
</file>

<file path=xl/sharedStrings.xml><?xml version="1.0" encoding="utf-8"?>
<sst xmlns="http://schemas.openxmlformats.org/spreadsheetml/2006/main" count="1779" uniqueCount="789">
  <si>
    <t>SUMMARY</t>
  </si>
  <si>
    <t>Business</t>
  </si>
  <si>
    <t>FY -2025 ($B)</t>
  </si>
  <si>
    <t>FY - 2035 ($B)</t>
  </si>
  <si>
    <t>CAGR</t>
  </si>
  <si>
    <t>Care Navigation</t>
  </si>
  <si>
    <t>Tappable Revenue</t>
  </si>
  <si>
    <t>as a %</t>
  </si>
  <si>
    <t>Concierge</t>
  </si>
  <si>
    <t>Long term Care</t>
  </si>
  <si>
    <t>TOTAL</t>
  </si>
  <si>
    <t>SENSITIVITY/SCENARIO ANALYSIS</t>
  </si>
  <si>
    <t>Sensitivity --&gt;</t>
  </si>
  <si>
    <t>Scenario --&gt;</t>
  </si>
  <si>
    <t>I) CARE NAVIGATION</t>
  </si>
  <si>
    <t>II) CONCIERGE</t>
  </si>
  <si>
    <t>II) LONG TERM CARE</t>
  </si>
  <si>
    <t>Output Table</t>
  </si>
  <si>
    <t xml:space="preserve">Inputs </t>
  </si>
  <si>
    <t>TAM ($B)</t>
  </si>
  <si>
    <t>Hospitalizations</t>
  </si>
  <si>
    <t>GIGA's Charge Rate (%)</t>
  </si>
  <si>
    <t>AR/Case (INR)</t>
  </si>
  <si>
    <t>Capture Rate (%)</t>
  </si>
  <si>
    <t>Capture Rate</t>
  </si>
  <si>
    <t>Revenue ($B)</t>
  </si>
  <si>
    <t>Input Table</t>
  </si>
  <si>
    <t>TAM Scenarios ($B)</t>
  </si>
  <si>
    <t>Hospitalizations (Cr.)</t>
  </si>
  <si>
    <t>Eligibility rate</t>
  </si>
  <si>
    <t xml:space="preserve">1. Best Case </t>
  </si>
  <si>
    <t>2. Base Case</t>
  </si>
  <si>
    <t>3. Worst Case</t>
  </si>
  <si>
    <t>Capture Rate Scenarios (%)</t>
  </si>
  <si>
    <t>Nurse Monthly Comp (INR)</t>
  </si>
  <si>
    <t>Capture rate Scenarios (%)</t>
  </si>
  <si>
    <t>GIGA' charge rate Scenarios (%)</t>
  </si>
  <si>
    <t>Duration on Average (Months)</t>
  </si>
  <si>
    <t>GIGA's charge rate Scenarios (%)</t>
  </si>
  <si>
    <t>MONTE - CARLO SIM.</t>
  </si>
  <si>
    <t>Variable/Vertical</t>
  </si>
  <si>
    <t>Care Nav.</t>
  </si>
  <si>
    <t>Long-Term Care</t>
  </si>
  <si>
    <t>Total Revenue</t>
  </si>
  <si>
    <t>count</t>
  </si>
  <si>
    <t>mean</t>
  </si>
  <si>
    <t>std</t>
  </si>
  <si>
    <t>min</t>
  </si>
  <si>
    <t>max</t>
  </si>
  <si>
    <t>MODEL</t>
  </si>
  <si>
    <t>1.A) Care Navigation = Your GPS for Healthcare. (~5B/$25B)</t>
  </si>
  <si>
    <t>Stake-holder</t>
  </si>
  <si>
    <t>Core modules they touch</t>
  </si>
  <si>
    <t>What it actually lets them do</t>
  </si>
  <si>
    <t>Typical pay-off</t>
  </si>
  <si>
    <t>Patients / consumers</t>
  </si>
  <si>
    <t>Public search &amp; cost-estimate tool</t>
  </si>
  <si>
    <t>Type a procedure, ZIP and (optionally) health-plan → see machine-readable hospital &amp; payer rates side-by-side, plus star-score for transparency compliance.
• Drill down to CPT-level details; add insurance info for a personalised “Good-Faith Estimate.”</t>
  </si>
  <si>
    <t>Up-front know-what-you’ll-pay confidence; ability to shop hospitals the way you’d shop flights.</t>
  </si>
  <si>
    <t>Hospitals &amp; health systems</t>
  </si>
  <si>
    <r>
      <t>Clear Rates Data dashboard</t>
    </r>
    <r>
      <rPr>
        <sz val="11"/>
        <color theme="1"/>
        <rFont val="Aptos Narrow"/>
        <family val="2"/>
        <scheme val="minor"/>
      </rPr>
      <t xml:space="preserve"> ＋ Transparency Scorecard</t>
    </r>
  </si>
  <si>
    <t>• Benchmark every negotiated rate in the market against &gt;1 trn records parsed from rival MRFs.</t>
  </si>
  <si>
    <t>Faster CMS compliance, data to defend or re-price contracts, and marketing lift from a higher transparency score.</t>
  </si>
  <si>
    <t xml:space="preserve"> • View 1–5-star compliance score, spot missing CMS schema fields, auto-fix file errors before posting.</t>
  </si>
  <si>
    <t>Insurers / payers</t>
  </si>
  <si>
    <t>Rates API &amp; Clear Contracts suite</t>
  </si>
  <si>
    <t>• Pull real-time negotiated-rate feeds into internal UM / quoting systems.</t>
  </si>
  <si>
    <t>Cuts actuarial scraping work, speeds network build-out, and arms negotiators with “true market” benchmarks.</t>
  </si>
  <si>
    <t>• Use GIGA Health’s contracting workspace to draft, red-line and e-sign single-case or full network agreements with providers.</t>
  </si>
  <si>
    <t>TAM and Monetization</t>
  </si>
  <si>
    <t>Segment</t>
  </si>
  <si>
    <t>Core-unit driver FY-25 baseline</t>
  </si>
  <si>
    <t>Headcount (M/Hospitals/%)</t>
  </si>
  <si>
    <t>Value/Yr ($M)</t>
  </si>
  <si>
    <t>TAM - 25 ($B)</t>
  </si>
  <si>
    <t>TAM 35 ($B)</t>
  </si>
  <si>
    <t>GIGA's charge rate</t>
  </si>
  <si>
    <t>Revenue ($B) - 25</t>
  </si>
  <si>
    <t>Revenue ($B) - 35</t>
  </si>
  <si>
    <t>B2C price-transparency app</t>
  </si>
  <si>
    <t xml:space="preserve">10 M paying HH × ₹ 500/yr </t>
  </si>
  <si>
    <t>Hospital SaaS – Private, &lt; 200 beds</t>
  </si>
  <si>
    <t>45 000 hospitals × ₹ 0.35 cr/yr</t>
  </si>
  <si>
    <t>Hospital SaaS – Private, ≥ 200 beds / chains</t>
  </si>
  <si>
    <t xml:space="preserve">1500 hospitals × ₹ 2 cr/yr </t>
  </si>
  <si>
    <t>Hospital SaaS – Public hospitals</t>
  </si>
  <si>
    <t xml:space="preserve">25 000 hospitals × ₹ 0.2 cr/yr </t>
  </si>
  <si>
    <t>Insurer data / API share</t>
  </si>
  <si>
    <t>0.5 % of FY-25 health-GWP (≈ $ 14 B)</t>
  </si>
  <si>
    <t>—</t>
  </si>
  <si>
    <t>1.B) Hospital Concierge =  from admission to full recovery($120M/$500M)</t>
  </si>
  <si>
    <t xml:space="preserve">Description - </t>
  </si>
  <si>
    <t>Phase</t>
  </si>
  <si>
    <t>What the navigator (and the platform) actually do</t>
  </si>
  <si>
    <t>Tangible win for the user</t>
  </si>
  <si>
    <t>Tangible win for the payer / hospital</t>
  </si>
  <si>
    <t>Pre-admit</t>
  </si>
  <si>
    <t>• Reads referral, matches plan coverage, surfaces 3 best-value hospitals• Fires a one-tap e-pre-auth to insurer or PM-JAY TPA</t>
  </si>
  <si>
    <t>No “where do I go?” anxiety; cashless approved before arrival</t>
  </si>
  <si>
    <t>Less leakage to out-of-network, faster bed-turn</t>
  </si>
  <si>
    <t>Check-in</t>
  </si>
  <si>
    <t>• Books OR / diagnostic slot, reserves blood / implant inventory• Arranges EMI or subsidy if self-pay</t>
  </si>
  <si>
    <t>Zero paperwork queue; financing in place</t>
  </si>
  <si>
    <t>Fewer cancellations, secured payment</t>
  </si>
  <si>
    <t>In-stay</t>
  </si>
  <si>
    <t>• Daily bill audit &amp; LOS monitoring; escalates variances to case manager• Keeps family updated, sets up discharge consults</t>
  </si>
  <si>
    <t>Bill surprises killed early; family in the loop</t>
  </si>
  <si>
    <t>Lower denial risk, smoother discharge</t>
  </si>
  <si>
    <t>Discharge</t>
  </si>
  <si>
    <t>• Orders meds, schedules physio / lab pick-ups• Creates personalised rehab plan in app</t>
  </si>
  <si>
    <t>One WhatsApp link covers all after-care</t>
  </si>
  <si>
    <t>Reduces readmit risk, preserves DRG margin</t>
  </si>
  <si>
    <t>30-90-day follow-up</t>
  </si>
  <si>
    <t>• Remote-monitoring alerts; virtual nurse check-ins• Files claim top-ups if complications</t>
  </si>
  <si>
    <t>“Don’t fall through the cracks” safety net</t>
  </si>
  <si>
    <t>Documented outcomes → pay-for-value upside</t>
  </si>
  <si>
    <t>Year</t>
  </si>
  <si>
    <t>Hospitalizations (Cr)</t>
  </si>
  <si>
    <t>Avg. Revenue/Case (₹)</t>
  </si>
  <si>
    <t>CAGR (Hosp.)</t>
  </si>
  <si>
    <t>CAGR (Rev.)</t>
  </si>
  <si>
    <t>TAM (₹Cr.)</t>
  </si>
  <si>
    <t>1.C) Long-Term Care = Healing That Comes Home (~ $4B/$14B)</t>
  </si>
  <si>
    <t>At-home Care Customers (Cr.)</t>
  </si>
  <si>
    <t>Nurse Monthly comp.(₹)</t>
  </si>
  <si>
    <t>Duration on avg (months)</t>
  </si>
  <si>
    <t>TAM (₹ Cr.)</t>
  </si>
  <si>
    <t>CAGR (Nurse Rate)</t>
  </si>
  <si>
    <t>WACC</t>
  </si>
  <si>
    <t>WACC (%)</t>
  </si>
  <si>
    <t>DCF METRICS</t>
  </si>
  <si>
    <t>Period  No.</t>
  </si>
  <si>
    <t>Revenue</t>
  </si>
  <si>
    <t>% yoy growth rate</t>
  </si>
  <si>
    <t>COGS</t>
  </si>
  <si>
    <t>% of Revenue</t>
  </si>
  <si>
    <t>Gross Profit</t>
  </si>
  <si>
    <t>OPEX. S&amp;M</t>
  </si>
  <si>
    <t>OPEX. G&amp;A</t>
  </si>
  <si>
    <t>D&amp;A</t>
  </si>
  <si>
    <t>EBIT</t>
  </si>
  <si>
    <t>CapEx</t>
  </si>
  <si>
    <t>NCOWC</t>
  </si>
  <si>
    <t>TAX (25%)</t>
  </si>
  <si>
    <t>FCFF</t>
  </si>
  <si>
    <t>PV OF FCFF</t>
  </si>
  <si>
    <t>Cumulative</t>
  </si>
  <si>
    <t xml:space="preserve">WACC </t>
  </si>
  <si>
    <t>peretual growth rate = g</t>
  </si>
  <si>
    <t>Terminal Value ($M)</t>
  </si>
  <si>
    <t>Terminal Value PV ($M)</t>
  </si>
  <si>
    <t>Enterprise Value (EV) ($M)</t>
  </si>
  <si>
    <t>Net Present Value (NPV) ($M)</t>
  </si>
  <si>
    <t>Profitablity Index (PI)</t>
  </si>
  <si>
    <t>Payback Period (FCFF) (yrs)</t>
  </si>
  <si>
    <t>Staffing (Doctors+Nurses+HCPs)</t>
  </si>
  <si>
    <t>Health IT</t>
  </si>
  <si>
    <t>Medical device Install and Maintenance</t>
  </si>
  <si>
    <t>Operations and Compliane Consultants</t>
  </si>
  <si>
    <t xml:space="preserve">Facility Mgmt. </t>
  </si>
  <si>
    <t>CONTRACTORS TOTAL</t>
  </si>
  <si>
    <t>GIGA EoR Convert</t>
  </si>
  <si>
    <t>Medical-Device Vendors</t>
  </si>
  <si>
    <t>Pharmaceutical Vendors</t>
  </si>
  <si>
    <t>Healthcare-IT Vendors</t>
  </si>
  <si>
    <t>VENDORS TOTAL</t>
  </si>
  <si>
    <t>Equipment Rentals/lease</t>
  </si>
  <si>
    <t>IT Hardware Rentals</t>
  </si>
  <si>
    <t>Telemedicine Kits</t>
  </si>
  <si>
    <t>IT DEVICES TOTAL</t>
  </si>
  <si>
    <t>EoR</t>
  </si>
  <si>
    <t>&lt;&lt; EoR CAGR</t>
  </si>
  <si>
    <t>EoR as % of Total</t>
  </si>
  <si>
    <t>I) Contractors</t>
  </si>
  <si>
    <t>II) Vendors</t>
  </si>
  <si>
    <t>III) IT/Devices</t>
  </si>
  <si>
    <t>EoR addessable market ($B)</t>
  </si>
  <si>
    <t>EoR capture % (%)</t>
  </si>
  <si>
    <t>Capture Rate CAGR %</t>
  </si>
  <si>
    <t>N/A</t>
  </si>
  <si>
    <t>Take rate %</t>
  </si>
  <si>
    <t>EoR addressable Market Scenarios ($B)</t>
  </si>
  <si>
    <t>EoR Capture % Scenarios (%)</t>
  </si>
  <si>
    <t>Capture % CAGR Scenarios (%)</t>
  </si>
  <si>
    <t>Take rate % Scenarios (%)</t>
  </si>
  <si>
    <t>Contractor</t>
  </si>
  <si>
    <t>Vendors</t>
  </si>
  <si>
    <t>IT/Devices</t>
  </si>
  <si>
    <t>Total EoR Revenue</t>
  </si>
  <si>
    <t>I) CONTRACTORS (Skilled Human Capital)</t>
  </si>
  <si>
    <t>I.A) Staffing  = Talent-on-Tap for Healthcare ($700M/3B)</t>
  </si>
  <si>
    <t>Category</t>
  </si>
  <si>
    <t>Avg. 1 month salary (L)</t>
  </si>
  <si>
    <t>2025 Headcount (M)</t>
  </si>
  <si>
    <t>Annual Staffing Demand</t>
  </si>
  <si>
    <t>Salary  CAGR</t>
  </si>
  <si>
    <t>Headcount CAGR</t>
  </si>
  <si>
    <t>2025 TAM ($B)</t>
  </si>
  <si>
    <t>2035 TAM ($B)</t>
  </si>
  <si>
    <t>Doctors</t>
  </si>
  <si>
    <t>Nurses</t>
  </si>
  <si>
    <t>HCPs</t>
  </si>
  <si>
    <t>I.B) Health IT Contractors</t>
  </si>
  <si>
    <t>Type</t>
  </si>
  <si>
    <t>Talent</t>
  </si>
  <si>
    <t>Talent Demand</t>
  </si>
  <si>
    <t>Average cost/FTE($)</t>
  </si>
  <si>
    <t>Digital Maturity Penetration</t>
  </si>
  <si>
    <t>TAM 2025 ($B)</t>
  </si>
  <si>
    <t>TAM 2035 ($B)</t>
  </si>
  <si>
    <t>EHR Integration</t>
  </si>
  <si>
    <t>HL7/FHIR devs, health IT PMs</t>
  </si>
  <si>
    <t>Cyber-security</t>
  </si>
  <si>
    <t>SecOps, Compliance, Auditors</t>
  </si>
  <si>
    <t>Cloud / Infra</t>
  </si>
  <si>
    <t>DevOps, Cloud Eng., SREs</t>
  </si>
  <si>
    <t>Data Analytics</t>
  </si>
  <si>
    <t>Analysts, Data Eng., ML ops</t>
  </si>
  <si>
    <t xml:space="preserve">TOTAL </t>
  </si>
  <si>
    <t>I.C)Medical-Device Installation &amp; Maintenance</t>
  </si>
  <si>
    <t>FTE Demand</t>
  </si>
  <si>
    <t>FTE Cost ($)</t>
  </si>
  <si>
    <t>Coverage</t>
  </si>
  <si>
    <t>Medical-Device Install. &amp; Maintenance</t>
  </si>
  <si>
    <t>I.D) Operations &amp; Compliance Consultants</t>
  </si>
  <si>
    <t>Demand</t>
  </si>
  <si>
    <t>Consulting Penetration</t>
  </si>
  <si>
    <t>Salary</t>
  </si>
  <si>
    <t xml:space="preserve">CAGR </t>
  </si>
  <si>
    <t>Operations Consultants</t>
  </si>
  <si>
    <t>Compliance Consultants</t>
  </si>
  <si>
    <t xml:space="preserve">I.E)  Facility-Management Contractors (Hard &amp; Soft FM) </t>
  </si>
  <si>
    <t>Salary ($)</t>
  </si>
  <si>
    <t>CAGR 25-35</t>
  </si>
  <si>
    <t>Facility Mgmt. Contractors (soft)</t>
  </si>
  <si>
    <t>Facility Mgmt. Contractors (hard)</t>
  </si>
  <si>
    <t>GIGA Contractor EoR convert from TAM</t>
  </si>
  <si>
    <t>EoR Revenue Opportunity</t>
  </si>
  <si>
    <t>2025 Labour TAM ($B)</t>
  </si>
  <si>
    <t>2035 Labour TAM ($B)</t>
  </si>
  <si>
    <t>EoR Capture (%)</t>
  </si>
  <si>
    <t>EoR-Addressable Labour 2025 ($B)</t>
  </si>
  <si>
    <t>EoR-Addressable Labour 2035 ($B)</t>
  </si>
  <si>
    <t>Take-rate (%)</t>
  </si>
  <si>
    <t>EoR Revenue 2025 ($B)</t>
  </si>
  <si>
    <t>CAGR (capture)</t>
  </si>
  <si>
    <t>EoR Revenue 2035 ($B)</t>
  </si>
  <si>
    <t>Staffing(Doctors+Nurses+HCPs)</t>
  </si>
  <si>
    <t>Health-IT Contractors (EHR + Cyber + Cloud + Data)</t>
  </si>
  <si>
    <t>Med-Device Install &amp; Maintenance Contractors</t>
  </si>
  <si>
    <t>Ops &amp; Compliance Consultants</t>
  </si>
  <si>
    <t>Facility-Management Contractors (hard + soft)</t>
  </si>
  <si>
    <t>EoR as % of TOTAL TAM</t>
  </si>
  <si>
    <t>II) VENDORS (Software)</t>
  </si>
  <si>
    <t>II.A) Medical Devices (CAPEX + Disposables)</t>
  </si>
  <si>
    <t>Sales and service engineers</t>
  </si>
  <si>
    <t>Manufacturing staff</t>
  </si>
  <si>
    <t>II.B)  Pharmaceutical vendors</t>
  </si>
  <si>
    <t>Sales/Field Sales</t>
  </si>
  <si>
    <t>Manufacturing operations</t>
  </si>
  <si>
    <t>R&amp;D / Regulatory / QA</t>
  </si>
  <si>
    <t xml:space="preserve">II.C) Healthcare-IT Vendors (EHR, tele-med SaaS, cloud MSP) </t>
  </si>
  <si>
    <t>EHR license support</t>
  </si>
  <si>
    <t>Tele Med - SaaS</t>
  </si>
  <si>
    <t>Cloud MSP and SOC/Cyber</t>
  </si>
  <si>
    <t>III) IT Devices (Hardware)</t>
  </si>
  <si>
    <t>III.A) Equipment Rentals / Leasing (MRI, CT, Bedside Monitors)</t>
  </si>
  <si>
    <t>Sub-segment</t>
  </si>
  <si>
    <t>2025 Units</t>
  </si>
  <si>
    <t>Rental Penetration</t>
  </si>
  <si>
    <t>Rental Units</t>
  </si>
  <si>
    <t>Rental Price ($)</t>
  </si>
  <si>
    <t>MRI</t>
  </si>
  <si>
    <t>CT</t>
  </si>
  <si>
    <t>Ultrasound + X ray</t>
  </si>
  <si>
    <t>Bedside Monitors</t>
  </si>
  <si>
    <t xml:space="preserve">Homecare </t>
  </si>
  <si>
    <t>III.B) IT Hardware Rentals (Laptops, Thin Clients, On-prem Servers)</t>
  </si>
  <si>
    <t>Laptops</t>
  </si>
  <si>
    <t>Thin clients</t>
  </si>
  <si>
    <t>on - perm servers</t>
  </si>
  <si>
    <t>III.C) Telemedicine Kits (Carts, Cameras)</t>
  </si>
  <si>
    <t>Telemedicine carts</t>
  </si>
  <si>
    <t>Telemed cameras</t>
  </si>
  <si>
    <t>OPEX. Prod. and tech.</t>
  </si>
  <si>
    <t>EBITDA</t>
  </si>
  <si>
    <t>GIGA AR Infra</t>
  </si>
  <si>
    <t>GIGA HNPL</t>
  </si>
  <si>
    <t xml:space="preserve">I) GIGA AR INFRA </t>
  </si>
  <si>
    <t xml:space="preserve">II) GIGA HNPL </t>
  </si>
  <si>
    <t>Uptake Rate (%)</t>
  </si>
  <si>
    <t>Upfront Loan % of Insured Claim (%)</t>
  </si>
  <si>
    <t>Uptake Rate Scenarios (%)</t>
  </si>
  <si>
    <t>Upfront Loan% of Insured Claim Scenarios (%)</t>
  </si>
  <si>
    <t>Total Infra Revenue</t>
  </si>
  <si>
    <t xml:space="preserve"> </t>
  </si>
  <si>
    <t>I.A) GIGA AR INFRA : Claims to Cash in Minutes! (~$20B/$50B)</t>
  </si>
  <si>
    <t>Scope :</t>
  </si>
  <si>
    <t>Item</t>
  </si>
  <si>
    <t>Insight</t>
  </si>
  <si>
    <t>Problem</t>
  </si>
  <si>
    <t>~2$B stuck in receivables due to insurance delays (DSO 60–120 days)</t>
  </si>
  <si>
    <t>Target Market</t>
  </si>
  <si>
    <t>75,000 hospitals in India (66.4% private, 33.3% govt)</t>
  </si>
  <si>
    <t>Cash Flow Gap</t>
  </si>
  <si>
    <t>Private: ~$1.3B • Govt: ~$0.7B</t>
  </si>
  <si>
    <t>Giga’s Solution</t>
  </si>
  <si>
    <t>Instant AR financing via receivables discounting with NBFC/bank partnerships</t>
  </si>
  <si>
    <t>Product Hooks</t>
  </si>
  <si>
    <t>Real-time claim visibility via Giga Concierge, hospital credit scoring</t>
  </si>
  <si>
    <t>Revenue Model</t>
  </si>
  <si>
    <t>3% fee on financed claim volume</t>
  </si>
  <si>
    <t>TAM</t>
  </si>
  <si>
    <t>$18.47B/year</t>
  </si>
  <si>
    <t xml:space="preserve">Serviceable Opportunity </t>
  </si>
  <si>
    <t>~$160M-&gt;$660M in fee revenue</t>
  </si>
  <si>
    <t>Why Now</t>
  </si>
  <si>
    <t>IRDAI claim API push, hospital liquidity crunch, health infra platformization</t>
  </si>
  <si>
    <t>Strategic Edge</t>
  </si>
  <si>
    <t>Claims data at source, embedded at pre-auth &amp; discharge, underwriting advantage</t>
  </si>
  <si>
    <t>Assumptions :</t>
  </si>
  <si>
    <t>Hospital Type</t>
  </si>
  <si>
    <t>Facility Headcount</t>
  </si>
  <si>
    <t>Bed count</t>
  </si>
  <si>
    <t>Occupancy rate</t>
  </si>
  <si>
    <t>ARPOB (₹)</t>
  </si>
  <si>
    <t>Insured Revenue %</t>
  </si>
  <si>
    <t>Stuck Insured Revenue ($B) -2025</t>
  </si>
  <si>
    <t>Large Private (&gt;250 beds)</t>
  </si>
  <si>
    <t>Small Private (&lt;250 beds)</t>
  </si>
  <si>
    <t>Public Hospitals</t>
  </si>
  <si>
    <t>Sub-Segment</t>
  </si>
  <si>
    <t>% of Total Claims</t>
  </si>
  <si>
    <t>Notes</t>
  </si>
  <si>
    <t>Typical DSO (Days)</t>
  </si>
  <si>
    <t>Actual DSO (days)</t>
  </si>
  <si>
    <t>Average DSO</t>
  </si>
  <si>
    <t>Average % Claims</t>
  </si>
  <si>
    <t>Lower</t>
  </si>
  <si>
    <t>Upper</t>
  </si>
  <si>
    <t>Government Schemes</t>
  </si>
  <si>
    <t>Ayushman Bharat (PM-JAY)</t>
  </si>
  <si>
    <t>45 - 50%</t>
  </si>
  <si>
    <t>Largest single scheme, covers bottom 40% of population</t>
  </si>
  <si>
    <t>Official TAT: 15â€“30 days; practical delays common, esp. for inter-state claims.</t>
  </si>
  <si>
    <t>State Health Insurance Schemes</t>
  </si>
  <si>
    <t xml:space="preserve">  8 -10%</t>
  </si>
  <si>
    <t>State-level programs, some overlap with PM-JAY</t>
  </si>
  <si>
    <t>High variability; budget cycles and admin backlog cause delays.</t>
  </si>
  <si>
    <t>ESIC (Employeesâ€™ State Insurance)</t>
  </si>
  <si>
    <t>5 - 6%</t>
  </si>
  <si>
    <t>Formal sector, low-income employees and dependents</t>
  </si>
  <si>
    <t>Target: 10â€“24 days; real DSO longer due to scrutiny and paperwork.</t>
  </si>
  <si>
    <t>CGHS (Central Govt. Health Scheme)</t>
  </si>
  <si>
    <t>2 - 3%</t>
  </si>
  <si>
    <t>Central govt. employees, pensioners, MPs, judiciary, etc.</t>
  </si>
  <si>
    <t>Target: 16 days; audits show frequent delays up to several months.</t>
  </si>
  <si>
    <t>Other Govt. Schemes</t>
  </si>
  <si>
    <t>Specialized/sectoral (e.g., RSBY, ECHS, state pensions)</t>
  </si>
  <si>
    <t>Includes sectoral/pensioner schemes; delays similar to state/CGHS.</t>
  </si>
  <si>
    <t>Employer/Corporate Group</t>
  </si>
  <si>
    <t>Large Corporate Group Plans</t>
  </si>
  <si>
    <t>6 - 7%</t>
  </si>
  <si>
    <t>Major private/public sector employers, includes dependents</t>
  </si>
  <si>
    <t>Faster cycles due to direct relationships and higher volumes.</t>
  </si>
  <si>
    <t>SME/Startup Group Plans</t>
  </si>
  <si>
    <t>Small/medium enterprises, startups</t>
  </si>
  <si>
    <t>Slightly longer than large corporates; admin delays possible.</t>
  </si>
  <si>
    <t>Industry/Trade Group Plans</t>
  </si>
  <si>
    <t>1 - 2%</t>
  </si>
  <si>
    <t>Unions, cooperatives, professional associations</t>
  </si>
  <si>
    <t>Similar to SME/startup plans.</t>
  </si>
  <si>
    <t>Embedded/Sachet Group Insurance</t>
  </si>
  <si>
    <t>&lt;1%</t>
  </si>
  <si>
    <t>Bundled with products/services (e.g., credit cards)</t>
  </si>
  <si>
    <t>Often bundled, lower claim values, faster processing.</t>
  </si>
  <si>
    <t>Retail/Individual Private</t>
  </si>
  <si>
    <t>Individual Health Policies</t>
  </si>
  <si>
    <t>7 - 8%</t>
  </si>
  <si>
    <t>Self or family, urban-centric</t>
  </si>
  <si>
    <t>IRDAI target: 30 days; real DSO higher due to documentation.</t>
  </si>
  <si>
    <t>Family Floater Plans</t>
  </si>
  <si>
    <t>4 - 5%</t>
  </si>
  <si>
    <t>Shared sum insured, popular with urban middle class</t>
  </si>
  <si>
    <t>Similar to individual policies.</t>
  </si>
  <si>
    <t>Senior Citizen Plans</t>
  </si>
  <si>
    <t>Specialized for 60+ age group</t>
  </si>
  <si>
    <t>More scrutiny, higher paperwork, longer DSO.</t>
  </si>
  <si>
    <t>Critical Illness Plans</t>
  </si>
  <si>
    <t>Lump-sum payout for specific diseases</t>
  </si>
  <si>
    <t>Lump-sum, but can be delayed for verification.</t>
  </si>
  <si>
    <t>Top-up/Super Top-up Plans</t>
  </si>
  <si>
    <t>Additional coverage, used with base policies</t>
  </si>
  <si>
    <t>Additional documentation extends DSO.</t>
  </si>
  <si>
    <t>Standalone Health Insurers (SAHI)</t>
  </si>
  <si>
    <t>Specialized private health insurers</t>
  </si>
  <si>
    <t>Specialized private insurers; DSO similar to other private.</t>
  </si>
  <si>
    <t xml:space="preserve">Other  </t>
  </si>
  <si>
    <t>Microinsurance (Commercial)</t>
  </si>
  <si>
    <t>Sold via MFIs, NGOs, low-income focus</t>
  </si>
  <si>
    <t>Lower claim value, but rural admin delays possible.</t>
  </si>
  <si>
    <t>Microinsurance (Govt/Aid)</t>
  </si>
  <si>
    <t>0.5 - 1%</t>
  </si>
  <si>
    <t>Subsidized/free, bundled with welfare programs</t>
  </si>
  <si>
    <t>Subsidized/free, often delayed by paperwork.</t>
  </si>
  <si>
    <t>Community-Based Health Insurance</t>
  </si>
  <si>
    <t>Organized by SHGs, NGOs, rural/underserved</t>
  </si>
  <si>
    <t>SHG/NGO-run, variable admin efficiency.</t>
  </si>
  <si>
    <t>Special Schemes</t>
  </si>
  <si>
    <t>Targeted (e.g., accident, gig worker, schoolchildren)</t>
  </si>
  <si>
    <t>Accident, gig worker, schoolchildren, etc.</t>
  </si>
  <si>
    <t>Weighted Avg. Insured Revenue - 25 ($B)</t>
  </si>
  <si>
    <t>Weighted Avg. DSO - 25</t>
  </si>
  <si>
    <t xml:space="preserve">Annual Insurance AR TAM ($B) </t>
  </si>
  <si>
    <t>GIGA's POTENTIAL TAP</t>
  </si>
  <si>
    <t>Uptake Rate - 2025</t>
  </si>
  <si>
    <t>Uptake CAGR</t>
  </si>
  <si>
    <t>Uptake Rate - 2035</t>
  </si>
  <si>
    <t>GIGA's charge rate - 25</t>
  </si>
  <si>
    <t>GIGA's charge rate - 35</t>
  </si>
  <si>
    <t>Upfront Loan % of Insurance Claim</t>
  </si>
  <si>
    <t>Revenue - 2025 ($M)</t>
  </si>
  <si>
    <t>Revenue - 2035 ($M)</t>
  </si>
  <si>
    <t>II ) GIGA HNPL (~$10B/$26B)</t>
  </si>
  <si>
    <t>Insured patients face average ₹1.1 L (~$1.33K) out‑of‑pocket gaps per admission, with hospitals requiring full payment at discharge — causing treatment delays.</t>
  </si>
  <si>
    <t>India sees ~58 M admissions annually; ~30% insured ⇒ ~17M possible; ~75% underinsured ⇒ ~12M require financing; ~70% eligible (KYC, age, mobile).</t>
  </si>
  <si>
    <t>Each patient has an average OOP shortfall of $1.33K (₹1.1 L) that needs bridging at discharge.</t>
  </si>
  <si>
    <t>Embed an on-site fintech lender portal to finance 100% of the OOP gap instantly, ensuring full hospital payment.</t>
  </si>
  <si>
    <t>Real-time OOP use-case, one-click loan UI, instant approvals via lender API integration.</t>
  </si>
  <si>
    <r>
      <t xml:space="preserve">Giga charges ~3% merchant discount + ~1–2% referral fee from lenders ⇒ </t>
    </r>
    <r>
      <rPr>
        <b/>
        <sz val="11"/>
        <color theme="1"/>
        <rFont val="Aptos Narrow"/>
        <family val="2"/>
        <scheme val="minor"/>
      </rPr>
      <t>4–5% effective fee per loan</t>
    </r>
    <r>
      <rPr>
        <sz val="11"/>
        <color theme="1"/>
        <rFont val="Aptos Narrow"/>
        <family val="2"/>
        <scheme val="minor"/>
      </rPr>
      <t>.</t>
    </r>
  </si>
  <si>
    <t>TAM (2025)</t>
  </si>
  <si>
    <t>$12.19 B uncovered OOP financing need (58M × 30% × 75% × 70% × $1.33K).</t>
  </si>
  <si>
    <t>Serviceable 2025–2035</t>
  </si>
  <si>
    <t>20% uptake ⇒ $0.07 B revenue in 2025; with 60% uptake by 2035, revenue grows to $0.57 B.</t>
  </si>
  <si>
    <t>India BNPL is rising rapidly—$16 B in 2024, reaching ~$22 B in 2025 (CAGR ~10–13%), with healthcare outpacing at ~26% CAGR (marketresearchfuture.com).</t>
  </si>
  <si>
    <t>Giga integrates deeply into discharge billing workflows, using real OOP data for instant finance offers — unmatched by banks or TPAs alone.</t>
  </si>
  <si>
    <t>India Total Population (Bn)</t>
  </si>
  <si>
    <t>Average Hospitalization Density</t>
  </si>
  <si>
    <t>Average Annual Hospitalizations (Mn)</t>
  </si>
  <si>
    <t>Total Bill/Patient - 2025 ($B)</t>
  </si>
  <si>
    <t>Uncovered Insurance ($B)  - 2025</t>
  </si>
  <si>
    <t>Weighted Avg. Uncovered Insured Revenue - 25 ($B)</t>
  </si>
  <si>
    <t>% Insured Patients - 25</t>
  </si>
  <si>
    <t>% Needing Insurance Finance</t>
  </si>
  <si>
    <t>% eligible (kyc+mobile+age)</t>
  </si>
  <si>
    <t>TAM 2025 ($M)</t>
  </si>
  <si>
    <t>TAM 2035 ($M)</t>
  </si>
  <si>
    <t>Upfront Loan % of Uncovered Insurance</t>
  </si>
  <si>
    <t>Revenue - 2025 ($B)</t>
  </si>
  <si>
    <t>Revenue - 2035 ($B)</t>
  </si>
  <si>
    <t>OPEX. Ops.</t>
  </si>
  <si>
    <t>OPEX. Tech. and prod.</t>
  </si>
  <si>
    <t>OPEX. TOTAL</t>
  </si>
  <si>
    <t>FY -2025</t>
  </si>
  <si>
    <t xml:space="preserve">FY - 2035 </t>
  </si>
  <si>
    <t>Technology ($B)</t>
  </si>
  <si>
    <t>Tappable Revenue ($M)</t>
  </si>
  <si>
    <t>Marketing ($B)</t>
  </si>
  <si>
    <t>Compliances ($B)</t>
  </si>
  <si>
    <t>Services ($B)</t>
  </si>
  <si>
    <t>TOTAL ($B)</t>
  </si>
  <si>
    <t>I) TECHNOLOGY</t>
  </si>
  <si>
    <t>II)  MARKETING</t>
  </si>
  <si>
    <t>II)  COMPLIANCES</t>
  </si>
  <si>
    <t>II)  SERVICES</t>
  </si>
  <si>
    <t>Revenue ($M)</t>
  </si>
  <si>
    <t>TAM($B)</t>
  </si>
  <si>
    <t>Technology</t>
  </si>
  <si>
    <t>Marketing</t>
  </si>
  <si>
    <t>Compliances</t>
  </si>
  <si>
    <t>Services</t>
  </si>
  <si>
    <t>Total Platform Revenue</t>
  </si>
  <si>
    <t>3.A) Technology = Where Code Becomes Cure. (~$4.5B/$22B)</t>
  </si>
  <si>
    <t>Key Product Segments &amp; Leading Vendors</t>
  </si>
  <si>
    <t>Leading Products/Vendors (Global/India)</t>
  </si>
  <si>
    <t>Why Is It Important?</t>
  </si>
  <si>
    <t>EHR/EMR</t>
  </si>
  <si>
    <t>Epic, Oracle Health (Cerner), eClinicalWorks, athenaOne, NextGen, Practo, Medanta HIS</t>
  </si>
  <si>
    <t>Central nervous system of a hospital; essential for patient record management, regulatory compliance, and continuity of care. High criticality.</t>
  </si>
  <si>
    <t>HRMS</t>
  </si>
  <si>
    <t>Workday HCM, UKG Pro, BambooHR, Paycor, Ceridian, Mettl, GreytHR</t>
  </si>
  <si>
    <t>Critical for managing clinical and non-clinical staff scheduling, payroll, and compliance. Moderate-to-high importance due to staffing pressures.</t>
  </si>
  <si>
    <t>RCM</t>
  </si>
  <si>
    <t>Optum, Change Healthcare, NextGen, eClinicalWorks, Trizetto, CareCloud</t>
  </si>
  <si>
    <t>Ensures cashflow via billing, coding, claims management; directly affects hospital sustainability. Very high criticality.</t>
  </si>
  <si>
    <t>AI &amp; Analytics</t>
  </si>
  <si>
    <t>PathAI, XpertDox, K Health, Athelas, EvolutionaryScale, TCS, Tata Elxsi, Qure.ai</t>
  </si>
  <si>
    <t>Enables diagnostics, clinical decision support, and business intelligence; improves patient outcomes and cost control. Increasingly critical.</t>
  </si>
  <si>
    <t>FWA (Fraud/Waste/Abuse)</t>
  </si>
  <si>
    <t>Optum, Change Healthcare, BHMPC, Oracle, Infinx, VisiQuate</t>
  </si>
  <si>
    <t>Helps prevent revenue leakage and compliance penalties; growing importance as audits intensify. Moderate criticality but rising fast.</t>
  </si>
  <si>
    <t>AI Scribe</t>
  </si>
  <si>
    <t>Dorascribe, ScribeEMR, Augmedix, Nuance (Microsoft), DeepScribe</t>
  </si>
  <si>
    <t>Boosts doctor productivity and reduces burnout by automating clinical documentation. High impact in OPD/IPD settings; growing criticality.</t>
  </si>
  <si>
    <t>Typical Annual Spend by Hospital Segment (India, 2025)</t>
  </si>
  <si>
    <t>Segment Size</t>
  </si>
  <si>
    <t>EHR/EMR (₹ lakh)</t>
  </si>
  <si>
    <t>HRMS (₹ lakh)</t>
  </si>
  <si>
    <t>RCM (₹ lakh)</t>
  </si>
  <si>
    <t>AI &amp; Analytics (₹ lakh)</t>
  </si>
  <si>
    <t>FWA (₹ lakh)</t>
  </si>
  <si>
    <t>Scribe (₹ lakh)</t>
  </si>
  <si>
    <t>Total (₹ lakh)</t>
  </si>
  <si>
    <t>Total ($)</t>
  </si>
  <si>
    <t>Average ($K)</t>
  </si>
  <si>
    <t>40–100</t>
  </si>
  <si>
    <t>10–20</t>
  </si>
  <si>
    <t>30–50</t>
  </si>
  <si>
    <t>15–30</t>
  </si>
  <si>
    <t>8–15</t>
  </si>
  <si>
    <t>113–235</t>
  </si>
  <si>
    <t>$136k–$283k</t>
  </si>
  <si>
    <t>10–25</t>
  </si>
  <si>
    <t>2–5</t>
  </si>
  <si>
    <t>6–12</t>
  </si>
  <si>
    <t>1–3</t>
  </si>
  <si>
    <t>1–2</t>
  </si>
  <si>
    <t>22–52</t>
  </si>
  <si>
    <t>$26k–$63k</t>
  </si>
  <si>
    <t>Public Hospital</t>
  </si>
  <si>
    <t>8–18</t>
  </si>
  <si>
    <t>2–4</t>
  </si>
  <si>
    <t>4–10</t>
  </si>
  <si>
    <t>18–40</t>
  </si>
  <si>
    <t>$22k–$48k</t>
  </si>
  <si>
    <t>No. of Facilities</t>
  </si>
  <si>
    <t>Avg. Tech Spend/Facility ($K)</t>
  </si>
  <si>
    <t>Total Annual Spend ($B) 2025</t>
  </si>
  <si>
    <t>Hospitals CAGR</t>
  </si>
  <si>
    <t>Annual Spend CAGR</t>
  </si>
  <si>
    <t>Total Annual Spend ($B) 2035</t>
  </si>
  <si>
    <t>Revenue ($M) - 25</t>
  </si>
  <si>
    <t>Revenue ($M) - 35</t>
  </si>
  <si>
    <t>Total</t>
  </si>
  <si>
    <t>3.B) Marketing  = Turning Every Click into a Check-In. (~$0.6B/1.5B)</t>
  </si>
  <si>
    <t>Type/Activity</t>
  </si>
  <si>
    <t>Description</t>
  </si>
  <si>
    <t>Why it’s a win for Hospitals</t>
  </si>
  <si>
    <t>Why it’s a win for Investors</t>
  </si>
  <si>
    <t>Digital Marketing</t>
  </si>
  <si>
    <t>Website Development, SEO, Maintenance</t>
  </si>
  <si>
    <t>Improves online presence and discoverability</t>
  </si>
  <si>
    <t>Increases patient inflow and service bookings</t>
  </si>
  <si>
    <t>Scalable, measurable ROI with performance-based outcomes</t>
  </si>
  <si>
    <t>Social Media Marketing</t>
  </si>
  <si>
    <t>Engages audience via content, ads, and updates</t>
  </si>
  <si>
    <t>Boosts patient engagement and brand visibility</t>
  </si>
  <si>
    <t>Builds digital brand equity with low CAC</t>
  </si>
  <si>
    <t>Content Marketing (Blogs, Videos, Testimonials)</t>
  </si>
  <si>
    <t>Educates, builds trust through storytelling</t>
  </si>
  <si>
    <t>Enhances credibility and organic patient pull</t>
  </si>
  <si>
    <t>Lowers marketing cost through owned channels</t>
  </si>
  <si>
    <t>Email &amp; SMS Campaigns</t>
  </si>
  <si>
    <t>Direct patient communication &amp; loyalty programs</t>
  </si>
  <si>
    <t>Drives repeat visits, service reminders, up-selling</t>
  </si>
  <si>
    <t>Strong retention = Higher LTV (lifetime value)</t>
  </si>
  <si>
    <t>PPC &amp; Display Ads</t>
  </si>
  <si>
    <t>Targeted paid promotions</t>
  </si>
  <si>
    <t>Boosts awareness, especially for elective services</t>
  </si>
  <si>
    <t>Quick traction in high-margin segments</t>
  </si>
  <si>
    <t>Traditional Marketing</t>
  </si>
  <si>
    <t>Print Ads (Newspapers, Magazines)</t>
  </si>
  <si>
    <t>Local mass reach &amp; credibility</t>
  </si>
  <si>
    <t>Drives awareness in non-digital-savvy populations</t>
  </si>
  <si>
    <t>Ensures diversified reach beyond digital natives</t>
  </si>
  <si>
    <t>Outdoor Advertising</t>
  </si>
  <si>
    <t>Billboards, hoardings, transit media</t>
  </si>
  <si>
    <t>Great for brand recall &amp; local dominance</t>
  </si>
  <si>
    <t>Visibility in high-traffic locations supports volume</t>
  </si>
  <si>
    <t>Local Radio Spots</t>
  </si>
  <si>
    <t>Localized reach, especially in Tier 2/3 cities</t>
  </si>
  <si>
    <t>Creates trust &amp; mass appeal in catchment areas</t>
  </si>
  <si>
    <t>Taps into affordable, hyper-local channels</t>
  </si>
  <si>
    <t>Influencer &amp; PR</t>
  </si>
  <si>
    <t>Health Influencer Collaborations</t>
  </si>
  <si>
    <t>Promotes services via trusted voices in community</t>
  </si>
  <si>
    <t>Drives faster adoption of new offerings/clinics</t>
  </si>
  <si>
    <t>Authenticity converts to organic customer growth</t>
  </si>
  <si>
    <t>PR (Media Outreach, Press Releases)</t>
  </si>
  <si>
    <t>Establishes credibility and reputation</t>
  </si>
  <si>
    <t>Boosts public trust, crisis communication, brand story</t>
  </si>
  <si>
    <t>Improves investor trust &amp; earned media leverage</t>
  </si>
  <si>
    <t>BTL &amp; Community Marketing</t>
  </si>
  <si>
    <t>Health Camps &amp; Wellness Events</t>
  </si>
  <si>
    <t>On-ground patient interaction and screening</t>
  </si>
  <si>
    <t>Drives high-intent leads and CSR goodwill</t>
  </si>
  <si>
    <t>Effective lead gen and community impact at low cost</t>
  </si>
  <si>
    <t>Hospital Segment</t>
  </si>
  <si>
    <t>Beds/Facility</t>
  </si>
  <si>
    <t>Avg. Marketing Budget/Bed (₹)</t>
  </si>
  <si>
    <t>Total Marketing Spend (₹ Cr.)</t>
  </si>
  <si>
    <t>Marketing Spend CAGR</t>
  </si>
  <si>
    <t xml:space="preserve">Total </t>
  </si>
  <si>
    <t>3.C) Compliance = Where Regulation Meets Reputation. (~$150M/$500M)</t>
  </si>
  <si>
    <t>Compliance Area</t>
  </si>
  <si>
    <t>Why It’s a Win for Hospitals &amp; Patients</t>
  </si>
  <si>
    <t>Why It’s a Win for Investors</t>
  </si>
  <si>
    <t>Avg. Cost/Facility/Year (₹)</t>
  </si>
  <si>
    <t>Licensing</t>
  </si>
  <si>
    <t>Legally enables operations and avoids fines; signals quality &amp; safety to patients</t>
  </si>
  <si>
    <t>High renewal stickiness with low churn; recurring revenue from mandatory renewals</t>
  </si>
  <si>
    <t>Weighted avg. (₹3,000–₹2,00,000+); public hospitals often exempt</t>
  </si>
  <si>
    <t>HCP Credentialing</t>
  </si>
  <si>
    <t>Verifies qualifications to mitigate malpractice risk; builds patient trust &amp; ratings</t>
  </si>
  <si>
    <t>Strong moat via integrations with medical councils; opportunity to cross-sell into HRMS/EMR systems</t>
  </si>
  <si>
    <t>Based on ₹8,000–₹16,000 per physician, annualized for staff</t>
  </si>
  <si>
    <t>Insurance Empanelment</t>
  </si>
  <si>
    <t>Enables cashless billing and broadens patient access; simplifies claims &amp; reimbursement workflows</t>
  </si>
  <si>
    <t>Network effects with TPAs and insurers; transaction-fee upside and valuable data insights</t>
  </si>
  <si>
    <t>Weighted avg. (₹10,000–₹50,000); now streamlined</t>
  </si>
  <si>
    <t>Per hospital, per year</t>
  </si>
  <si>
    <t>Hospital Headcount</t>
  </si>
  <si>
    <t>Cost CAGR</t>
  </si>
  <si>
    <t>Capture rate</t>
  </si>
  <si>
    <t>GIGA's Charge rate</t>
  </si>
  <si>
    <t>Revenue 2025 ($M)</t>
  </si>
  <si>
    <t>Revenue 2035 ($M)</t>
  </si>
  <si>
    <t>3.D) Services = From Blueprint to Break-Fix—We’ve Got You Covered. (~$20B/$80B)</t>
  </si>
  <si>
    <t>Assumpions :</t>
  </si>
  <si>
    <t>Leading Players/Providers</t>
  </si>
  <si>
    <t>Typical Annual Spend (per hospital)</t>
  </si>
  <si>
    <t>Market Growth Rate (CAGR)</t>
  </si>
  <si>
    <t>Key Notes</t>
  </si>
  <si>
    <t>Hospital Design</t>
  </si>
  <si>
    <t>ACME, HOSMAC, Edifice, Venkataramanan</t>
  </si>
  <si>
    <t>₹3–10 crore/project (one-time)</t>
  </si>
  <si>
    <t>10–12% (new builds)</t>
  </si>
  <si>
    <t>Fees 3–7% of project cost</t>
  </si>
  <si>
    <t>Facility Maintenance</t>
  </si>
  <si>
    <t>Supreme, FFS, JLL, CBRE, in-house</t>
  </si>
  <si>
    <t>₹1–3 crore/year</t>
  </si>
  <si>
    <t>8–10%</t>
  </si>
  <si>
    <t>Comprehensive FM services</t>
  </si>
  <si>
    <t>Equipment Maintenance</t>
  </si>
  <si>
    <t>GE, Philips, Siemens, in-house, FFS</t>
  </si>
  <si>
    <t>₹30–50 lakh/year</t>
  </si>
  <si>
    <t>3–5% of equipment value</t>
  </si>
  <si>
    <t>Annual Spend (Cr.)</t>
  </si>
  <si>
    <t xml:space="preserve">Spend Growth rate </t>
  </si>
  <si>
    <t>Hopsital Growth rate</t>
  </si>
  <si>
    <t>Hospital Design (5% OF TOTAL)</t>
  </si>
  <si>
    <t xml:space="preserve">Notes - </t>
  </si>
  <si>
    <t>Driver</t>
  </si>
  <si>
    <t>FY-25 ➝ FY-35 Delta</t>
  </si>
  <si>
    <t>Implied 10-yr CAGR</t>
  </si>
  <si>
    <t>Validation Anchor / Rationale</t>
  </si>
  <si>
    <t>Hospital Design TAM</t>
  </si>
  <si>
    <t>$4.52B → $19.09B</t>
  </si>
  <si>
    <t>New builds and retrofits: 5% hospital growth + 10% design spend growth; driven by NABH, patient experience mandates</t>
  </si>
  <si>
    <t>Facility Maintenance TAM</t>
  </si>
  <si>
    <t>$11.30B → $47.72B</t>
  </si>
  <si>
    <t>Expansion of private/public bed capacity (5% CAGR) + 10% maintenance budgets; fueled by higher utilization and compliance norms</t>
  </si>
  <si>
    <t>Equipment Maintenance TAM</t>
  </si>
  <si>
    <t>$3.61B → $12.71B</t>
  </si>
  <si>
    <t>5% new facility CAGR + 8% equipment service spend growth; reflects rising device uptime requirements and OEM service contracts</t>
  </si>
  <si>
    <t>Total Service TAM</t>
  </si>
  <si>
    <t>$19.43B → $79.52B</t>
  </si>
  <si>
    <t xml:space="preserve">Weighted blend of segment growth; mirrors sector-wide outsourcing of non-core ops (MRO, HOSPITAL INFRA)  </t>
  </si>
  <si>
    <t xml:space="preserve">FY -2025 </t>
  </si>
  <si>
    <t>Rx ($B)</t>
  </si>
  <si>
    <t>B2B ($B)</t>
  </si>
  <si>
    <t>Technology Revenue ($M)</t>
  </si>
  <si>
    <t>Marketing Revenue ($M)</t>
  </si>
  <si>
    <t>Total Revenue ($M)</t>
  </si>
  <si>
    <t xml:space="preserve">In - depth Market Context </t>
  </si>
  <si>
    <t>Quick-Commerce Pharma Delivery</t>
  </si>
  <si>
    <t>• High-frequency, sticky GMV with 5–10% take-rate • Asset-light model with minimal capex • Network effects lock in patients, payers, and pharmacies</t>
  </si>
  <si>
    <t>Quick commerce (Q-Com) is revolutionizing Indian retail by enabling ultra-fast (10–30 minute) delivery of essentials—including medicines—to consumers’ doorsteps, leveraging dense dark-store networks, robust logistics, and high smartphone penetration.</t>
  </si>
  <si>
    <t>India’s Q-Com market is projected to grow from $5 billion in 2025 to $117 billion by 2035,with a CAGR exceeding 15% in the latter half of the decade.</t>
  </si>
  <si>
    <t>Pharma/medicine is poised to capture an aggressive 20% share of Q-Com by 2035, as regulatory frameworks evolve, insurance coverage expands, and consumer trust in digital health platforms deepens.</t>
  </si>
  <si>
    <t>Giga’s 8-minute PBM (Pharmacy Benefit Manager) delivery model, covered by insurance, is a game-changer:</t>
  </si>
  <si>
    <t>Sets a new global benchmark for speed and reliability, outpacing current 10–30 minute standards.</t>
  </si>
  <si>
    <t>Enables instant access to both prescription and OTC medicines, with regulatory-compliant prescription uploads and integration with teleconsultation for seamless digital healthcare journeys.</t>
  </si>
  <si>
    <t>Unlocks insurance-backed, cashless medicine delivery, making Q-Com the preferred channel for both acute and chronic medication needs.</t>
  </si>
  <si>
    <t>Competitive landscape is heating up: Major Q-Com platforms (Blinkit, Zepto, BigBasket, Instamart) are piloting or expanding 10-minute medicine delivery, but Giga’s insurance integration and 8-minute SLA provide a defensible moat.</t>
  </si>
  <si>
    <t>Q-Com is rapidly expanding beyond metros into Tier 2/3 cities, driven by rising digital adoption, logistics innovation, and growing demand for convenience and reliability</t>
  </si>
  <si>
    <t>B2B Pharma Distribution (Retail &amp; Hospital)</t>
  </si>
  <si>
    <t>• Recurring revenue from volume contracts • Margin resilience in an essential, regulated market • Scale economies as route-to-market consolidates</t>
  </si>
  <si>
    <t>India’s B2B pharma distribution market (retail and hospital channels) is one of the world’s largest and fastest-growing healthcare supply chain opportunities, projected to reach $40.5 billion in 2025 and $108 billion by 2035 at a robust 10–11% CAGR.</t>
  </si>
  <si>
    <t>The market is highly fragmented, with the top three players holding less than 10% share,creating significant headroom for consolidation, efficiency gains, and tech-driven disruption.</t>
  </si>
  <si>
    <t>Retail pharma distribution (to neighborhood pharmacies and chains) accounts for approximately 75% of the market, while hospital and institutional distribution makes up the remaining 25%—both segments are expanding rapidly as healthcare access and insurance penetration rise.</t>
  </si>
  <si>
    <t>Margin profiles are thin (gross margin 8–10%, EBITDA margin 2–4%), but leading players are improving profitability through private label products, digital platforms, and scale advantages.</t>
  </si>
  <si>
    <t>Distribution is the backbone of India’s pharmaceutical ecosystem, ensuring reliable, nationwide access to essential medicines for both consumers and healthcare providers.</t>
  </si>
  <si>
    <t>Ongoing regulatory reforms, increased formalization, and rising demand for specialty medicines and chronic care are accelerating the shift toward organized, tech-enabled distribution platforms, positioning the sector for sustained, high-quality growth and investor interest.</t>
  </si>
  <si>
    <t>4.A) Quick Commerce = Meds in 8 mins. (~$0.5B/$5B)</t>
  </si>
  <si>
    <t>Q commerce 2025 ($B)</t>
  </si>
  <si>
    <t>Rx %</t>
  </si>
  <si>
    <t>Q com CAGR</t>
  </si>
  <si>
    <t xml:space="preserve">RX CAGR </t>
  </si>
  <si>
    <t>Rx TAM 2025 ($B)</t>
  </si>
  <si>
    <t>Rx TAM 2035 ($B)</t>
  </si>
  <si>
    <t>4.B) B2B =Bridging Supply to Demand (~40B/85B)</t>
  </si>
  <si>
    <t>Total B2B (₹T)</t>
  </si>
  <si>
    <t>Retail Pharma (₹T)</t>
  </si>
  <si>
    <t>Hospital Pharma (₹T)</t>
  </si>
  <si>
    <t>CAGR (%)</t>
  </si>
  <si>
    <t xml:space="preserve">Revenue ($M) </t>
  </si>
  <si>
    <t>Procurement  TAM</t>
  </si>
  <si>
    <t>GIGA Tap</t>
  </si>
  <si>
    <t>&lt;&lt;CAGR</t>
  </si>
  <si>
    <t>Capture rate % Scenarios (%)</t>
  </si>
  <si>
    <t>GIGA' capture rate CAGR Scenarios (%)</t>
  </si>
  <si>
    <t>NA</t>
  </si>
  <si>
    <t>Procurement  = Med-Surg, Consumables, Capital Equipment</t>
  </si>
  <si>
    <t>Timeframe: FY2025–FY2035</t>
  </si>
  <si>
    <t>Currency: ₹ (INR), with USD conversion @ ₹83/$</t>
  </si>
  <si>
    <t>2.A) Procurement = The Engine of Healthcare (~$30B/$130B)</t>
  </si>
  <si>
    <t>Headcount</t>
  </si>
  <si>
    <t>Avg. Annual Procurement Spend (₹Cr.)</t>
  </si>
  <si>
    <t>Spend CAGR</t>
  </si>
  <si>
    <t>Uptake rate</t>
  </si>
  <si>
    <t>GIGA's capture rate</t>
  </si>
  <si>
    <t>GIGA Capture rate CAGR</t>
  </si>
  <si>
    <t>Revenue 2025</t>
  </si>
  <si>
    <t>revenue 2035</t>
  </si>
  <si>
    <t>Private &gt;250 beds</t>
  </si>
  <si>
    <t>Private &lt; 250 beds</t>
  </si>
  <si>
    <t>Public</t>
  </si>
  <si>
    <t>OPEX. Pro. Ops.</t>
  </si>
  <si>
    <t>GIGA GPO</t>
  </si>
  <si>
    <t xml:space="preserve">GIGA EoR </t>
  </si>
  <si>
    <t xml:space="preserve">GIGA HEALTH </t>
  </si>
  <si>
    <t>GIGA FINANCE</t>
  </si>
  <si>
    <t>GIGA ADVISORY</t>
  </si>
  <si>
    <t xml:space="preserve">GIGA Rx </t>
  </si>
  <si>
    <t>GIGA EoR TAM</t>
  </si>
  <si>
    <t>GIGA HEALTH TAM</t>
  </si>
  <si>
    <t>GIGA GPO  TAM</t>
  </si>
  <si>
    <t>GIGA FINANCE TAM</t>
  </si>
  <si>
    <t>GIGA ADVISORY TAM</t>
  </si>
  <si>
    <t>GIGA Rx TAM</t>
  </si>
  <si>
    <t>SENSITIVTY/SCENARIO ANALYSIS</t>
  </si>
  <si>
    <t>Sum of Y1-10 PV FCFF</t>
  </si>
  <si>
    <t>WACC Scenarios (%)</t>
  </si>
  <si>
    <t>Perpetual growth rate rate Scenarios (%)</t>
  </si>
  <si>
    <t>PV OF 10 Yr. SUM Scenarios ($M)</t>
  </si>
  <si>
    <t>PV OF 10 Yr. SUM ($M)</t>
  </si>
  <si>
    <t>Enterprise Value ($B)</t>
  </si>
  <si>
    <t>FCFF Y-10 Scenarios (%)</t>
  </si>
  <si>
    <t>Sens. --&gt;</t>
  </si>
  <si>
    <t>TOTAL TAM</t>
  </si>
  <si>
    <t>I) EV ($B)</t>
  </si>
  <si>
    <t>WACC and GR</t>
  </si>
  <si>
    <t>Bull/Best case</t>
  </si>
  <si>
    <t>Base case</t>
  </si>
  <si>
    <t>Bear case/worst case</t>
  </si>
  <si>
    <t>GR %</t>
  </si>
  <si>
    <t>CASES</t>
  </si>
  <si>
    <t>#toggle 1 is Best case scenario (	Higher long-term optimism, lower risk)</t>
  </si>
  <si>
    <t>#toggle 2 is Base case scenario (Balanced expectations)</t>
  </si>
  <si>
    <t>#togge 3 is Bear casae scenaro (Conservative LT outlook, higher discounting)</t>
  </si>
  <si>
    <t>3.1} COST OF EQUITY</t>
  </si>
  <si>
    <t>Risk Free Rate ( 10-year Indian government bond yield)</t>
  </si>
  <si>
    <t>Rf</t>
  </si>
  <si>
    <t>%</t>
  </si>
  <si>
    <t>&lt;&lt; Typically in the rangle of 6.1 to 7.0</t>
  </si>
  <si>
    <t>Beta</t>
  </si>
  <si>
    <t>β</t>
  </si>
  <si>
    <t>#</t>
  </si>
  <si>
    <t>Equity Market Risk Premium</t>
  </si>
  <si>
    <t>RM</t>
  </si>
  <si>
    <t>&lt;&lt; Damodaran, Morningstar and McKinsey &amp; Company often use 6% as a reasonable equity market risk premium for India</t>
  </si>
  <si>
    <t xml:space="preserve">Company specific Risk Premium </t>
  </si>
  <si>
    <t>Country Specific Risk Premium</t>
  </si>
  <si>
    <t>&lt;&lt; Considering India’s growing healthcare market and economic stability</t>
  </si>
  <si>
    <t>Size Premium</t>
  </si>
  <si>
    <t>&lt;&lt; For new ventures, especially in the healthcare sector, negligible</t>
  </si>
  <si>
    <t>COST OF EQUITY CAPITAL</t>
  </si>
  <si>
    <t>Re</t>
  </si>
  <si>
    <t>&lt;&lt; Re=Rf+β×(Rm−Rf)+Company-Specific Risk Premium+Country-Specific Risk Premium+Size Premium</t>
  </si>
  <si>
    <t xml:space="preserve">WEIGHT OF EQUITY </t>
  </si>
  <si>
    <t>We</t>
  </si>
  <si>
    <t>&lt;&lt; As per financing strategy</t>
  </si>
  <si>
    <t>3.2} COST OF DEBT</t>
  </si>
  <si>
    <t>Debt borrowing rate</t>
  </si>
  <si>
    <t>RD</t>
  </si>
  <si>
    <t>Country-specific adjustment</t>
  </si>
  <si>
    <t>Expected income tax rate</t>
  </si>
  <si>
    <t>T</t>
  </si>
  <si>
    <t>&lt;&lt; Typical in India</t>
  </si>
  <si>
    <t>AFTER TAX COST OF DEBT</t>
  </si>
  <si>
    <t>Rd</t>
  </si>
  <si>
    <t>&lt;&lt; Rd= RD* (1-T)</t>
  </si>
  <si>
    <t>WEIGHT OF DEBT</t>
  </si>
  <si>
    <t>Wd</t>
  </si>
  <si>
    <t>3.3} WACC</t>
  </si>
  <si>
    <t>&lt;&lt; WACC = Rd*Wd + Re*We</t>
  </si>
  <si>
    <t>&lt;&lt; high leverage to macro, volatile verticals, startup phase so no comp and defualt to higher estimate</t>
  </si>
  <si>
    <t xml:space="preserve">&lt;&lt; startup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</si>
</sst>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E"/>
    <numFmt numFmtId="165" formatCode="#,##0.0000"/>
    <numFmt numFmtId="166" formatCode="#,##0.00;[Red]#,##0.00"/>
    <numFmt numFmtId="167" formatCode="[$$-409]#,##0.00;[Red][$$-409]#,##0.00"/>
    <numFmt numFmtId="168" formatCode="0.0000"/>
    <numFmt numFmtId="169" formatCode="0.0000%"/>
    <numFmt numFmtId="170" formatCode="0.000%"/>
  </numFmts>
  <fonts count="3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0"/>
      <name val="Amasis MT Pro Light"/>
      <family val="1"/>
    </font>
    <font>
      <i/>
      <sz val="9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.6"/>
      <color theme="0"/>
      <name val="Segoe UI"/>
      <family val="2"/>
    </font>
    <font>
      <sz val="9.6"/>
      <color theme="1"/>
      <name val="Segoe UI"/>
      <family val="2"/>
    </font>
    <font>
      <b/>
      <sz val="9.6"/>
      <color theme="1"/>
      <name val="Segoe UI"/>
      <family val="2"/>
    </font>
    <font>
      <u/>
      <sz val="11"/>
      <color theme="10"/>
      <name val="Aptos Narrow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rgb="FF000000"/>
      <name val="Aptos Narrow"/>
      <family val="2"/>
      <scheme val="minor"/>
    </font>
    <font>
      <b/>
      <i/>
      <sz val="9"/>
      <color theme="0"/>
      <name val="Aptos Narrow"/>
      <family val="2"/>
      <scheme val="minor"/>
    </font>
    <font>
      <sz val="11"/>
      <color rgb="FF3F3F3F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i/>
      <sz val="11"/>
      <color theme="9" tint="-0.499984740745262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Times New Roman"/>
      <family val="1"/>
    </font>
    <font>
      <sz val="10"/>
      <color rgb="FF000000"/>
      <name val="Times New Roman"/>
      <family val="1"/>
    </font>
    <font>
      <b/>
      <sz val="11"/>
      <color rgb="FFFFFFFF"/>
      <name val="Aptos Narrow"/>
      <family val="2"/>
      <scheme val="minor"/>
    </font>
    <font>
      <u/>
      <sz val="11"/>
      <color rgb="FF0000FF"/>
      <name val="Aptos Narrow"/>
      <family val="2"/>
      <scheme val="minor"/>
    </font>
    <font>
      <i/>
      <sz val="11"/>
      <color theme="0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rgb="FF20124D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20124D"/>
        <bgColor rgb="FF20124D"/>
      </patternFill>
    </fill>
    <fill>
      <patternFill patternType="solid">
        <fgColor theme="2" tint="-9.9978637043366805E-2"/>
        <bgColor rgb="FFD0E0E3"/>
      </patternFill>
    </fill>
    <fill>
      <patternFill patternType="solid">
        <fgColor theme="4"/>
      </patternFill>
    </fill>
    <fill>
      <patternFill patternType="solid">
        <fgColor theme="2" tint="-0.749992370372631"/>
        <bgColor indexed="64"/>
      </patternFill>
    </fill>
  </fills>
  <borders count="5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4"/>
      </bottom>
      <diagonal/>
    </border>
    <border>
      <left/>
      <right style="thin">
        <color indexed="64"/>
      </right>
      <top style="thin">
        <color theme="4"/>
      </top>
      <bottom style="double">
        <color theme="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1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theme="4"/>
      </bottom>
      <diagonal/>
    </border>
    <border>
      <left/>
      <right/>
      <top style="thin">
        <color indexed="6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double">
        <color theme="4"/>
      </bottom>
      <diagonal/>
    </border>
    <border>
      <left style="thin">
        <color indexed="64"/>
      </left>
      <right/>
      <top style="thin">
        <color theme="4"/>
      </top>
      <bottom style="double">
        <color theme="4"/>
      </bottom>
      <diagonal/>
    </border>
    <border>
      <left/>
      <right style="thin">
        <color theme="1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4" fillId="0" borderId="2" applyNumberFormat="0" applyFill="0" applyAlignment="0" applyProtection="0"/>
    <xf numFmtId="0" fontId="14" fillId="0" borderId="0" applyNumberFormat="0" applyFill="0" applyBorder="0" applyAlignment="0" applyProtection="0"/>
    <xf numFmtId="0" fontId="5" fillId="26" borderId="0" applyNumberFormat="0" applyBorder="0" applyAlignment="0" applyProtection="0"/>
  </cellStyleXfs>
  <cellXfs count="473">
    <xf numFmtId="0" fontId="0" fillId="0" borderId="0" xfId="0"/>
    <xf numFmtId="0" fontId="6" fillId="3" borderId="0" xfId="0" applyFont="1" applyFill="1"/>
    <xf numFmtId="0" fontId="4" fillId="4" borderId="0" xfId="0" applyFont="1" applyFill="1"/>
    <xf numFmtId="0" fontId="0" fillId="4" borderId="0" xfId="0" applyFill="1"/>
    <xf numFmtId="0" fontId="3" fillId="5" borderId="7" xfId="0" applyFont="1" applyFill="1" applyBorder="1" applyAlignment="1">
      <alignment horizontal="center"/>
    </xf>
    <xf numFmtId="10" fontId="7" fillId="0" borderId="0" xfId="0" applyNumberFormat="1" applyFont="1"/>
    <xf numFmtId="0" fontId="7" fillId="0" borderId="0" xfId="0" applyFont="1"/>
    <xf numFmtId="0" fontId="8" fillId="0" borderId="0" xfId="0" applyFont="1"/>
    <xf numFmtId="10" fontId="7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7" xfId="0" applyNumberFormat="1" applyFont="1" applyBorder="1"/>
    <xf numFmtId="0" fontId="4" fillId="0" borderId="7" xfId="0" applyFont="1" applyBorder="1"/>
    <xf numFmtId="10" fontId="10" fillId="0" borderId="0" xfId="0" applyNumberFormat="1" applyFont="1" applyAlignment="1">
      <alignment horizontal="right"/>
    </xf>
    <xf numFmtId="10" fontId="0" fillId="0" borderId="0" xfId="0" applyNumberFormat="1"/>
    <xf numFmtId="10" fontId="0" fillId="0" borderId="0" xfId="0" applyNumberFormat="1" applyAlignment="1">
      <alignment horizontal="right"/>
    </xf>
    <xf numFmtId="0" fontId="3" fillId="5" borderId="0" xfId="0" applyFont="1" applyFill="1" applyAlignment="1">
      <alignment horizontal="left"/>
    </xf>
    <xf numFmtId="164" fontId="3" fillId="7" borderId="0" xfId="0" applyNumberFormat="1" applyFont="1" applyFill="1"/>
    <xf numFmtId="164" fontId="3" fillId="9" borderId="0" xfId="0" applyNumberFormat="1" applyFont="1" applyFill="1"/>
    <xf numFmtId="0" fontId="0" fillId="8" borderId="0" xfId="0" applyFill="1" applyAlignment="1">
      <alignment horizontal="left"/>
    </xf>
    <xf numFmtId="4" fontId="0" fillId="11" borderId="0" xfId="0" applyNumberFormat="1" applyFill="1" applyAlignment="1">
      <alignment horizontal="right"/>
    </xf>
    <xf numFmtId="10" fontId="0" fillId="11" borderId="0" xfId="0" applyNumberFormat="1" applyFill="1" applyAlignment="1">
      <alignment horizontal="right"/>
    </xf>
    <xf numFmtId="4" fontId="4" fillId="0" borderId="2" xfId="2" applyNumberFormat="1" applyAlignment="1">
      <alignment horizontal="right"/>
    </xf>
    <xf numFmtId="0" fontId="4" fillId="0" borderId="0" xfId="0" applyFont="1" applyAlignment="1">
      <alignment horizontal="left"/>
    </xf>
    <xf numFmtId="4" fontId="0" fillId="12" borderId="0" xfId="0" applyNumberFormat="1" applyFill="1" applyAlignment="1">
      <alignment horizontal="right"/>
    </xf>
    <xf numFmtId="10" fontId="0" fillId="12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4" fillId="13" borderId="0" xfId="0" applyFont="1" applyFill="1" applyAlignment="1">
      <alignment horizontal="center" vertical="center" wrapText="1"/>
    </xf>
    <xf numFmtId="0" fontId="11" fillId="14" borderId="7" xfId="0" applyFont="1" applyFill="1" applyBorder="1" applyAlignment="1">
      <alignment horizontal="center" vertical="center" wrapText="1"/>
    </xf>
    <xf numFmtId="0" fontId="11" fillId="15" borderId="0" xfId="0" applyFont="1" applyFill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165" fontId="12" fillId="0" borderId="0" xfId="0" applyNumberFormat="1" applyFont="1" applyAlignment="1">
      <alignment vertical="center" wrapText="1"/>
    </xf>
    <xf numFmtId="165" fontId="13" fillId="0" borderId="0" xfId="0" applyNumberFormat="1" applyFont="1" applyAlignment="1">
      <alignment vertical="center" wrapText="1"/>
    </xf>
    <xf numFmtId="9" fontId="11" fillId="15" borderId="0" xfId="0" applyNumberFormat="1" applyFont="1" applyFill="1" applyAlignment="1">
      <alignment horizontal="left" vertical="center" wrapText="1"/>
    </xf>
    <xf numFmtId="0" fontId="4" fillId="16" borderId="0" xfId="0" applyFont="1" applyFill="1"/>
    <xf numFmtId="0" fontId="3" fillId="14" borderId="0" xfId="0" applyFont="1" applyFill="1" applyAlignment="1">
      <alignment horizontal="center" vertical="center" wrapText="1"/>
    </xf>
    <xf numFmtId="0" fontId="4" fillId="17" borderId="0" xfId="0" applyFont="1" applyFill="1"/>
    <xf numFmtId="0" fontId="3" fillId="14" borderId="0" xfId="0" applyFont="1" applyFill="1" applyAlignment="1">
      <alignment horizontal="left" vertical="center" wrapText="1"/>
    </xf>
    <xf numFmtId="0" fontId="3" fillId="14" borderId="15" xfId="0" applyFont="1" applyFill="1" applyBorder="1" applyAlignment="1">
      <alignment vertical="center" wrapText="1"/>
    </xf>
    <xf numFmtId="0" fontId="3" fillId="14" borderId="0" xfId="0" applyFont="1" applyFill="1" applyAlignment="1">
      <alignment horizontal="center"/>
    </xf>
    <xf numFmtId="9" fontId="0" fillId="0" borderId="7" xfId="0" applyNumberFormat="1" applyBorder="1" applyAlignment="1">
      <alignment horizontal="center" vertical="center" wrapText="1"/>
    </xf>
    <xf numFmtId="9" fontId="0" fillId="0" borderId="7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17" borderId="0" xfId="0" applyFill="1"/>
    <xf numFmtId="0" fontId="15" fillId="18" borderId="0" xfId="0" applyFont="1" applyFill="1"/>
    <xf numFmtId="0" fontId="15" fillId="18" borderId="0" xfId="0" applyFont="1" applyFill="1" applyAlignment="1">
      <alignment horizontal="center"/>
    </xf>
    <xf numFmtId="0" fontId="16" fillId="0" borderId="6" xfId="0" applyFont="1" applyBorder="1"/>
    <xf numFmtId="2" fontId="16" fillId="0" borderId="6" xfId="0" applyNumberFormat="1" applyFont="1" applyBorder="1"/>
    <xf numFmtId="2" fontId="17" fillId="0" borderId="3" xfId="0" applyNumberFormat="1" applyFont="1" applyBorder="1"/>
    <xf numFmtId="0" fontId="3" fillId="18" borderId="0" xfId="0" applyFont="1" applyFill="1"/>
    <xf numFmtId="0" fontId="0" fillId="0" borderId="6" xfId="0" applyBorder="1"/>
    <xf numFmtId="2" fontId="4" fillId="0" borderId="6" xfId="0" applyNumberFormat="1" applyFont="1" applyBorder="1"/>
    <xf numFmtId="0" fontId="3" fillId="14" borderId="0" xfId="0" applyFont="1" applyFill="1"/>
    <xf numFmtId="0" fontId="0" fillId="12" borderId="0" xfId="0" applyFill="1"/>
    <xf numFmtId="164" fontId="0" fillId="12" borderId="0" xfId="0" applyNumberFormat="1" applyFill="1"/>
    <xf numFmtId="0" fontId="0" fillId="12" borderId="0" xfId="0" applyFill="1" applyAlignment="1">
      <alignment horizontal="center"/>
    </xf>
    <xf numFmtId="0" fontId="3" fillId="7" borderId="0" xfId="0" applyFont="1" applyFill="1"/>
    <xf numFmtId="166" fontId="0" fillId="20" borderId="0" xfId="0" applyNumberFormat="1" applyFill="1"/>
    <xf numFmtId="0" fontId="19" fillId="7" borderId="0" xfId="0" applyFont="1" applyFill="1" applyAlignment="1">
      <alignment horizontal="right"/>
    </xf>
    <xf numFmtId="0" fontId="7" fillId="0" borderId="0" xfId="0" applyFont="1" applyAlignment="1">
      <alignment horizontal="right"/>
    </xf>
    <xf numFmtId="9" fontId="7" fillId="0" borderId="0" xfId="0" applyNumberFormat="1" applyFont="1" applyAlignment="1">
      <alignment horizontal="right"/>
    </xf>
    <xf numFmtId="0" fontId="3" fillId="9" borderId="0" xfId="0" applyFont="1" applyFill="1"/>
    <xf numFmtId="166" fontId="0" fillId="21" borderId="0" xfId="0" applyNumberFormat="1" applyFill="1"/>
    <xf numFmtId="166" fontId="0" fillId="0" borderId="0" xfId="0" applyNumberFormat="1"/>
    <xf numFmtId="10" fontId="2" fillId="2" borderId="27" xfId="1" applyNumberFormat="1" applyBorder="1"/>
    <xf numFmtId="167" fontId="20" fillId="2" borderId="27" xfId="1" applyNumberFormat="1" applyFont="1" applyBorder="1"/>
    <xf numFmtId="167" fontId="0" fillId="0" borderId="0" xfId="0" applyNumberFormat="1"/>
    <xf numFmtId="167" fontId="2" fillId="2" borderId="27" xfId="1" applyNumberFormat="1" applyBorder="1"/>
    <xf numFmtId="2" fontId="2" fillId="2" borderId="27" xfId="1" applyNumberFormat="1" applyBorder="1"/>
    <xf numFmtId="2" fontId="20" fillId="2" borderId="27" xfId="1" applyNumberFormat="1" applyFont="1" applyBorder="1"/>
    <xf numFmtId="10" fontId="5" fillId="14" borderId="0" xfId="0" applyNumberFormat="1" applyFont="1" applyFill="1"/>
    <xf numFmtId="0" fontId="5" fillId="14" borderId="0" xfId="0" applyFont="1" applyFill="1"/>
    <xf numFmtId="0" fontId="3" fillId="6" borderId="0" xfId="0" applyFont="1" applyFill="1" applyAlignment="1">
      <alignment horizontal="center" vertical="center" wrapText="1"/>
    </xf>
    <xf numFmtId="0" fontId="11" fillId="14" borderId="30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3" fillId="15" borderId="0" xfId="0" applyFont="1" applyFill="1"/>
    <xf numFmtId="0" fontId="0" fillId="15" borderId="0" xfId="0" applyFill="1"/>
    <xf numFmtId="0" fontId="23" fillId="24" borderId="0" xfId="0" applyFont="1" applyFill="1"/>
    <xf numFmtId="0" fontId="4" fillId="0" borderId="31" xfId="2" applyBorder="1"/>
    <xf numFmtId="0" fontId="4" fillId="0" borderId="0" xfId="2" applyBorder="1"/>
    <xf numFmtId="2" fontId="4" fillId="0" borderId="0" xfId="2" applyNumberFormat="1" applyBorder="1" applyAlignment="1">
      <alignment horizontal="center"/>
    </xf>
    <xf numFmtId="4" fontId="4" fillId="0" borderId="0" xfId="2" applyNumberFormat="1" applyBorder="1" applyAlignment="1">
      <alignment horizontal="center"/>
    </xf>
    <xf numFmtId="9" fontId="0" fillId="0" borderId="7" xfId="0" applyNumberFormat="1" applyBorder="1"/>
    <xf numFmtId="2" fontId="4" fillId="0" borderId="2" xfId="2" applyNumberFormat="1" applyAlignment="1"/>
    <xf numFmtId="0" fontId="0" fillId="0" borderId="7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3" fillId="19" borderId="0" xfId="0" applyFont="1" applyFill="1"/>
    <xf numFmtId="0" fontId="4" fillId="19" borderId="0" xfId="0" applyFont="1" applyFill="1"/>
    <xf numFmtId="4" fontId="0" fillId="0" borderId="0" xfId="0" applyNumberFormat="1"/>
    <xf numFmtId="9" fontId="0" fillId="0" borderId="7" xfId="0" applyNumberFormat="1" applyBorder="1" applyAlignment="1">
      <alignment vertical="center" wrapText="1"/>
    </xf>
    <xf numFmtId="0" fontId="4" fillId="0" borderId="0" xfId="2" applyBorder="1" applyAlignment="1">
      <alignment horizontal="center"/>
    </xf>
    <xf numFmtId="0" fontId="4" fillId="11" borderId="0" xfId="0" applyFont="1" applyFill="1"/>
    <xf numFmtId="0" fontId="3" fillId="7" borderId="0" xfId="0" applyFont="1" applyFill="1" applyAlignment="1">
      <alignment horizontal="left"/>
    </xf>
    <xf numFmtId="10" fontId="0" fillId="0" borderId="0" xfId="0" applyNumberFormat="1" applyAlignment="1">
      <alignment vertical="center" wrapText="1"/>
    </xf>
    <xf numFmtId="10" fontId="8" fillId="0" borderId="0" xfId="0" applyNumberFormat="1" applyFont="1"/>
    <xf numFmtId="0" fontId="0" fillId="0" borderId="0" xfId="0" applyAlignment="1">
      <alignment wrapText="1"/>
    </xf>
    <xf numFmtId="0" fontId="11" fillId="15" borderId="35" xfId="0" applyFont="1" applyFill="1" applyBorder="1" applyAlignment="1">
      <alignment horizontal="center" vertical="center" wrapText="1"/>
    </xf>
    <xf numFmtId="0" fontId="11" fillId="14" borderId="35" xfId="0" applyFont="1" applyFill="1" applyBorder="1" applyAlignment="1">
      <alignment horizontal="left" vertical="center" wrapText="1"/>
    </xf>
    <xf numFmtId="0" fontId="12" fillId="0" borderId="35" xfId="0" applyFont="1" applyBorder="1" applyAlignment="1">
      <alignment vertical="center" wrapText="1"/>
    </xf>
    <xf numFmtId="9" fontId="11" fillId="14" borderId="35" xfId="0" applyNumberFormat="1" applyFont="1" applyFill="1" applyBorder="1" applyAlignment="1">
      <alignment horizontal="left" vertical="center" wrapText="1"/>
    </xf>
    <xf numFmtId="0" fontId="4" fillId="22" borderId="0" xfId="0" applyFont="1" applyFill="1"/>
    <xf numFmtId="0" fontId="4" fillId="25" borderId="0" xfId="0" applyFont="1" applyFill="1"/>
    <xf numFmtId="0" fontId="25" fillId="13" borderId="0" xfId="0" applyFont="1" applyFill="1"/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3" fillId="14" borderId="7" xfId="0" applyFont="1" applyFill="1" applyBorder="1" applyAlignment="1">
      <alignment horizontal="center"/>
    </xf>
    <xf numFmtId="0" fontId="3" fillId="14" borderId="7" xfId="0" applyFont="1" applyFill="1" applyBorder="1"/>
    <xf numFmtId="0" fontId="0" fillId="0" borderId="7" xfId="0" applyBorder="1"/>
    <xf numFmtId="3" fontId="0" fillId="0" borderId="7" xfId="0" applyNumberFormat="1" applyBorder="1"/>
    <xf numFmtId="0" fontId="4" fillId="21" borderId="7" xfId="0" applyFont="1" applyFill="1" applyBorder="1" applyAlignment="1">
      <alignment horizontal="center"/>
    </xf>
    <xf numFmtId="0" fontId="0" fillId="0" borderId="7" xfId="0" applyBorder="1" applyAlignment="1">
      <alignment vertical="center" wrapText="1"/>
    </xf>
    <xf numFmtId="3" fontId="0" fillId="0" borderId="7" xfId="0" applyNumberFormat="1" applyBorder="1" applyAlignment="1">
      <alignment horizontal="center"/>
    </xf>
    <xf numFmtId="0" fontId="4" fillId="0" borderId="0" xfId="0" applyFont="1"/>
    <xf numFmtId="0" fontId="11" fillId="15" borderId="0" xfId="0" applyFont="1" applyFill="1" applyAlignment="1">
      <alignment horizontal="left" vertical="center" wrapText="1"/>
    </xf>
    <xf numFmtId="0" fontId="26" fillId="0" borderId="0" xfId="0" applyFont="1"/>
    <xf numFmtId="0" fontId="0" fillId="25" borderId="0" xfId="0" applyFill="1"/>
    <xf numFmtId="0" fontId="0" fillId="13" borderId="0" xfId="0" applyFill="1"/>
    <xf numFmtId="0" fontId="27" fillId="0" borderId="0" xfId="0" applyFont="1"/>
    <xf numFmtId="0" fontId="28" fillId="18" borderId="0" xfId="0" applyFont="1" applyFill="1"/>
    <xf numFmtId="0" fontId="18" fillId="0" borderId="6" xfId="0" applyFont="1" applyBorder="1" applyAlignment="1">
      <alignment vertical="top"/>
    </xf>
    <xf numFmtId="0" fontId="18" fillId="0" borderId="6" xfId="0" applyFont="1" applyBorder="1"/>
    <xf numFmtId="0" fontId="18" fillId="0" borderId="3" xfId="0" applyFont="1" applyBorder="1"/>
    <xf numFmtId="4" fontId="4" fillId="0" borderId="2" xfId="2" applyNumberFormat="1" applyFill="1"/>
    <xf numFmtId="4" fontId="4" fillId="0" borderId="2" xfId="2" applyNumberFormat="1"/>
    <xf numFmtId="0" fontId="0" fillId="21" borderId="0" xfId="0" applyFill="1"/>
    <xf numFmtId="0" fontId="11" fillId="14" borderId="35" xfId="0" applyFont="1" applyFill="1" applyBorder="1" applyAlignment="1">
      <alignment horizontal="center" vertical="center" wrapText="1"/>
    </xf>
    <xf numFmtId="0" fontId="11" fillId="15" borderId="35" xfId="0" applyFont="1" applyFill="1" applyBorder="1" applyAlignment="1">
      <alignment horizontal="left" vertical="center" wrapText="1"/>
    </xf>
    <xf numFmtId="9" fontId="11" fillId="15" borderId="35" xfId="0" applyNumberFormat="1" applyFont="1" applyFill="1" applyBorder="1" applyAlignment="1">
      <alignment horizontal="left" vertical="center" wrapText="1"/>
    </xf>
    <xf numFmtId="0" fontId="28" fillId="24" borderId="0" xfId="0" applyFont="1" applyFill="1" applyAlignment="1">
      <alignment horizontal="center"/>
    </xf>
    <xf numFmtId="9" fontId="0" fillId="0" borderId="6" xfId="0" applyNumberFormat="1" applyBorder="1"/>
    <xf numFmtId="0" fontId="28" fillId="3" borderId="46" xfId="0" applyFont="1" applyFill="1" applyBorder="1"/>
    <xf numFmtId="0" fontId="20" fillId="0" borderId="6" xfId="1" applyFont="1" applyFill="1" applyBorder="1" applyAlignment="1">
      <alignment horizontal="left" vertical="top"/>
    </xf>
    <xf numFmtId="4" fontId="2" fillId="0" borderId="6" xfId="1" applyNumberFormat="1" applyFill="1" applyBorder="1" applyAlignment="1">
      <alignment vertical="top"/>
    </xf>
    <xf numFmtId="4" fontId="20" fillId="0" borderId="6" xfId="1" applyNumberFormat="1" applyFont="1" applyFill="1" applyBorder="1" applyAlignment="1">
      <alignment vertical="top"/>
    </xf>
    <xf numFmtId="10" fontId="20" fillId="0" borderId="6" xfId="1" applyNumberFormat="1" applyFont="1" applyFill="1" applyBorder="1" applyAlignment="1">
      <alignment vertical="top"/>
    </xf>
    <xf numFmtId="0" fontId="30" fillId="14" borderId="0" xfId="0" applyFont="1" applyFill="1"/>
    <xf numFmtId="10" fontId="30" fillId="14" borderId="0" xfId="0" applyNumberFormat="1" applyFont="1" applyFill="1"/>
    <xf numFmtId="9" fontId="8" fillId="0" borderId="0" xfId="0" applyNumberFormat="1" applyFont="1"/>
    <xf numFmtId="0" fontId="18" fillId="0" borderId="0" xfId="0" applyFont="1"/>
    <xf numFmtId="0" fontId="4" fillId="0" borderId="2" xfId="2"/>
    <xf numFmtId="0" fontId="31" fillId="0" borderId="0" xfId="0" applyFont="1" applyAlignment="1">
      <alignment horizontal="left"/>
    </xf>
    <xf numFmtId="166" fontId="31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0" fontId="4" fillId="0" borderId="7" xfId="0" applyFont="1" applyBorder="1" applyAlignment="1">
      <alignment horizontal="right"/>
    </xf>
    <xf numFmtId="0" fontId="9" fillId="0" borderId="0" xfId="0" applyFont="1"/>
    <xf numFmtId="9" fontId="0" fillId="0" borderId="0" xfId="0" applyNumberFormat="1"/>
    <xf numFmtId="10" fontId="5" fillId="27" borderId="0" xfId="0" applyNumberFormat="1" applyFont="1" applyFill="1" applyAlignment="1">
      <alignment horizontal="center"/>
    </xf>
    <xf numFmtId="0" fontId="5" fillId="26" borderId="7" xfId="4" applyBorder="1"/>
    <xf numFmtId="0" fontId="5" fillId="26" borderId="7" xfId="4" applyBorder="1" applyAlignment="1">
      <alignment horizontal="center"/>
    </xf>
    <xf numFmtId="10" fontId="5" fillId="26" borderId="7" xfId="4" applyNumberFormat="1" applyBorder="1"/>
    <xf numFmtId="9" fontId="5" fillId="26" borderId="7" xfId="4" applyNumberFormat="1" applyBorder="1"/>
    <xf numFmtId="0" fontId="3" fillId="26" borderId="7" xfId="4" applyFont="1" applyBorder="1"/>
    <xf numFmtId="169" fontId="5" fillId="26" borderId="7" xfId="4" applyNumberFormat="1" applyBorder="1"/>
    <xf numFmtId="0" fontId="32" fillId="5" borderId="0" xfId="0" applyFont="1" applyFill="1"/>
    <xf numFmtId="0" fontId="5" fillId="5" borderId="0" xfId="0" applyFont="1" applyFill="1"/>
    <xf numFmtId="170" fontId="32" fillId="5" borderId="7" xfId="0" applyNumberFormat="1" applyFont="1" applyFill="1" applyBorder="1"/>
    <xf numFmtId="0" fontId="3" fillId="14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0" borderId="7" xfId="0" applyBorder="1" applyAlignment="1">
      <alignment horizontal="left"/>
    </xf>
    <xf numFmtId="0" fontId="4" fillId="22" borderId="23" xfId="0" applyFont="1" applyFill="1" applyBorder="1" applyAlignment="1">
      <alignment horizontal="left"/>
    </xf>
    <xf numFmtId="0" fontId="4" fillId="22" borderId="26" xfId="0" applyFont="1" applyFill="1" applyBorder="1" applyAlignment="1">
      <alignment horizontal="left"/>
    </xf>
    <xf numFmtId="0" fontId="4" fillId="22" borderId="24" xfId="0" applyFont="1" applyFill="1" applyBorder="1" applyAlignment="1">
      <alignment horizontal="left"/>
    </xf>
    <xf numFmtId="0" fontId="19" fillId="7" borderId="0" xfId="0" applyFont="1" applyFill="1" applyAlignment="1">
      <alignment horizontal="left"/>
    </xf>
    <xf numFmtId="0" fontId="19" fillId="9" borderId="0" xfId="0" applyFont="1" applyFill="1" applyAlignment="1">
      <alignment horizontal="left"/>
    </xf>
    <xf numFmtId="0" fontId="4" fillId="21" borderId="0" xfId="0" applyFont="1" applyFill="1" applyAlignment="1">
      <alignment horizontal="left"/>
    </xf>
    <xf numFmtId="9" fontId="0" fillId="0" borderId="7" xfId="0" applyNumberFormat="1" applyBorder="1" applyAlignment="1">
      <alignment horizontal="center"/>
    </xf>
    <xf numFmtId="4" fontId="4" fillId="0" borderId="2" xfId="2" applyNumberFormat="1" applyAlignment="1">
      <alignment horizontal="center"/>
    </xf>
    <xf numFmtId="9" fontId="0" fillId="0" borderId="6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4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2" fontId="18" fillId="0" borderId="6" xfId="0" applyNumberFormat="1" applyFon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3" fillId="18" borderId="10" xfId="0" applyFont="1" applyFill="1" applyBorder="1" applyAlignment="1">
      <alignment horizontal="center"/>
    </xf>
    <xf numFmtId="2" fontId="16" fillId="0" borderId="3" xfId="0" applyNumberFormat="1" applyFont="1" applyBorder="1" applyAlignment="1">
      <alignment horizontal="center"/>
    </xf>
    <xf numFmtId="2" fontId="16" fillId="0" borderId="4" xfId="0" applyNumberFormat="1" applyFont="1" applyBorder="1" applyAlignment="1">
      <alignment horizontal="center"/>
    </xf>
    <xf numFmtId="2" fontId="16" fillId="0" borderId="5" xfId="0" applyNumberFormat="1" applyFont="1" applyBorder="1" applyAlignment="1">
      <alignment horizontal="center"/>
    </xf>
    <xf numFmtId="2" fontId="16" fillId="0" borderId="6" xfId="0" applyNumberFormat="1" applyFont="1" applyBorder="1" applyAlignment="1">
      <alignment horizontal="center"/>
    </xf>
    <xf numFmtId="9" fontId="16" fillId="0" borderId="6" xfId="0" applyNumberFormat="1" applyFont="1" applyBorder="1" applyAlignment="1">
      <alignment horizontal="center"/>
    </xf>
    <xf numFmtId="0" fontId="15" fillId="18" borderId="10" xfId="0" applyFont="1" applyFill="1" applyBorder="1" applyAlignment="1">
      <alignment horizontal="center"/>
    </xf>
    <xf numFmtId="0" fontId="15" fillId="18" borderId="0" xfId="0" applyFont="1" applyFill="1" applyAlignment="1">
      <alignment horizontal="center"/>
    </xf>
    <xf numFmtId="0" fontId="4" fillId="0" borderId="6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3" fillId="14" borderId="25" xfId="0" applyFont="1" applyFill="1" applyBorder="1" applyAlignment="1">
      <alignment horizontal="left" vertical="center" wrapText="1"/>
    </xf>
    <xf numFmtId="0" fontId="3" fillId="14" borderId="0" xfId="0" applyFont="1" applyFill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 wrapText="1"/>
    </xf>
    <xf numFmtId="0" fontId="3" fillId="14" borderId="10" xfId="0" applyFont="1" applyFill="1" applyBorder="1" applyAlignment="1">
      <alignment horizontal="center" vertical="center" wrapText="1"/>
    </xf>
    <xf numFmtId="0" fontId="3" fillId="14" borderId="22" xfId="0" applyFont="1" applyFill="1" applyBorder="1" applyAlignment="1">
      <alignment horizontal="center" vertical="center" wrapText="1"/>
    </xf>
    <xf numFmtId="0" fontId="3" fillId="14" borderId="25" xfId="0" applyFont="1" applyFill="1" applyBorder="1" applyAlignment="1">
      <alignment horizontal="center" vertical="center" wrapText="1"/>
    </xf>
    <xf numFmtId="0" fontId="3" fillId="14" borderId="0" xfId="0" applyFont="1" applyFill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" fontId="0" fillId="0" borderId="23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0" fontId="0" fillId="0" borderId="6" xfId="0" applyBorder="1" applyAlignment="1">
      <alignment horizontal="left" vertical="center" wrapText="1"/>
    </xf>
    <xf numFmtId="4" fontId="0" fillId="0" borderId="3" xfId="0" applyNumberFormat="1" applyBorder="1" applyAlignment="1">
      <alignment horizontal="center" vertical="center" wrapText="1"/>
    </xf>
    <xf numFmtId="4" fontId="0" fillId="0" borderId="4" xfId="0" applyNumberFormat="1" applyBorder="1" applyAlignment="1">
      <alignment horizontal="center" vertical="center" wrapText="1"/>
    </xf>
    <xf numFmtId="4" fontId="0" fillId="0" borderId="5" xfId="0" applyNumberFormat="1" applyBorder="1" applyAlignment="1">
      <alignment horizontal="center" vertical="center" wrapText="1"/>
    </xf>
    <xf numFmtId="2" fontId="0" fillId="0" borderId="3" xfId="0" applyNumberForma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 vertical="center" wrapText="1"/>
    </xf>
    <xf numFmtId="4" fontId="0" fillId="0" borderId="7" xfId="0" applyNumberFormat="1" applyBorder="1" applyAlignment="1">
      <alignment horizontal="center"/>
    </xf>
    <xf numFmtId="0" fontId="4" fillId="0" borderId="2" xfId="2" applyAlignment="1">
      <alignment horizontal="left" vertical="center" wrapText="1"/>
    </xf>
    <xf numFmtId="4" fontId="4" fillId="0" borderId="0" xfId="0" applyNumberFormat="1" applyFont="1" applyAlignment="1">
      <alignment horizontal="center"/>
    </xf>
    <xf numFmtId="0" fontId="4" fillId="0" borderId="2" xfId="2" applyAlignment="1">
      <alignment horizontal="center"/>
    </xf>
    <xf numFmtId="0" fontId="3" fillId="14" borderId="10" xfId="0" applyFont="1" applyFill="1" applyBorder="1" applyAlignment="1">
      <alignment horizontal="left" vertical="center" wrapText="1"/>
    </xf>
    <xf numFmtId="0" fontId="3" fillId="14" borderId="17" xfId="0" applyFont="1" applyFill="1" applyBorder="1" applyAlignment="1">
      <alignment horizontal="left" vertical="center" wrapText="1"/>
    </xf>
    <xf numFmtId="0" fontId="3" fillId="14" borderId="17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3" fillId="14" borderId="14" xfId="0" applyFont="1" applyFill="1" applyBorder="1" applyAlignment="1">
      <alignment horizontal="center" vertical="center" wrapText="1"/>
    </xf>
    <xf numFmtId="0" fontId="3" fillId="14" borderId="15" xfId="0" applyFont="1" applyFill="1" applyBorder="1" applyAlignment="1">
      <alignment horizontal="center" vertical="center" wrapText="1"/>
    </xf>
    <xf numFmtId="0" fontId="3" fillId="14" borderId="16" xfId="0" applyFont="1" applyFill="1" applyBorder="1" applyAlignment="1">
      <alignment horizontal="left" vertical="center" wrapText="1"/>
    </xf>
    <xf numFmtId="0" fontId="1" fillId="0" borderId="3" xfId="3" applyFont="1" applyBorder="1" applyAlignment="1">
      <alignment horizontal="left" vertical="center" wrapText="1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0" fillId="8" borderId="0" xfId="0" applyFill="1" applyAlignment="1">
      <alignment horizontal="left"/>
    </xf>
    <xf numFmtId="0" fontId="4" fillId="0" borderId="0" xfId="0" applyFont="1" applyAlignment="1">
      <alignment horizontal="left"/>
    </xf>
    <xf numFmtId="0" fontId="0" fillId="0" borderId="12" xfId="0" applyBorder="1" applyAlignment="1">
      <alignment horizontal="left"/>
    </xf>
    <xf numFmtId="0" fontId="4" fillId="0" borderId="2" xfId="2" applyAlignment="1">
      <alignment horizontal="left"/>
    </xf>
    <xf numFmtId="0" fontId="3" fillId="5" borderId="0" xfId="0" applyFont="1" applyFill="1" applyAlignment="1">
      <alignment horizontal="center"/>
    </xf>
    <xf numFmtId="0" fontId="3" fillId="10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1" fillId="8" borderId="2" xfId="2" applyFont="1" applyFill="1" applyAlignment="1">
      <alignment horizontal="left"/>
    </xf>
    <xf numFmtId="10" fontId="7" fillId="0" borderId="10" xfId="0" applyNumberFormat="1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13" xfId="0" applyFont="1" applyBorder="1" applyAlignment="1">
      <alignment horizontal="right"/>
    </xf>
    <xf numFmtId="4" fontId="4" fillId="0" borderId="9" xfId="2" applyNumberFormat="1" applyBorder="1" applyAlignment="1">
      <alignment horizontal="center"/>
    </xf>
    <xf numFmtId="4" fontId="5" fillId="7" borderId="12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left"/>
    </xf>
    <xf numFmtId="4" fontId="5" fillId="7" borderId="8" xfId="0" applyNumberFormat="1" applyFont="1" applyFill="1" applyBorder="1" applyAlignment="1">
      <alignment horizontal="center"/>
    </xf>
    <xf numFmtId="4" fontId="5" fillId="9" borderId="8" xfId="0" applyNumberFormat="1" applyFont="1" applyFill="1" applyBorder="1" applyAlignment="1">
      <alignment horizontal="center"/>
    </xf>
    <xf numFmtId="4" fontId="5" fillId="9" borderId="11" xfId="0" applyNumberFormat="1" applyFont="1" applyFill="1" applyBorder="1" applyAlignment="1">
      <alignment horizontal="center"/>
    </xf>
    <xf numFmtId="0" fontId="6" fillId="3" borderId="0" xfId="0" applyFont="1" applyFill="1" applyAlignment="1">
      <alignment horizontal="left"/>
    </xf>
    <xf numFmtId="0" fontId="3" fillId="5" borderId="3" xfId="0" applyFont="1" applyFill="1" applyBorder="1" applyAlignment="1">
      <alignment horizontal="left"/>
    </xf>
    <xf numFmtId="0" fontId="3" fillId="5" borderId="4" xfId="0" applyFont="1" applyFill="1" applyBorder="1" applyAlignment="1">
      <alignment horizontal="left"/>
    </xf>
    <xf numFmtId="0" fontId="3" fillId="5" borderId="5" xfId="0" applyFont="1" applyFill="1" applyBorder="1" applyAlignment="1">
      <alignment horizontal="left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4" fillId="11" borderId="0" xfId="0" applyFont="1" applyFill="1" applyAlignment="1">
      <alignment horizontal="left"/>
    </xf>
    <xf numFmtId="0" fontId="8" fillId="0" borderId="23" xfId="0" applyFont="1" applyBorder="1" applyAlignment="1">
      <alignment horizontal="left"/>
    </xf>
    <xf numFmtId="0" fontId="8" fillId="0" borderId="26" xfId="0" applyFont="1" applyBorder="1" applyAlignment="1">
      <alignment horizontal="left"/>
    </xf>
    <xf numFmtId="0" fontId="8" fillId="0" borderId="24" xfId="0" applyFont="1" applyBorder="1" applyAlignment="1">
      <alignment horizontal="left"/>
    </xf>
    <xf numFmtId="10" fontId="8" fillId="0" borderId="23" xfId="0" applyNumberFormat="1" applyFont="1" applyBorder="1" applyAlignment="1">
      <alignment horizontal="right"/>
    </xf>
    <xf numFmtId="10" fontId="8" fillId="0" borderId="26" xfId="0" applyNumberFormat="1" applyFont="1" applyBorder="1" applyAlignment="1">
      <alignment horizontal="right"/>
    </xf>
    <xf numFmtId="10" fontId="8" fillId="0" borderId="24" xfId="0" applyNumberFormat="1" applyFont="1" applyBorder="1" applyAlignment="1">
      <alignment horizontal="right"/>
    </xf>
    <xf numFmtId="10" fontId="0" fillId="0" borderId="7" xfId="0" applyNumberFormat="1" applyBorder="1" applyAlignment="1">
      <alignment horizontal="center"/>
    </xf>
    <xf numFmtId="10" fontId="0" fillId="0" borderId="23" xfId="0" applyNumberFormat="1" applyBorder="1" applyAlignment="1">
      <alignment horizontal="center"/>
    </xf>
    <xf numFmtId="10" fontId="0" fillId="0" borderId="24" xfId="0" applyNumberFormat="1" applyBorder="1" applyAlignment="1">
      <alignment horizontal="center"/>
    </xf>
    <xf numFmtId="0" fontId="4" fillId="0" borderId="23" xfId="2" applyBorder="1" applyAlignment="1">
      <alignment horizontal="left"/>
    </xf>
    <xf numFmtId="0" fontId="4" fillId="0" borderId="26" xfId="2" applyBorder="1" applyAlignment="1">
      <alignment horizontal="left"/>
    </xf>
    <xf numFmtId="0" fontId="4" fillId="0" borderId="24" xfId="2" applyBorder="1" applyAlignment="1">
      <alignment horizontal="left"/>
    </xf>
    <xf numFmtId="4" fontId="4" fillId="0" borderId="7" xfId="2" applyNumberFormat="1" applyBorder="1" applyAlignment="1">
      <alignment horizontal="center"/>
    </xf>
    <xf numFmtId="10" fontId="4" fillId="0" borderId="23" xfId="2" applyNumberFormat="1" applyBorder="1" applyAlignment="1">
      <alignment horizontal="center"/>
    </xf>
    <xf numFmtId="10" fontId="4" fillId="0" borderId="24" xfId="2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0" fontId="4" fillId="0" borderId="24" xfId="2" applyBorder="1" applyAlignment="1">
      <alignment horizontal="center"/>
    </xf>
    <xf numFmtId="0" fontId="3" fillId="14" borderId="32" xfId="0" applyFont="1" applyFill="1" applyBorder="1" applyAlignment="1">
      <alignment horizontal="center"/>
    </xf>
    <xf numFmtId="4" fontId="0" fillId="0" borderId="7" xfId="0" applyNumberFormat="1" applyBorder="1" applyAlignment="1">
      <alignment horizontal="center" vertical="center" wrapText="1"/>
    </xf>
    <xf numFmtId="0" fontId="4" fillId="0" borderId="34" xfId="0" applyFont="1" applyBorder="1" applyAlignment="1">
      <alignment horizontal="left"/>
    </xf>
    <xf numFmtId="4" fontId="4" fillId="0" borderId="31" xfId="2" applyNumberFormat="1" applyBorder="1" applyAlignment="1">
      <alignment horizontal="center"/>
    </xf>
    <xf numFmtId="0" fontId="4" fillId="0" borderId="31" xfId="2" applyBorder="1" applyAlignment="1">
      <alignment horizontal="center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3" fontId="0" fillId="0" borderId="7" xfId="0" applyNumberFormat="1" applyBorder="1" applyAlignment="1">
      <alignment horizontal="center" vertical="center" wrapText="1"/>
    </xf>
    <xf numFmtId="9" fontId="0" fillId="0" borderId="7" xfId="0" applyNumberFormat="1" applyBorder="1" applyAlignment="1">
      <alignment horizontal="center" vertical="center" wrapText="1"/>
    </xf>
    <xf numFmtId="165" fontId="0" fillId="0" borderId="23" xfId="0" applyNumberFormat="1" applyBorder="1" applyAlignment="1">
      <alignment horizontal="center" vertical="center" wrapText="1"/>
    </xf>
    <xf numFmtId="165" fontId="0" fillId="0" borderId="26" xfId="0" applyNumberFormat="1" applyBorder="1" applyAlignment="1">
      <alignment horizontal="center" vertical="center" wrapText="1"/>
    </xf>
    <xf numFmtId="165" fontId="0" fillId="0" borderId="24" xfId="0" applyNumberFormat="1" applyBorder="1" applyAlignment="1">
      <alignment horizontal="center" vertical="center" wrapText="1"/>
    </xf>
    <xf numFmtId="3" fontId="0" fillId="0" borderId="23" xfId="0" applyNumberFormat="1" applyBorder="1" applyAlignment="1">
      <alignment horizontal="center" vertical="center" wrapText="1"/>
    </xf>
    <xf numFmtId="3" fontId="0" fillId="0" borderId="24" xfId="0" applyNumberFormat="1" applyBorder="1" applyAlignment="1">
      <alignment horizontal="center" vertical="center" wrapText="1"/>
    </xf>
    <xf numFmtId="9" fontId="0" fillId="0" borderId="23" xfId="0" applyNumberFormat="1" applyBorder="1" applyAlignment="1">
      <alignment horizontal="center" vertical="center" wrapText="1"/>
    </xf>
    <xf numFmtId="9" fontId="0" fillId="0" borderId="26" xfId="0" applyNumberFormat="1" applyBorder="1" applyAlignment="1">
      <alignment horizontal="center" vertical="center" wrapText="1"/>
    </xf>
    <xf numFmtId="9" fontId="0" fillId="0" borderId="24" xfId="0" applyNumberFormat="1" applyBorder="1" applyAlignment="1">
      <alignment horizontal="center" vertical="center" wrapText="1"/>
    </xf>
    <xf numFmtId="4" fontId="0" fillId="0" borderId="23" xfId="0" applyNumberFormat="1" applyBorder="1" applyAlignment="1">
      <alignment horizontal="center" vertical="center" wrapText="1"/>
    </xf>
    <xf numFmtId="4" fontId="0" fillId="0" borderId="26" xfId="0" applyNumberFormat="1" applyBorder="1" applyAlignment="1">
      <alignment horizontal="center" vertical="center" wrapText="1"/>
    </xf>
    <xf numFmtId="4" fontId="0" fillId="0" borderId="24" xfId="0" applyNumberForma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 wrapText="1"/>
    </xf>
    <xf numFmtId="0" fontId="0" fillId="0" borderId="23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4" xfId="0" applyBorder="1" applyAlignment="1">
      <alignment horizontal="left"/>
    </xf>
    <xf numFmtId="3" fontId="0" fillId="0" borderId="23" xfId="0" applyNumberFormat="1" applyBorder="1" applyAlignment="1">
      <alignment horizontal="center"/>
    </xf>
    <xf numFmtId="3" fontId="0" fillId="0" borderId="24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7" xfId="2" applyBorder="1" applyAlignment="1">
      <alignment horizontal="center"/>
    </xf>
    <xf numFmtId="4" fontId="4" fillId="0" borderId="33" xfId="2" applyNumberFormat="1" applyBorder="1" applyAlignment="1">
      <alignment horizontal="center"/>
    </xf>
    <xf numFmtId="10" fontId="8" fillId="0" borderId="7" xfId="0" applyNumberFormat="1" applyFont="1" applyBorder="1" applyAlignment="1">
      <alignment horizontal="right"/>
    </xf>
    <xf numFmtId="168" fontId="4" fillId="0" borderId="29" xfId="2" applyNumberFormat="1" applyBorder="1" applyAlignment="1">
      <alignment horizontal="center"/>
    </xf>
    <xf numFmtId="4" fontId="4" fillId="0" borderId="29" xfId="2" applyNumberFormat="1" applyBorder="1" applyAlignment="1">
      <alignment horizontal="center"/>
    </xf>
    <xf numFmtId="0" fontId="0" fillId="0" borderId="7" xfId="0" applyBorder="1" applyAlignment="1">
      <alignment horizontal="center"/>
    </xf>
    <xf numFmtId="10" fontId="0" fillId="0" borderId="26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168" fontId="4" fillId="0" borderId="2" xfId="2" applyNumberFormat="1" applyAlignment="1">
      <alignment horizontal="center"/>
    </xf>
    <xf numFmtId="0" fontId="3" fillId="14" borderId="0" xfId="0" applyFont="1" applyFill="1" applyAlignment="1">
      <alignment horizontal="left" wrapText="1"/>
    </xf>
    <xf numFmtId="2" fontId="4" fillId="0" borderId="2" xfId="2" applyNumberFormat="1" applyAlignment="1">
      <alignment horizontal="center"/>
    </xf>
    <xf numFmtId="0" fontId="4" fillId="0" borderId="7" xfId="0" applyFont="1" applyBorder="1" applyAlignment="1">
      <alignment horizontal="left"/>
    </xf>
    <xf numFmtId="2" fontId="0" fillId="0" borderId="7" xfId="0" applyNumberFormat="1" applyBorder="1" applyAlignment="1">
      <alignment horizontal="center"/>
    </xf>
    <xf numFmtId="2" fontId="4" fillId="0" borderId="31" xfId="2" applyNumberFormat="1" applyBorder="1" applyAlignment="1">
      <alignment horizontal="center"/>
    </xf>
    <xf numFmtId="2" fontId="4" fillId="0" borderId="28" xfId="2" applyNumberFormat="1" applyBorder="1" applyAlignment="1">
      <alignment horizontal="center"/>
    </xf>
    <xf numFmtId="10" fontId="18" fillId="0" borderId="6" xfId="0" applyNumberFormat="1" applyFon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0" fontId="23" fillId="24" borderId="0" xfId="0" applyFont="1" applyFill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3" fillId="5" borderId="0" xfId="0" applyFont="1" applyFill="1" applyAlignment="1">
      <alignment horizontal="left"/>
    </xf>
    <xf numFmtId="0" fontId="8" fillId="0" borderId="29" xfId="2" applyFont="1" applyBorder="1" applyAlignment="1">
      <alignment horizontal="left"/>
    </xf>
    <xf numFmtId="10" fontId="22" fillId="0" borderId="2" xfId="2" applyNumberFormat="1" applyFont="1" applyAlignment="1">
      <alignment horizontal="center"/>
    </xf>
    <xf numFmtId="0" fontId="4" fillId="0" borderId="28" xfId="2" applyBorder="1" applyAlignment="1">
      <alignment horizontal="left"/>
    </xf>
    <xf numFmtId="0" fontId="4" fillId="11" borderId="3" xfId="0" applyFont="1" applyFill="1" applyBorder="1" applyAlignment="1">
      <alignment horizontal="left"/>
    </xf>
    <xf numFmtId="0" fontId="4" fillId="11" borderId="4" xfId="0" applyFont="1" applyFill="1" applyBorder="1" applyAlignment="1">
      <alignment horizontal="left"/>
    </xf>
    <xf numFmtId="0" fontId="4" fillId="11" borderId="5" xfId="0" applyFont="1" applyFill="1" applyBorder="1" applyAlignment="1">
      <alignment horizontal="left"/>
    </xf>
    <xf numFmtId="4" fontId="4" fillId="11" borderId="3" xfId="0" applyNumberFormat="1" applyFont="1" applyFill="1" applyBorder="1" applyAlignment="1">
      <alignment horizontal="center"/>
    </xf>
    <xf numFmtId="4" fontId="4" fillId="11" borderId="4" xfId="0" applyNumberFormat="1" applyFont="1" applyFill="1" applyBorder="1" applyAlignment="1">
      <alignment horizontal="center"/>
    </xf>
    <xf numFmtId="0" fontId="21" fillId="23" borderId="3" xfId="0" applyFont="1" applyFill="1" applyBorder="1" applyAlignment="1">
      <alignment horizontal="left"/>
    </xf>
    <xf numFmtId="0" fontId="21" fillId="23" borderId="4" xfId="0" applyFont="1" applyFill="1" applyBorder="1" applyAlignment="1">
      <alignment horizontal="left"/>
    </xf>
    <xf numFmtId="0" fontId="21" fillId="23" borderId="5" xfId="0" applyFont="1" applyFill="1" applyBorder="1" applyAlignment="1">
      <alignment horizontal="left"/>
    </xf>
    <xf numFmtId="4" fontId="3" fillId="23" borderId="6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" fontId="4" fillId="11" borderId="5" xfId="0" applyNumberFormat="1" applyFont="1" applyFill="1" applyBorder="1" applyAlignment="1">
      <alignment horizontal="center"/>
    </xf>
    <xf numFmtId="4" fontId="3" fillId="23" borderId="3" xfId="0" applyNumberFormat="1" applyFont="1" applyFill="1" applyBorder="1" applyAlignment="1">
      <alignment horizontal="center"/>
    </xf>
    <xf numFmtId="4" fontId="3" fillId="23" borderId="5" xfId="0" applyNumberFormat="1" applyFont="1" applyFill="1" applyBorder="1" applyAlignment="1">
      <alignment horizontal="center"/>
    </xf>
    <xf numFmtId="10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10" fontId="0" fillId="0" borderId="37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4" fontId="4" fillId="0" borderId="42" xfId="2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49" xfId="0" applyNumberFormat="1" applyBorder="1" applyAlignment="1">
      <alignment horizontal="center"/>
    </xf>
    <xf numFmtId="9" fontId="0" fillId="0" borderId="6" xfId="0" applyNumberFormat="1" applyBorder="1" applyAlignment="1">
      <alignment horizontal="left"/>
    </xf>
    <xf numFmtId="3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24" borderId="32" xfId="0" applyFont="1" applyFill="1" applyBorder="1" applyAlignment="1">
      <alignment horizontal="center"/>
    </xf>
    <xf numFmtId="0" fontId="4" fillId="4" borderId="0" xfId="0" applyFont="1" applyFill="1" applyAlignment="1">
      <alignment horizontal="left"/>
    </xf>
    <xf numFmtId="0" fontId="23" fillId="24" borderId="10" xfId="0" applyFont="1" applyFill="1" applyBorder="1" applyAlignment="1">
      <alignment horizontal="left"/>
    </xf>
    <xf numFmtId="0" fontId="5" fillId="5" borderId="6" xfId="0" applyFont="1" applyFill="1" applyBorder="1" applyAlignment="1">
      <alignment horizontal="left"/>
    </xf>
    <xf numFmtId="0" fontId="5" fillId="5" borderId="6" xfId="0" applyFont="1" applyFill="1" applyBorder="1" applyAlignment="1">
      <alignment horizontal="center"/>
    </xf>
    <xf numFmtId="4" fontId="4" fillId="0" borderId="41" xfId="2" applyNumberFormat="1" applyBorder="1" applyAlignment="1">
      <alignment horizontal="center"/>
    </xf>
    <xf numFmtId="0" fontId="3" fillId="14" borderId="23" xfId="0" applyFont="1" applyFill="1" applyBorder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3" fillId="14" borderId="24" xfId="0" applyFont="1" applyFill="1" applyBorder="1" applyAlignment="1">
      <alignment horizontal="center"/>
    </xf>
    <xf numFmtId="9" fontId="0" fillId="0" borderId="23" xfId="0" applyNumberFormat="1" applyBorder="1" applyAlignment="1">
      <alignment horizontal="center"/>
    </xf>
    <xf numFmtId="9" fontId="0" fillId="0" borderId="24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4" fontId="4" fillId="0" borderId="44" xfId="2" applyNumberFormat="1" applyBorder="1" applyAlignment="1">
      <alignment horizontal="center"/>
    </xf>
    <xf numFmtId="0" fontId="3" fillId="14" borderId="39" xfId="0" applyFont="1" applyFill="1" applyBorder="1" applyAlignment="1">
      <alignment horizontal="center"/>
    </xf>
    <xf numFmtId="0" fontId="3" fillId="14" borderId="40" xfId="0" applyFont="1" applyFill="1" applyBorder="1" applyAlignment="1">
      <alignment horizontal="center"/>
    </xf>
    <xf numFmtId="0" fontId="18" fillId="0" borderId="23" xfId="0" applyFont="1" applyBorder="1" applyAlignment="1">
      <alignment horizontal="left" vertical="top"/>
    </xf>
    <xf numFmtId="0" fontId="18" fillId="0" borderId="26" xfId="0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0" fontId="3" fillId="14" borderId="23" xfId="0" applyFont="1" applyFill="1" applyBorder="1" applyAlignment="1">
      <alignment horizontal="left"/>
    </xf>
    <xf numFmtId="0" fontId="3" fillId="14" borderId="26" xfId="0" applyFont="1" applyFill="1" applyBorder="1" applyAlignment="1">
      <alignment horizontal="left"/>
    </xf>
    <xf numFmtId="0" fontId="3" fillId="14" borderId="24" xfId="0" applyFont="1" applyFill="1" applyBorder="1" applyAlignment="1">
      <alignment horizontal="left"/>
    </xf>
    <xf numFmtId="0" fontId="4" fillId="0" borderId="23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3" fillId="14" borderId="23" xfId="0" applyFont="1" applyFill="1" applyBorder="1" applyAlignment="1">
      <alignment horizontal="left" vertical="center" wrapText="1"/>
    </xf>
    <xf numFmtId="0" fontId="3" fillId="14" borderId="26" xfId="0" applyFont="1" applyFill="1" applyBorder="1" applyAlignment="1">
      <alignment horizontal="left" vertical="center" wrapText="1"/>
    </xf>
    <xf numFmtId="0" fontId="3" fillId="14" borderId="24" xfId="0" applyFont="1" applyFill="1" applyBorder="1" applyAlignment="1">
      <alignment horizontal="left" vertical="center" wrapText="1"/>
    </xf>
    <xf numFmtId="0" fontId="3" fillId="14" borderId="39" xfId="0" applyFont="1" applyFill="1" applyBorder="1" applyAlignment="1">
      <alignment horizontal="left" vertical="center" wrapText="1"/>
    </xf>
    <xf numFmtId="0" fontId="3" fillId="14" borderId="32" xfId="0" applyFont="1" applyFill="1" applyBorder="1" applyAlignment="1">
      <alignment horizontal="left" vertical="center" wrapText="1"/>
    </xf>
    <xf numFmtId="4" fontId="4" fillId="0" borderId="43" xfId="2" applyNumberFormat="1" applyBorder="1" applyAlignment="1">
      <alignment horizontal="center"/>
    </xf>
    <xf numFmtId="0" fontId="5" fillId="10" borderId="14" xfId="0" applyFont="1" applyFill="1" applyBorder="1" applyAlignment="1">
      <alignment horizontal="left"/>
    </xf>
    <xf numFmtId="0" fontId="5" fillId="10" borderId="0" xfId="0" applyFont="1" applyFill="1" applyAlignment="1">
      <alignment horizontal="left"/>
    </xf>
    <xf numFmtId="0" fontId="5" fillId="10" borderId="13" xfId="0" applyFont="1" applyFill="1" applyBorder="1" applyAlignment="1">
      <alignment horizontal="left"/>
    </xf>
    <xf numFmtId="0" fontId="5" fillId="10" borderId="23" xfId="0" applyFont="1" applyFill="1" applyBorder="1" applyAlignment="1">
      <alignment horizontal="left"/>
    </xf>
    <xf numFmtId="0" fontId="5" fillId="10" borderId="26" xfId="0" applyFont="1" applyFill="1" applyBorder="1" applyAlignment="1">
      <alignment horizontal="left"/>
    </xf>
    <xf numFmtId="0" fontId="5" fillId="10" borderId="24" xfId="0" applyFont="1" applyFill="1" applyBorder="1" applyAlignment="1">
      <alignment horizontal="left"/>
    </xf>
    <xf numFmtId="0" fontId="4" fillId="21" borderId="36" xfId="0" applyFont="1" applyFill="1" applyBorder="1" applyAlignment="1">
      <alignment horizontal="center" vertical="center"/>
    </xf>
    <xf numFmtId="0" fontId="4" fillId="21" borderId="38" xfId="0" applyFont="1" applyFill="1" applyBorder="1" applyAlignment="1">
      <alignment horizontal="center" vertical="center"/>
    </xf>
    <xf numFmtId="0" fontId="4" fillId="21" borderId="39" xfId="0" applyFont="1" applyFill="1" applyBorder="1" applyAlignment="1">
      <alignment horizontal="center" vertical="center"/>
    </xf>
    <xf numFmtId="0" fontId="4" fillId="21" borderId="40" xfId="0" applyFont="1" applyFill="1" applyBorder="1" applyAlignment="1">
      <alignment horizontal="center" vertical="center"/>
    </xf>
    <xf numFmtId="0" fontId="4" fillId="21" borderId="37" xfId="0" applyFont="1" applyFill="1" applyBorder="1" applyAlignment="1">
      <alignment horizontal="center" vertical="center"/>
    </xf>
    <xf numFmtId="0" fontId="4" fillId="21" borderId="32" xfId="0" applyFont="1" applyFill="1" applyBorder="1" applyAlignment="1">
      <alignment horizontal="center" vertical="center"/>
    </xf>
    <xf numFmtId="0" fontId="4" fillId="21" borderId="23" xfId="0" applyFont="1" applyFill="1" applyBorder="1" applyAlignment="1">
      <alignment horizontal="center"/>
    </xf>
    <xf numFmtId="0" fontId="4" fillId="21" borderId="24" xfId="0" applyFont="1" applyFill="1" applyBorder="1" applyAlignment="1">
      <alignment horizontal="center"/>
    </xf>
    <xf numFmtId="0" fontId="18" fillId="0" borderId="7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3" fillId="14" borderId="7" xfId="0" applyFont="1" applyFill="1" applyBorder="1" applyAlignment="1">
      <alignment horizontal="left"/>
    </xf>
    <xf numFmtId="0" fontId="3" fillId="14" borderId="7" xfId="0" applyFont="1" applyFill="1" applyBorder="1" applyAlignment="1">
      <alignment horizontal="center"/>
    </xf>
    <xf numFmtId="0" fontId="3" fillId="14" borderId="14" xfId="0" applyFont="1" applyFill="1" applyBorder="1" applyAlignment="1">
      <alignment horizontal="center"/>
    </xf>
    <xf numFmtId="0" fontId="3" fillId="14" borderId="7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2" xfId="2" applyFill="1" applyAlignment="1">
      <alignment horizontal="left" vertical="top"/>
    </xf>
    <xf numFmtId="4" fontId="1" fillId="0" borderId="2" xfId="2" applyNumberFormat="1" applyFont="1" applyFill="1" applyAlignment="1">
      <alignment horizontal="center"/>
    </xf>
    <xf numFmtId="4" fontId="4" fillId="0" borderId="2" xfId="2" applyNumberFormat="1" applyFill="1" applyAlignment="1">
      <alignment horizontal="center"/>
    </xf>
    <xf numFmtId="4" fontId="4" fillId="0" borderId="31" xfId="2" applyNumberFormat="1" applyFill="1" applyBorder="1" applyAlignment="1">
      <alignment horizontal="center"/>
    </xf>
    <xf numFmtId="0" fontId="18" fillId="0" borderId="6" xfId="0" applyFont="1" applyBorder="1" applyAlignment="1">
      <alignment horizontal="left" vertical="top"/>
    </xf>
    <xf numFmtId="0" fontId="18" fillId="0" borderId="3" xfId="0" applyFont="1" applyBorder="1" applyAlignment="1">
      <alignment horizontal="left" vertical="top"/>
    </xf>
    <xf numFmtId="0" fontId="18" fillId="0" borderId="4" xfId="0" applyFont="1" applyBorder="1" applyAlignment="1">
      <alignment horizontal="left" vertical="top"/>
    </xf>
    <xf numFmtId="0" fontId="18" fillId="0" borderId="5" xfId="0" applyFont="1" applyBorder="1" applyAlignment="1">
      <alignment horizontal="left" vertical="top"/>
    </xf>
    <xf numFmtId="10" fontId="18" fillId="0" borderId="6" xfId="0" applyNumberFormat="1" applyFont="1" applyBorder="1" applyAlignment="1">
      <alignment horizontal="left" vertical="top"/>
    </xf>
    <xf numFmtId="0" fontId="3" fillId="14" borderId="6" xfId="0" applyFont="1" applyFill="1" applyBorder="1" applyAlignment="1">
      <alignment horizontal="left" vertical="top"/>
    </xf>
    <xf numFmtId="0" fontId="3" fillId="14" borderId="6" xfId="0" applyFont="1" applyFill="1" applyBorder="1" applyAlignment="1">
      <alignment horizontal="center"/>
    </xf>
    <xf numFmtId="0" fontId="3" fillId="14" borderId="25" xfId="0" applyFont="1" applyFill="1" applyBorder="1" applyAlignment="1">
      <alignment horizontal="center"/>
    </xf>
    <xf numFmtId="4" fontId="4" fillId="0" borderId="7" xfId="0" applyNumberFormat="1" applyFon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18" fillId="0" borderId="6" xfId="0" applyNumberFormat="1" applyFont="1" applyBorder="1" applyAlignment="1">
      <alignment horizontal="center" vertical="top"/>
    </xf>
    <xf numFmtId="0" fontId="29" fillId="0" borderId="6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4" fontId="18" fillId="0" borderId="6" xfId="0" applyNumberFormat="1" applyFont="1" applyBorder="1" applyAlignment="1">
      <alignment horizontal="center" vertical="top"/>
    </xf>
    <xf numFmtId="0" fontId="23" fillId="24" borderId="0" xfId="0" applyFont="1" applyFill="1" applyAlignment="1">
      <alignment horizontal="left"/>
    </xf>
    <xf numFmtId="0" fontId="4" fillId="0" borderId="2" xfId="2" applyAlignment="1">
      <alignment horizontal="center" vertical="top"/>
    </xf>
    <xf numFmtId="4" fontId="4" fillId="0" borderId="2" xfId="2" applyNumberFormat="1" applyAlignment="1">
      <alignment horizontal="center" vertical="top"/>
    </xf>
    <xf numFmtId="4" fontId="4" fillId="0" borderId="28" xfId="2" applyNumberFormat="1" applyBorder="1" applyAlignment="1">
      <alignment horizontal="center" vertical="top"/>
    </xf>
    <xf numFmtId="10" fontId="18" fillId="0" borderId="6" xfId="0" applyNumberFormat="1" applyFont="1" applyBorder="1" applyAlignment="1">
      <alignment horizontal="center" vertical="top"/>
    </xf>
    <xf numFmtId="0" fontId="4" fillId="0" borderId="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14" borderId="6" xfId="0" applyFont="1" applyFill="1" applyBorder="1" applyAlignment="1">
      <alignment horizontal="left"/>
    </xf>
    <xf numFmtId="0" fontId="4" fillId="0" borderId="2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28" xfId="2" applyFill="1" applyBorder="1" applyAlignment="1">
      <alignment horizontal="left" vertical="top"/>
    </xf>
    <xf numFmtId="4" fontId="4" fillId="0" borderId="31" xfId="2" applyNumberFormat="1" applyBorder="1" applyAlignment="1">
      <alignment horizontal="center" vertical="top"/>
    </xf>
    <xf numFmtId="3" fontId="4" fillId="0" borderId="31" xfId="2" applyNumberFormat="1" applyBorder="1" applyAlignment="1">
      <alignment horizontal="center" vertical="top"/>
    </xf>
    <xf numFmtId="4" fontId="18" fillId="0" borderId="7" xfId="0" applyNumberFormat="1" applyFont="1" applyBorder="1" applyAlignment="1">
      <alignment horizontal="center" vertical="top"/>
    </xf>
    <xf numFmtId="9" fontId="18" fillId="0" borderId="7" xfId="0" applyNumberFormat="1" applyFont="1" applyBorder="1" applyAlignment="1">
      <alignment horizontal="center" vertical="top"/>
    </xf>
    <xf numFmtId="0" fontId="28" fillId="18" borderId="0" xfId="0" applyFont="1" applyFill="1" applyAlignment="1">
      <alignment horizontal="center"/>
    </xf>
    <xf numFmtId="0" fontId="18" fillId="0" borderId="6" xfId="0" applyFont="1" applyBorder="1" applyAlignment="1">
      <alignment horizontal="center" vertical="top"/>
    </xf>
    <xf numFmtId="0" fontId="28" fillId="24" borderId="6" xfId="0" applyFont="1" applyFill="1" applyBorder="1" applyAlignment="1">
      <alignment horizontal="center"/>
    </xf>
    <xf numFmtId="0" fontId="0" fillId="8" borderId="2" xfId="2" applyFont="1" applyFill="1" applyAlignment="1">
      <alignment horizontal="left"/>
    </xf>
    <xf numFmtId="4" fontId="20" fillId="0" borderId="6" xfId="1" applyNumberFormat="1" applyFont="1" applyFill="1" applyBorder="1" applyAlignment="1">
      <alignment horizontal="center" vertical="top"/>
    </xf>
    <xf numFmtId="0" fontId="28" fillId="3" borderId="47" xfId="0" applyFont="1" applyFill="1" applyBorder="1" applyAlignment="1">
      <alignment horizontal="center"/>
    </xf>
    <xf numFmtId="0" fontId="28" fillId="3" borderId="48" xfId="0" applyFont="1" applyFill="1" applyBorder="1" applyAlignment="1">
      <alignment horizontal="center"/>
    </xf>
    <xf numFmtId="4" fontId="4" fillId="0" borderId="6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28" fillId="24" borderId="0" xfId="0" applyFont="1" applyFill="1" applyAlignment="1">
      <alignment horizontal="center"/>
    </xf>
    <xf numFmtId="0" fontId="3" fillId="14" borderId="10" xfId="0" applyFont="1" applyFill="1" applyBorder="1" applyAlignment="1">
      <alignment horizontal="left"/>
    </xf>
    <xf numFmtId="0" fontId="4" fillId="0" borderId="19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4" fontId="3" fillId="7" borderId="12" xfId="0" applyNumberFormat="1" applyFont="1" applyFill="1" applyBorder="1" applyAlignment="1">
      <alignment horizontal="center"/>
    </xf>
  </cellXfs>
  <cellStyles count="5">
    <cellStyle name="Accent1" xfId="4" builtinId="29"/>
    <cellStyle name="Hyperlink" xfId="3" builtinId="8"/>
    <cellStyle name="Normal" xfId="0" builtinId="0"/>
    <cellStyle name="Output" xfId="1" builtinId="21"/>
    <cellStyle name="Total" xfId="2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50</xdr:row>
      <xdr:rowOff>34705</xdr:rowOff>
    </xdr:from>
    <xdr:to>
      <xdr:col>8</xdr:col>
      <xdr:colOff>278845</xdr:colOff>
      <xdr:row>69</xdr:row>
      <xdr:rowOff>7620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60ECD6-BC4A-4549-A950-DD1D5E90B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9338725"/>
          <a:ext cx="5765244" cy="3790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64</xdr:row>
      <xdr:rowOff>43542</xdr:rowOff>
    </xdr:from>
    <xdr:to>
      <xdr:col>9</xdr:col>
      <xdr:colOff>281940</xdr:colOff>
      <xdr:row>83</xdr:row>
      <xdr:rowOff>171082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7A0DED-60DB-4BB9-8A2C-C0F4D24AA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892642"/>
          <a:ext cx="6080760" cy="39527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31</xdr:row>
      <xdr:rowOff>31315</xdr:rowOff>
    </xdr:from>
    <xdr:to>
      <xdr:col>11</xdr:col>
      <xdr:colOff>93945</xdr:colOff>
      <xdr:row>54</xdr:row>
      <xdr:rowOff>52714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0EB616-08A2-4DAB-AD53-8C40E7D79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14895"/>
          <a:ext cx="7111965" cy="42276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50</xdr:row>
      <xdr:rowOff>36285</xdr:rowOff>
    </xdr:from>
    <xdr:to>
      <xdr:col>10</xdr:col>
      <xdr:colOff>571500</xdr:colOff>
      <xdr:row>73</xdr:row>
      <xdr:rowOff>6531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91B751-DC42-41FD-B979-D5AA4F834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25065"/>
          <a:ext cx="6949440" cy="41764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53</xdr:row>
      <xdr:rowOff>11545</xdr:rowOff>
    </xdr:from>
    <xdr:to>
      <xdr:col>11</xdr:col>
      <xdr:colOff>106388</xdr:colOff>
      <xdr:row>75</xdr:row>
      <xdr:rowOff>129540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44D56C-AE01-4BEF-8759-65FAE5717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79445"/>
          <a:ext cx="6994868" cy="44918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44</xdr:row>
      <xdr:rowOff>0</xdr:rowOff>
    </xdr:from>
    <xdr:to>
      <xdr:col>11</xdr:col>
      <xdr:colOff>304800</xdr:colOff>
      <xdr:row>66</xdr:row>
      <xdr:rowOff>172496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8E536D-E28A-4DC7-A6F1-EED82972E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16686"/>
          <a:ext cx="7130143" cy="48642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ID\Downloads\Circular_Financing_Loop_Template.xlsx" TargetMode="External"/><Relationship Id="rId1" Type="http://schemas.openxmlformats.org/officeDocument/2006/relationships/externalLinkPath" Target="file:///C:\Users\SID\Downloads\Circular_Financing_Loop_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b56b7cd70d4fd96/Documents/GIGA_HEALTH_VALUATION.xlsx" TargetMode="External"/><Relationship Id="rId1" Type="http://schemas.openxmlformats.org/officeDocument/2006/relationships/externalLinkPath" Target="/4b56b7cd70d4fd96/Documents/GIGA_HEALTH_VALU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ssumptions"/>
      <sheetName val="Operating"/>
      <sheetName val="Debt"/>
      <sheetName val="Cash_Flows"/>
      <sheetName val="Equity_IRR"/>
    </sheetNames>
    <sheetDataSet>
      <sheetData sheetId="0">
        <row r="6">
          <cell r="F6">
            <v>0.25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IGA HEALTH"/>
      <sheetName val="GIGA EOR"/>
      <sheetName val="GIGA GPO"/>
      <sheetName val="GIGA FINANCE"/>
      <sheetName val="GIGA ADVISORY"/>
      <sheetName val="GIGA Rx"/>
      <sheetName val="EXEC."/>
      <sheetName val="Assumption links"/>
      <sheetName val="GIGA NETWORK"/>
      <sheetName val="GIGA INS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Q5">
            <v>1.3</v>
          </cell>
        </row>
        <row r="6">
          <cell r="Q6">
            <v>0.25</v>
          </cell>
        </row>
        <row r="7">
          <cell r="Q7">
            <v>0.375</v>
          </cell>
        </row>
        <row r="10">
          <cell r="B10">
            <v>1400000</v>
          </cell>
        </row>
        <row r="11">
          <cell r="B11">
            <v>3300000</v>
          </cell>
        </row>
        <row r="12">
          <cell r="B12">
            <v>1300000</v>
          </cell>
        </row>
        <row r="30">
          <cell r="B30">
            <v>0.44965034965034967</v>
          </cell>
        </row>
        <row r="34">
          <cell r="H34">
            <v>19000</v>
          </cell>
          <cell r="K34">
            <v>22500</v>
          </cell>
        </row>
        <row r="35">
          <cell r="H35">
            <v>7500</v>
          </cell>
          <cell r="K35">
            <v>32500</v>
          </cell>
        </row>
        <row r="36">
          <cell r="H36">
            <v>12500</v>
          </cell>
          <cell r="K36">
            <v>29000</v>
          </cell>
        </row>
        <row r="37">
          <cell r="H37">
            <v>11500</v>
          </cell>
          <cell r="K37">
            <v>23000</v>
          </cell>
        </row>
        <row r="41">
          <cell r="A41">
            <v>3000</v>
          </cell>
          <cell r="F41">
            <v>17000</v>
          </cell>
        </row>
      </sheetData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marketresearchfuture.com/reports/india-buy-now-pay-later-services-market-21686?utm_source=chatgpt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nha.gov.in/img/resources/Hospital-Empanelment-Guidelines-21-12-22.pdf" TargetMode="External"/><Relationship Id="rId2" Type="http://schemas.openxmlformats.org/officeDocument/2006/relationships/hyperlink" Target="https://www.builtxsdc.com/blog/how-much-does-it-cost-to-get-a-hospital-license-in-india" TargetMode="External"/><Relationship Id="rId1" Type="http://schemas.openxmlformats.org/officeDocument/2006/relationships/hyperlink" Target="https://www.builtxsdc.com/blog/how-much-does-it-cost-to-get-a-hospital-license-in-india" TargetMode="Externa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6292E-CE21-4BFB-BF8A-E393DDEBD4B7}">
  <dimension ref="A1:F34"/>
  <sheetViews>
    <sheetView zoomScale="62" workbookViewId="0">
      <selection activeCell="L39" sqref="L39"/>
    </sheetView>
  </sheetViews>
  <sheetFormatPr defaultRowHeight="14.4"/>
  <cols>
    <col min="1" max="1" width="62.5546875" bestFit="1" customWidth="1"/>
    <col min="4" max="4" width="13.88671875" bestFit="1" customWidth="1"/>
    <col min="5" max="5" width="9" bestFit="1" customWidth="1"/>
  </cols>
  <sheetData>
    <row r="1" spans="1:6">
      <c r="A1" t="s">
        <v>748</v>
      </c>
    </row>
    <row r="2" spans="1:6">
      <c r="A2" t="s">
        <v>749</v>
      </c>
    </row>
    <row r="3" spans="1:6">
      <c r="A3" t="s">
        <v>750</v>
      </c>
    </row>
    <row r="5" spans="1:6">
      <c r="A5" s="9" t="s">
        <v>12</v>
      </c>
      <c r="B5" s="10">
        <v>0.1</v>
      </c>
      <c r="C5" s="7"/>
      <c r="D5" s="9" t="s">
        <v>13</v>
      </c>
      <c r="E5" s="145">
        <v>2</v>
      </c>
    </row>
    <row r="7" spans="1:6" s="3" customFormat="1">
      <c r="A7" s="2" t="s">
        <v>751</v>
      </c>
    </row>
    <row r="9" spans="1:6">
      <c r="A9" s="149" t="s">
        <v>752</v>
      </c>
      <c r="B9" s="149" t="s">
        <v>753</v>
      </c>
      <c r="C9" s="150" t="s">
        <v>754</v>
      </c>
      <c r="D9" s="151">
        <v>4.4999999999999998E-2</v>
      </c>
      <c r="F9" t="s">
        <v>755</v>
      </c>
    </row>
    <row r="10" spans="1:6">
      <c r="A10" s="149" t="s">
        <v>756</v>
      </c>
      <c r="B10" s="149" t="s">
        <v>757</v>
      </c>
      <c r="C10" s="150" t="s">
        <v>758</v>
      </c>
      <c r="D10" s="149">
        <v>2</v>
      </c>
      <c r="F10" t="s">
        <v>787</v>
      </c>
    </row>
    <row r="11" spans="1:6">
      <c r="A11" s="149" t="s">
        <v>759</v>
      </c>
      <c r="B11" s="149" t="s">
        <v>760</v>
      </c>
      <c r="C11" s="150" t="s">
        <v>754</v>
      </c>
      <c r="D11" s="152">
        <v>0.06</v>
      </c>
      <c r="F11" t="s">
        <v>761</v>
      </c>
    </row>
    <row r="12" spans="1:6">
      <c r="A12" s="149" t="s">
        <v>762</v>
      </c>
      <c r="B12" s="149"/>
      <c r="C12" s="150" t="s">
        <v>754</v>
      </c>
      <c r="D12" s="152">
        <v>0.02</v>
      </c>
      <c r="F12" t="s">
        <v>788</v>
      </c>
    </row>
    <row r="13" spans="1:6">
      <c r="A13" s="149" t="s">
        <v>763</v>
      </c>
      <c r="B13" s="149"/>
      <c r="C13" s="150" t="s">
        <v>754</v>
      </c>
      <c r="D13" s="152">
        <v>5.0000000000000001E-3</v>
      </c>
      <c r="F13" t="s">
        <v>764</v>
      </c>
    </row>
    <row r="14" spans="1:6">
      <c r="A14" s="149" t="s">
        <v>765</v>
      </c>
      <c r="B14" s="149"/>
      <c r="C14" s="150" t="s">
        <v>754</v>
      </c>
      <c r="D14" s="152">
        <v>0</v>
      </c>
      <c r="F14" t="s">
        <v>766</v>
      </c>
    </row>
    <row r="15" spans="1:6">
      <c r="A15" s="153" t="s">
        <v>767</v>
      </c>
      <c r="B15" s="149" t="s">
        <v>768</v>
      </c>
      <c r="C15" s="150" t="s">
        <v>754</v>
      </c>
      <c r="D15" s="151">
        <f xml:space="preserve"> D9+D10*(D11) + D12+D13</f>
        <v>0.18999999999999997</v>
      </c>
      <c r="F15" t="s">
        <v>769</v>
      </c>
    </row>
    <row r="16" spans="1:6">
      <c r="A16" s="153" t="s">
        <v>770</v>
      </c>
      <c r="B16" s="149" t="s">
        <v>771</v>
      </c>
      <c r="C16" s="150" t="s">
        <v>754</v>
      </c>
      <c r="D16" s="152">
        <v>0.9</v>
      </c>
      <c r="F16" t="s">
        <v>772</v>
      </c>
    </row>
    <row r="18" spans="1:6" s="3" customFormat="1">
      <c r="A18" s="2" t="s">
        <v>773</v>
      </c>
    </row>
    <row r="20" spans="1:6">
      <c r="A20" s="149" t="s">
        <v>774</v>
      </c>
      <c r="B20" s="149" t="s">
        <v>775</v>
      </c>
      <c r="C20" s="150" t="s">
        <v>754</v>
      </c>
      <c r="D20" s="151">
        <v>0.1</v>
      </c>
      <c r="F20" t="s">
        <v>772</v>
      </c>
    </row>
    <row r="21" spans="1:6">
      <c r="A21" s="149" t="s">
        <v>776</v>
      </c>
      <c r="B21" s="149"/>
      <c r="C21" s="150"/>
      <c r="D21" s="152">
        <v>0</v>
      </c>
    </row>
    <row r="22" spans="1:6">
      <c r="A22" s="149" t="s">
        <v>777</v>
      </c>
      <c r="B22" s="149" t="s">
        <v>778</v>
      </c>
      <c r="C22" s="150" t="s">
        <v>754</v>
      </c>
      <c r="D22" s="152">
        <v>0.25</v>
      </c>
      <c r="F22" t="s">
        <v>779</v>
      </c>
    </row>
    <row r="23" spans="1:6">
      <c r="A23" s="153" t="s">
        <v>780</v>
      </c>
      <c r="B23" s="149" t="s">
        <v>781</v>
      </c>
      <c r="C23" s="150" t="s">
        <v>754</v>
      </c>
      <c r="D23" s="154">
        <f xml:space="preserve"> D20*(1-D22)</f>
        <v>7.5000000000000011E-2</v>
      </c>
      <c r="F23" t="s">
        <v>782</v>
      </c>
    </row>
    <row r="24" spans="1:6">
      <c r="A24" s="153" t="s">
        <v>783</v>
      </c>
      <c r="B24" s="149" t="s">
        <v>784</v>
      </c>
      <c r="C24" s="150" t="s">
        <v>754</v>
      </c>
      <c r="D24" s="152">
        <v>0.1</v>
      </c>
      <c r="F24" t="s">
        <v>772</v>
      </c>
    </row>
    <row r="25" spans="1:6">
      <c r="A25" s="114"/>
    </row>
    <row r="26" spans="1:6" s="3" customFormat="1">
      <c r="A26" s="2" t="s">
        <v>785</v>
      </c>
    </row>
    <row r="28" spans="1:6" ht="23.4">
      <c r="A28" s="155" t="s">
        <v>128</v>
      </c>
      <c r="B28" s="156"/>
      <c r="C28" s="156"/>
      <c r="D28" s="157">
        <f xml:space="preserve"> D15*D16+D23*D24</f>
        <v>0.17849999999999999</v>
      </c>
      <c r="F28" t="s">
        <v>786</v>
      </c>
    </row>
    <row r="30" spans="1:6" s="3" customFormat="1">
      <c r="A30" s="2" t="s">
        <v>742</v>
      </c>
    </row>
    <row r="31" spans="1:6">
      <c r="A31" s="158" t="s">
        <v>747</v>
      </c>
      <c r="B31" s="158"/>
      <c r="C31" s="158"/>
      <c r="D31" s="38" t="s">
        <v>128</v>
      </c>
      <c r="E31" s="38" t="s">
        <v>746</v>
      </c>
    </row>
    <row r="32" spans="1:6">
      <c r="A32" s="159" t="s">
        <v>743</v>
      </c>
      <c r="B32" s="159"/>
      <c r="C32" s="159"/>
      <c r="D32" s="148">
        <f>D33*(1-EXEC.!B88)</f>
        <v>0.16200000000000001</v>
      </c>
      <c r="E32" s="148">
        <f>E33*(1-EXEC.!B88)</f>
        <v>3.1500000000000007E-2</v>
      </c>
    </row>
    <row r="33" spans="1:5">
      <c r="A33" s="159" t="s">
        <v>744</v>
      </c>
      <c r="B33" s="159"/>
      <c r="C33" s="159"/>
      <c r="D33" s="148">
        <f>D28</f>
        <v>0.17849999999999999</v>
      </c>
      <c r="E33" s="148">
        <v>3.5000000000000003E-2</v>
      </c>
    </row>
    <row r="34" spans="1:5">
      <c r="A34" s="159" t="s">
        <v>745</v>
      </c>
      <c r="B34" s="159"/>
      <c r="C34" s="159"/>
      <c r="D34" s="148">
        <f>D33*(1+EXEC.!B88)</f>
        <v>0.19800000000000001</v>
      </c>
      <c r="E34" s="148">
        <f>E33*(1+EXEC.!B88)</f>
        <v>3.8500000000000006E-2</v>
      </c>
    </row>
  </sheetData>
  <mergeCells count="4">
    <mergeCell ref="A31:C31"/>
    <mergeCell ref="A32:C32"/>
    <mergeCell ref="A33:C33"/>
    <mergeCell ref="A34:C34"/>
  </mergeCells>
  <dataValidations count="1">
    <dataValidation type="list" allowBlank="1" showInputMessage="1" showErrorMessage="1" sqref="E5" xr:uid="{EC4F09A8-7831-49D5-9165-913D451E7562}">
      <formula1>"1,2,3"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CD1C1-5787-4387-926F-C2A41FC4DE3C}">
  <sheetPr codeName="Sheet1"/>
  <dimension ref="A1:AH160"/>
  <sheetViews>
    <sheetView showGridLines="0" tabSelected="1" zoomScale="77" workbookViewId="0">
      <selection activeCell="G23" sqref="G23"/>
    </sheetView>
  </sheetViews>
  <sheetFormatPr defaultRowHeight="14.4"/>
  <cols>
    <col min="1" max="1" width="9.109375" bestFit="1" customWidth="1"/>
    <col min="2" max="2" width="9" bestFit="1" customWidth="1"/>
    <col min="3" max="3" width="10.6640625" bestFit="1" customWidth="1"/>
    <col min="4" max="4" width="9.33203125" bestFit="1" customWidth="1"/>
    <col min="5" max="5" width="9.109375" bestFit="1" customWidth="1"/>
    <col min="6" max="6" width="9.33203125" bestFit="1" customWidth="1"/>
    <col min="7" max="7" width="12.109375" bestFit="1" customWidth="1"/>
    <col min="8" max="9" width="11.33203125" bestFit="1" customWidth="1"/>
    <col min="10" max="10" width="9.33203125" bestFit="1" customWidth="1"/>
    <col min="11" max="11" width="9" bestFit="1" customWidth="1"/>
    <col min="12" max="12" width="9.109375" bestFit="1" customWidth="1"/>
    <col min="13" max="13" width="9.5546875" bestFit="1" customWidth="1"/>
    <col min="14" max="14" width="9" bestFit="1" customWidth="1"/>
    <col min="18" max="18" width="9" bestFit="1" customWidth="1"/>
    <col min="19" max="20" width="9.44140625" bestFit="1" customWidth="1"/>
    <col min="21" max="21" width="9.21875" bestFit="1" customWidth="1"/>
  </cols>
  <sheetData>
    <row r="1" spans="1:9" s="1" customFormat="1" ht="21">
      <c r="A1" s="256" t="s">
        <v>721</v>
      </c>
      <c r="B1" s="256"/>
      <c r="C1" s="256"/>
      <c r="D1" s="256"/>
      <c r="E1" s="256"/>
      <c r="F1" s="256"/>
    </row>
    <row r="2" spans="1:9" s="3" customFormat="1">
      <c r="A2" s="2" t="s">
        <v>0</v>
      </c>
    </row>
    <row r="3" spans="1:9">
      <c r="A3" s="257" t="s">
        <v>1</v>
      </c>
      <c r="B3" s="258"/>
      <c r="C3" s="258"/>
      <c r="D3" s="259"/>
      <c r="E3" s="260" t="s">
        <v>2</v>
      </c>
      <c r="F3" s="260"/>
      <c r="G3" s="260" t="s">
        <v>3</v>
      </c>
      <c r="H3" s="261"/>
      <c r="I3" s="4" t="s">
        <v>4</v>
      </c>
    </row>
    <row r="4" spans="1:9">
      <c r="A4" s="245" t="s">
        <v>5</v>
      </c>
      <c r="B4" s="245"/>
      <c r="C4" s="245"/>
      <c r="D4" s="245"/>
      <c r="E4" s="253">
        <f>E29</f>
        <v>9.9217899999999997</v>
      </c>
      <c r="F4" s="253"/>
      <c r="G4" s="253">
        <f>F29</f>
        <v>15.958115370983169</v>
      </c>
      <c r="H4" s="253"/>
      <c r="I4" s="5">
        <f>(G4/E4)^0.1-1</f>
        <v>4.8670755664786736E-2</v>
      </c>
    </row>
    <row r="5" spans="1:9" ht="15" thickBot="1">
      <c r="A5" s="246" t="s">
        <v>6</v>
      </c>
      <c r="B5" s="246"/>
      <c r="C5" s="246"/>
      <c r="D5" s="246"/>
      <c r="E5" s="168">
        <f>E32</f>
        <v>0.173631325</v>
      </c>
      <c r="F5" s="168"/>
      <c r="G5" s="168">
        <f>F32</f>
        <v>0.27926701899220546</v>
      </c>
      <c r="H5" s="250"/>
      <c r="I5" s="5">
        <f>(G5/E5)^0.1-1</f>
        <v>4.8670755664786736E-2</v>
      </c>
    </row>
    <row r="6" spans="1:9" s="7" customFormat="1" ht="15" thickTop="1">
      <c r="A6" s="6" t="s">
        <v>7</v>
      </c>
      <c r="B6" s="6"/>
      <c r="C6" s="6"/>
      <c r="D6" s="6"/>
      <c r="E6" s="247">
        <f xml:space="preserve"> E5/E4</f>
        <v>1.7500000000000002E-2</v>
      </c>
      <c r="F6" s="247"/>
      <c r="G6" s="247">
        <f xml:space="preserve"> G5/G4</f>
        <v>1.7500000000000002E-2</v>
      </c>
      <c r="H6" s="247"/>
      <c r="I6" s="5"/>
    </row>
    <row r="7" spans="1:9" s="7" customFormat="1">
      <c r="A7" s="6"/>
      <c r="B7" s="6"/>
      <c r="C7" s="6"/>
      <c r="D7" s="6"/>
      <c r="E7" s="8"/>
      <c r="F7" s="8"/>
      <c r="G7" s="8"/>
      <c r="H7" s="8"/>
      <c r="I7" s="5"/>
    </row>
    <row r="8" spans="1:9">
      <c r="A8" s="245" t="s">
        <v>8</v>
      </c>
      <c r="B8" s="245"/>
      <c r="C8" s="245"/>
      <c r="D8" s="245"/>
      <c r="E8" s="253">
        <f>L29*L30/8300</f>
        <v>0.12048192771084337</v>
      </c>
      <c r="F8" s="253"/>
      <c r="G8" s="254">
        <f>M29*M30/8300</f>
        <v>0.42369413586423449</v>
      </c>
      <c r="H8" s="255"/>
      <c r="I8" s="5">
        <f>(G8/E8)^0.1-1</f>
        <v>0.13400000000000012</v>
      </c>
    </row>
    <row r="9" spans="1:9" ht="15" thickBot="1">
      <c r="A9" s="246" t="s">
        <v>6</v>
      </c>
      <c r="B9" s="246"/>
      <c r="C9" s="246"/>
      <c r="D9" s="246"/>
      <c r="E9" s="168">
        <f>L32</f>
        <v>4.2168674698795178E-2</v>
      </c>
      <c r="F9" s="168"/>
      <c r="G9" s="168">
        <f>M32</f>
        <v>0.19066236113890553</v>
      </c>
      <c r="H9" s="250"/>
      <c r="I9" s="5">
        <f>(G9/E9)^0.1-1</f>
        <v>0.16286018626120469</v>
      </c>
    </row>
    <row r="10" spans="1:9" s="7" customFormat="1" ht="15" thickTop="1">
      <c r="A10" s="6" t="s">
        <v>7</v>
      </c>
      <c r="B10" s="6"/>
      <c r="C10" s="6"/>
      <c r="D10" s="6"/>
      <c r="E10" s="247">
        <f xml:space="preserve"> E9/E8</f>
        <v>0.35</v>
      </c>
      <c r="F10" s="247"/>
      <c r="G10" s="247">
        <f xml:space="preserve"> G9/G8</f>
        <v>0.45</v>
      </c>
      <c r="H10" s="247"/>
      <c r="I10" s="5"/>
    </row>
    <row r="11" spans="1:9" s="7" customFormat="1">
      <c r="A11" s="6"/>
      <c r="B11" s="6"/>
      <c r="C11" s="6"/>
      <c r="D11" s="6"/>
      <c r="E11" s="8"/>
      <c r="F11" s="8"/>
      <c r="G11" s="8"/>
      <c r="H11" s="8"/>
      <c r="I11" s="5"/>
    </row>
    <row r="12" spans="1:9" s="7" customFormat="1">
      <c r="A12" s="6"/>
      <c r="B12" s="6"/>
      <c r="C12" s="6"/>
      <c r="D12" s="6"/>
      <c r="E12" s="8"/>
      <c r="F12" s="8"/>
      <c r="G12" s="8"/>
      <c r="H12" s="8"/>
      <c r="I12" s="5"/>
    </row>
    <row r="13" spans="1:9">
      <c r="A13" s="252" t="s">
        <v>9</v>
      </c>
      <c r="B13" s="252"/>
      <c r="C13" s="252"/>
      <c r="D13" s="252"/>
      <c r="E13" s="253">
        <f>S29</f>
        <v>5.5662650602409647</v>
      </c>
      <c r="F13" s="253"/>
      <c r="G13" s="254">
        <f>T29</f>
        <v>21.62261255997679</v>
      </c>
      <c r="H13" s="255"/>
      <c r="I13" s="5">
        <f>(G13/E13)^0.1-1</f>
        <v>0.14534000000000002</v>
      </c>
    </row>
    <row r="14" spans="1:9" ht="15" thickBot="1">
      <c r="A14" s="246" t="s">
        <v>6</v>
      </c>
      <c r="B14" s="246"/>
      <c r="C14" s="246"/>
      <c r="D14" s="246"/>
      <c r="E14" s="168">
        <f>S32</f>
        <v>4.1746987951807236E-2</v>
      </c>
      <c r="F14" s="168"/>
      <c r="G14" s="168">
        <f>T32</f>
        <v>0.43245225119953584</v>
      </c>
      <c r="H14" s="250"/>
      <c r="I14" s="5">
        <f>(G14/E14)^0.1-1</f>
        <v>0.2633721574690937</v>
      </c>
    </row>
    <row r="15" spans="1:9" s="7" customFormat="1" ht="15" thickTop="1">
      <c r="A15" s="6" t="s">
        <v>7</v>
      </c>
      <c r="B15" s="6"/>
      <c r="C15" s="6"/>
      <c r="D15" s="6"/>
      <c r="E15" s="247">
        <f xml:space="preserve"> E14/E13</f>
        <v>7.5000000000000006E-3</v>
      </c>
      <c r="F15" s="247"/>
      <c r="G15" s="247">
        <f xml:space="preserve"> G14/G13</f>
        <v>0.02</v>
      </c>
      <c r="H15" s="247"/>
      <c r="I15" s="5"/>
    </row>
    <row r="16" spans="1:9" s="7" customFormat="1">
      <c r="A16" s="6"/>
      <c r="B16" s="6"/>
      <c r="C16" s="6"/>
      <c r="D16" s="6"/>
      <c r="E16" s="8"/>
      <c r="F16" s="8"/>
      <c r="G16" s="8"/>
      <c r="H16" s="8"/>
      <c r="I16" s="5"/>
    </row>
    <row r="17" spans="1:27">
      <c r="I17" s="5"/>
    </row>
    <row r="18" spans="1:27">
      <c r="A18" s="245" t="s">
        <v>10</v>
      </c>
      <c r="B18" s="245"/>
      <c r="C18" s="245"/>
      <c r="D18" s="245"/>
      <c r="E18" s="251">
        <f xml:space="preserve"> SUM(E4,E8,E13)</f>
        <v>15.608536987951808</v>
      </c>
      <c r="F18" s="251"/>
      <c r="G18" s="251">
        <f xml:space="preserve"> SUM(G4,G8,G13)</f>
        <v>38.004422066824191</v>
      </c>
      <c r="H18" s="251"/>
      <c r="I18" s="5">
        <f t="shared" ref="I18" si="0">(G18/E18)^0.1-1</f>
        <v>9.3068033038729236E-2</v>
      </c>
    </row>
    <row r="19" spans="1:27" ht="15" thickBot="1">
      <c r="A19" s="246" t="s">
        <v>6</v>
      </c>
      <c r="B19" s="246"/>
      <c r="C19" s="246"/>
      <c r="D19" s="246"/>
      <c r="E19" s="168">
        <f xml:space="preserve"> SUM(E9,E5, E14)</f>
        <v>0.25754698765060241</v>
      </c>
      <c r="F19" s="168"/>
      <c r="G19" s="168">
        <f xml:space="preserve"> SUM(G9,G5, G14)</f>
        <v>0.90238163133064675</v>
      </c>
      <c r="H19" s="168"/>
      <c r="I19" s="5">
        <f>(G19/E19)^0.1-1</f>
        <v>0.1335831379922281</v>
      </c>
    </row>
    <row r="20" spans="1:27" s="7" customFormat="1" ht="15" thickTop="1">
      <c r="A20" s="6" t="s">
        <v>7</v>
      </c>
      <c r="B20" s="6"/>
      <c r="C20" s="6"/>
      <c r="D20" s="6"/>
      <c r="E20" s="247">
        <f xml:space="preserve"> E19/E18</f>
        <v>1.650039256397972E-2</v>
      </c>
      <c r="F20" s="247"/>
      <c r="G20" s="247">
        <f xml:space="preserve"> G19/G18</f>
        <v>2.3744121927284277E-2</v>
      </c>
      <c r="H20" s="247"/>
      <c r="I20" s="5"/>
    </row>
    <row r="22" spans="1:27" s="3" customFormat="1">
      <c r="A22" s="2" t="s">
        <v>11</v>
      </c>
    </row>
    <row r="23" spans="1:27" s="7" customFormat="1">
      <c r="A23" s="248" t="s">
        <v>12</v>
      </c>
      <c r="B23" s="249"/>
      <c r="C23" s="10">
        <f>EXEC.!B88</f>
        <v>0.1</v>
      </c>
      <c r="E23" s="248" t="s">
        <v>13</v>
      </c>
      <c r="F23" s="249"/>
      <c r="G23" s="11">
        <f>EXEC.!E88</f>
        <v>2</v>
      </c>
      <c r="H23" s="8"/>
    </row>
    <row r="24" spans="1:27">
      <c r="E24" s="12"/>
      <c r="F24" s="12"/>
      <c r="G24" s="12"/>
      <c r="H24" s="12"/>
      <c r="I24" s="13"/>
    </row>
    <row r="25" spans="1:27">
      <c r="A25" s="244" t="s">
        <v>14</v>
      </c>
      <c r="B25" s="244"/>
      <c r="C25" s="244"/>
      <c r="D25" s="244"/>
      <c r="E25" s="244"/>
      <c r="F25" s="244"/>
      <c r="G25" s="14"/>
      <c r="H25" s="244" t="s">
        <v>15</v>
      </c>
      <c r="I25" s="244"/>
      <c r="J25" s="244"/>
      <c r="K25" s="244"/>
      <c r="L25" s="244"/>
      <c r="M25" s="244"/>
      <c r="O25" s="244" t="s">
        <v>16</v>
      </c>
      <c r="P25" s="244"/>
      <c r="Q25" s="244"/>
      <c r="R25" s="244"/>
      <c r="S25" s="244"/>
      <c r="T25" s="244"/>
      <c r="U25" s="244"/>
      <c r="V25" s="244"/>
      <c r="W25" s="244"/>
      <c r="X25" s="244"/>
      <c r="Y25" s="244"/>
      <c r="Z25" s="244"/>
      <c r="AA25" s="244"/>
    </row>
    <row r="26" spans="1:27">
      <c r="E26" s="14"/>
      <c r="F26" s="14"/>
      <c r="G26" s="14"/>
      <c r="L26" s="14"/>
      <c r="M26" s="14"/>
      <c r="S26" s="14"/>
      <c r="T26" s="14"/>
    </row>
    <row r="27" spans="1:27" s="7" customFormat="1">
      <c r="A27" s="15" t="s">
        <v>17</v>
      </c>
      <c r="B27" s="15"/>
      <c r="C27" s="15"/>
      <c r="D27" s="15"/>
      <c r="E27" s="15"/>
      <c r="F27" s="15"/>
      <c r="H27" s="15" t="s">
        <v>17</v>
      </c>
      <c r="I27" s="15"/>
      <c r="J27" s="15"/>
      <c r="K27" s="15"/>
      <c r="L27" s="15"/>
      <c r="M27" s="15"/>
      <c r="O27" s="15" t="s">
        <v>17</v>
      </c>
      <c r="P27" s="15"/>
      <c r="Q27" s="15"/>
      <c r="R27" s="15"/>
      <c r="S27" s="15"/>
      <c r="T27" s="15"/>
    </row>
    <row r="28" spans="1:27" ht="14.4" customHeight="1">
      <c r="A28" s="245" t="s">
        <v>18</v>
      </c>
      <c r="B28" s="245"/>
      <c r="C28" s="245"/>
      <c r="D28" s="245"/>
      <c r="E28" s="16">
        <v>45849</v>
      </c>
      <c r="F28" s="17">
        <f>EDATE(E28,120)</f>
        <v>49501</v>
      </c>
      <c r="H28" s="245" t="s">
        <v>18</v>
      </c>
      <c r="I28" s="245"/>
      <c r="J28" s="245"/>
      <c r="K28" s="245"/>
      <c r="L28" s="16">
        <v>45849</v>
      </c>
      <c r="M28" s="17">
        <f>EDATE(L28,120)</f>
        <v>49501</v>
      </c>
      <c r="O28" s="245" t="s">
        <v>18</v>
      </c>
      <c r="P28" s="245"/>
      <c r="Q28" s="245"/>
      <c r="R28" s="245"/>
      <c r="S28" s="16">
        <v>45849</v>
      </c>
      <c r="T28" s="17">
        <f>EDATE(S28,120)</f>
        <v>49501</v>
      </c>
    </row>
    <row r="29" spans="1:27" ht="14.4" customHeight="1">
      <c r="A29" s="239" t="s">
        <v>19</v>
      </c>
      <c r="B29" s="239"/>
      <c r="C29" s="239"/>
      <c r="D29" s="239"/>
      <c r="E29" s="19">
        <f>CHOOSE($G$23,E36,E37,E38)</f>
        <v>9.9217899999999997</v>
      </c>
      <c r="F29" s="19">
        <f>CHOOSE($G$23,F36,F37,F38)</f>
        <v>15.958115370983169</v>
      </c>
      <c r="H29" s="239" t="s">
        <v>20</v>
      </c>
      <c r="I29" s="239"/>
      <c r="J29" s="239"/>
      <c r="K29" s="239"/>
      <c r="L29" s="19">
        <f>CHOOSE($G$23,L36,L37,L38)</f>
        <v>1</v>
      </c>
      <c r="M29" s="19">
        <f>CHOOSE($G$23,M36,M37,M38)</f>
        <v>2.1589249972727877</v>
      </c>
      <c r="O29" s="239" t="s">
        <v>19</v>
      </c>
      <c r="P29" s="239"/>
      <c r="Q29" s="239"/>
      <c r="R29" s="239"/>
      <c r="S29" s="19">
        <f>CHOOSE($G$23,S36,S37,S38)*CHOOSE($G$23,Z36,Z37,Z38)*CHOOSE($G$23,S41,S42,S43)*CHOOSE($G$23,S46,S47,S48)/8300</f>
        <v>5.5662650602409647</v>
      </c>
      <c r="T29" s="19">
        <f>CHOOSE($G$23,T36,T37,T38)*CHOOSE($G$23,AA36,AA37,AA38)*CHOOSE($G$23,T41,T42,T43)*CHOOSE($G$23,T46,T47,T48)/8300</f>
        <v>21.62261255997679</v>
      </c>
    </row>
    <row r="30" spans="1:27" ht="14.4" customHeight="1">
      <c r="A30" s="239" t="s">
        <v>21</v>
      </c>
      <c r="B30" s="239"/>
      <c r="C30" s="239"/>
      <c r="D30" s="239"/>
      <c r="E30" s="20">
        <f xml:space="preserve"> CHOOSE($G$23,E46,E47,E48)</f>
        <v>0.05</v>
      </c>
      <c r="F30" s="20">
        <f xml:space="preserve"> CHOOSE($G$23,F46,F47,F48)</f>
        <v>0.05</v>
      </c>
      <c r="H30" s="239" t="s">
        <v>22</v>
      </c>
      <c r="I30" s="239"/>
      <c r="J30" s="239"/>
      <c r="K30" s="239"/>
      <c r="L30" s="19">
        <f xml:space="preserve"> CHOOSE($G$23,L41,L42,L43)</f>
        <v>1000</v>
      </c>
      <c r="M30" s="19">
        <f xml:space="preserve"> CHOOSE($G$23,M41,M42,M43)</f>
        <v>1628.8946267774415</v>
      </c>
      <c r="O30" s="239" t="s">
        <v>21</v>
      </c>
      <c r="P30" s="239"/>
      <c r="Q30" s="239"/>
      <c r="R30" s="239"/>
      <c r="S30" s="19">
        <f>CHOOSE($G$23,Z46,Z47,Z48)</f>
        <v>0.03</v>
      </c>
      <c r="T30" s="19">
        <f>CHOOSE($G$23,AA46,AA47,AA48)</f>
        <v>0.05</v>
      </c>
    </row>
    <row r="31" spans="1:27" ht="14.4" customHeight="1">
      <c r="A31" s="239" t="s">
        <v>23</v>
      </c>
      <c r="B31" s="239"/>
      <c r="C31" s="239"/>
      <c r="D31" s="239"/>
      <c r="E31" s="20">
        <f>CHOOSE($G$23,E41,E42,E43)</f>
        <v>0.35</v>
      </c>
      <c r="F31" s="20">
        <f>CHOOSE($G$23,F41,F42,F43)</f>
        <v>0.35</v>
      </c>
      <c r="H31" t="s">
        <v>24</v>
      </c>
      <c r="L31" s="19">
        <f>CHOOSE($G$23,L46,L47,L48)</f>
        <v>0.35</v>
      </c>
      <c r="M31" s="19">
        <f>CHOOSE($G$23,M46,M47,M48)</f>
        <v>0.45</v>
      </c>
      <c r="O31" s="241" t="s">
        <v>23</v>
      </c>
      <c r="P31" s="241"/>
      <c r="Q31" s="241"/>
      <c r="R31" s="241"/>
      <c r="S31" s="19">
        <f>CHOOSE($G$23,Z41,Z42,Z43)</f>
        <v>0.25</v>
      </c>
      <c r="T31" s="19">
        <f>CHOOSE($G$23,AA41,AA42,AA43)</f>
        <v>0.4</v>
      </c>
    </row>
    <row r="32" spans="1:27" ht="15" thickBot="1">
      <c r="A32" s="242" t="s">
        <v>25</v>
      </c>
      <c r="B32" s="242"/>
      <c r="C32" s="242"/>
      <c r="D32" s="242"/>
      <c r="E32" s="21">
        <f xml:space="preserve"> PRODUCT(E29:E31)</f>
        <v>0.173631325</v>
      </c>
      <c r="F32" s="21">
        <f xml:space="preserve"> PRODUCT(F29:F31)</f>
        <v>0.27926701899220546</v>
      </c>
      <c r="G32" s="14"/>
      <c r="H32" s="242" t="s">
        <v>25</v>
      </c>
      <c r="I32" s="242"/>
      <c r="J32" s="242"/>
      <c r="K32" s="242"/>
      <c r="L32" s="21">
        <f xml:space="preserve"> PRODUCT(L29:L31)/8300</f>
        <v>4.2168674698795178E-2</v>
      </c>
      <c r="M32" s="21">
        <f xml:space="preserve"> PRODUCT(M29:M31)/8300</f>
        <v>0.19066236113890553</v>
      </c>
      <c r="O32" s="242" t="s">
        <v>25</v>
      </c>
      <c r="P32" s="242"/>
      <c r="Q32" s="242"/>
      <c r="R32" s="242"/>
      <c r="S32" s="21">
        <f xml:space="preserve"> PRODUCT(S29:S31)</f>
        <v>4.1746987951807236E-2</v>
      </c>
      <c r="T32" s="21">
        <f xml:space="preserve"> PRODUCT(T29:T31)</f>
        <v>0.43245225119953584</v>
      </c>
    </row>
    <row r="33" spans="1:27" ht="15" thickTop="1">
      <c r="E33" s="14"/>
      <c r="F33" s="14"/>
      <c r="G33" s="14"/>
      <c r="L33" s="14"/>
      <c r="M33" s="14"/>
      <c r="S33" s="14"/>
      <c r="T33" s="14"/>
    </row>
    <row r="34" spans="1:27" s="7" customFormat="1">
      <c r="A34" s="15" t="s">
        <v>26</v>
      </c>
      <c r="B34" s="15"/>
      <c r="C34" s="15"/>
      <c r="D34" s="15"/>
      <c r="E34" s="15"/>
      <c r="F34" s="15"/>
      <c r="H34" s="15" t="s">
        <v>26</v>
      </c>
      <c r="I34" s="15"/>
      <c r="J34" s="15"/>
      <c r="K34" s="15"/>
      <c r="L34" s="15"/>
      <c r="M34" s="15"/>
      <c r="O34" s="243" t="s">
        <v>26</v>
      </c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  <c r="AA34" s="243"/>
    </row>
    <row r="35" spans="1:27">
      <c r="A35" s="240" t="s">
        <v>27</v>
      </c>
      <c r="B35" s="240"/>
      <c r="C35" s="240"/>
      <c r="D35" s="240"/>
      <c r="E35" s="14"/>
      <c r="F35" s="14"/>
      <c r="G35" s="14"/>
      <c r="H35" s="240" t="s">
        <v>28</v>
      </c>
      <c r="I35" s="240"/>
      <c r="J35" s="240"/>
      <c r="K35" s="240"/>
      <c r="L35" s="14"/>
      <c r="M35" s="14"/>
      <c r="O35" s="240" t="s">
        <v>28</v>
      </c>
      <c r="P35" s="240"/>
      <c r="Q35" s="240"/>
      <c r="R35" s="240"/>
      <c r="S35" s="14"/>
      <c r="T35" s="14"/>
      <c r="V35" s="240" t="s">
        <v>29</v>
      </c>
      <c r="W35" s="240"/>
      <c r="X35" s="240"/>
      <c r="Y35" s="240"/>
      <c r="Z35" s="14"/>
      <c r="AA35" s="14"/>
    </row>
    <row r="36" spans="1:27">
      <c r="A36" s="239" t="s">
        <v>30</v>
      </c>
      <c r="B36" s="239"/>
      <c r="C36" s="239"/>
      <c r="D36" s="239"/>
      <c r="E36" s="19">
        <f>E37*(1+C23)</f>
        <v>10.913969</v>
      </c>
      <c r="F36" s="23">
        <f>F37*(1+$C$23)</f>
        <v>17.553926908081486</v>
      </c>
      <c r="G36" s="14"/>
      <c r="H36" s="239" t="s">
        <v>30</v>
      </c>
      <c r="I36" s="239"/>
      <c r="J36" s="239"/>
      <c r="K36" s="239"/>
      <c r="L36" s="19">
        <f>L37*(1+$C$23)</f>
        <v>1.1000000000000001</v>
      </c>
      <c r="M36" s="23">
        <f>M37*(1+$C$23)</f>
        <v>2.3748174970000666</v>
      </c>
      <c r="O36" s="239" t="s">
        <v>30</v>
      </c>
      <c r="P36" s="239"/>
      <c r="Q36" s="239"/>
      <c r="R36" s="239"/>
      <c r="S36" s="19">
        <f>S37*(1+$C$23)</f>
        <v>6.6000000000000005</v>
      </c>
      <c r="T36" s="23">
        <f>T37*(1+$C$23)</f>
        <v>10.750704536731115</v>
      </c>
      <c r="V36" s="239" t="s">
        <v>30</v>
      </c>
      <c r="W36" s="239"/>
      <c r="X36" s="239"/>
      <c r="Y36" s="239"/>
      <c r="Z36" s="20">
        <f>Z37*(1+$C$23)</f>
        <v>7.7000000000000013E-2</v>
      </c>
      <c r="AA36" s="24">
        <f>AA37*(1+$C$23)</f>
        <v>8.5055903656662768E-2</v>
      </c>
    </row>
    <row r="37" spans="1:27">
      <c r="A37" s="239" t="s">
        <v>31</v>
      </c>
      <c r="B37" s="239"/>
      <c r="C37" s="239"/>
      <c r="D37" s="239"/>
      <c r="E37" s="19">
        <f>P86</f>
        <v>9.9217899999999997</v>
      </c>
      <c r="F37" s="23">
        <f>S86</f>
        <v>15.958115370983169</v>
      </c>
      <c r="G37" s="14"/>
      <c r="H37" s="239" t="s">
        <v>31</v>
      </c>
      <c r="I37" s="239"/>
      <c r="J37" s="239"/>
      <c r="K37" s="239"/>
      <c r="L37" s="19">
        <f>B99</f>
        <v>1</v>
      </c>
      <c r="M37" s="23">
        <f>B100</f>
        <v>2.1589249972727877</v>
      </c>
      <c r="O37" s="239" t="s">
        <v>31</v>
      </c>
      <c r="P37" s="239"/>
      <c r="Q37" s="239"/>
      <c r="R37" s="239"/>
      <c r="S37" s="19">
        <f>B105</f>
        <v>6</v>
      </c>
      <c r="T37" s="23">
        <f>B106</f>
        <v>9.7733677606646499</v>
      </c>
      <c r="V37" s="239" t="s">
        <v>31</v>
      </c>
      <c r="W37" s="239"/>
      <c r="X37" s="239"/>
      <c r="Y37" s="239"/>
      <c r="Z37" s="20">
        <f>U105</f>
        <v>7.0000000000000007E-2</v>
      </c>
      <c r="AA37" s="24">
        <f>Z37*(1.01)^10</f>
        <v>7.7323548778784335E-2</v>
      </c>
    </row>
    <row r="38" spans="1:27">
      <c r="A38" s="239" t="s">
        <v>32</v>
      </c>
      <c r="B38" s="239"/>
      <c r="C38" s="239"/>
      <c r="D38" s="239"/>
      <c r="E38" s="19">
        <f>E37*(1-C23)</f>
        <v>8.9296109999999995</v>
      </c>
      <c r="F38" s="23">
        <f>F37*(1-$C$23)</f>
        <v>14.362303833884852</v>
      </c>
      <c r="G38" s="14"/>
      <c r="H38" s="239" t="s">
        <v>32</v>
      </c>
      <c r="I38" s="239"/>
      <c r="J38" s="239"/>
      <c r="K38" s="239"/>
      <c r="L38" s="19">
        <f>L37*(1-$C$23)</f>
        <v>0.9</v>
      </c>
      <c r="M38" s="23">
        <f>M37*(1-$C$23)</f>
        <v>1.9430324975455091</v>
      </c>
      <c r="O38" s="239" t="s">
        <v>32</v>
      </c>
      <c r="P38" s="239"/>
      <c r="Q38" s="239"/>
      <c r="R38" s="239"/>
      <c r="S38" s="19">
        <f>S37*(1-$C$23)</f>
        <v>5.4</v>
      </c>
      <c r="T38" s="23">
        <f>T37*(1-$C$23)</f>
        <v>8.7960309845981843</v>
      </c>
      <c r="V38" s="239" t="s">
        <v>32</v>
      </c>
      <c r="W38" s="239"/>
      <c r="X38" s="239"/>
      <c r="Y38" s="239"/>
      <c r="Z38" s="20">
        <f>Z37*(1-$C$23)</f>
        <v>6.3000000000000014E-2</v>
      </c>
      <c r="AA38" s="24">
        <f>AA37*(1-$C$23)</f>
        <v>6.9591193900905901E-2</v>
      </c>
    </row>
    <row r="39" spans="1:27">
      <c r="E39" s="14"/>
      <c r="F39" s="14"/>
      <c r="G39" s="14"/>
      <c r="L39" s="14"/>
      <c r="M39" s="14"/>
      <c r="S39" s="14"/>
      <c r="T39" s="14"/>
    </row>
    <row r="40" spans="1:27">
      <c r="A40" s="240" t="s">
        <v>33</v>
      </c>
      <c r="B40" s="240"/>
      <c r="C40" s="240"/>
      <c r="D40" s="240"/>
      <c r="E40" s="14"/>
      <c r="F40" s="14"/>
      <c r="G40" s="14"/>
      <c r="H40" s="240" t="s">
        <v>22</v>
      </c>
      <c r="I40" s="240"/>
      <c r="J40" s="240"/>
      <c r="K40" s="240"/>
      <c r="L40" s="14"/>
      <c r="M40" s="14"/>
      <c r="O40" s="240" t="s">
        <v>34</v>
      </c>
      <c r="P40" s="240"/>
      <c r="Q40" s="240"/>
      <c r="R40" s="240"/>
      <c r="S40" s="14"/>
      <c r="T40" s="14"/>
      <c r="V40" s="240" t="s">
        <v>35</v>
      </c>
      <c r="W40" s="240"/>
      <c r="X40" s="240"/>
      <c r="Y40" s="240"/>
      <c r="Z40" s="14"/>
      <c r="AA40" s="14"/>
    </row>
    <row r="41" spans="1:27">
      <c r="A41" s="239" t="s">
        <v>30</v>
      </c>
      <c r="B41" s="239"/>
      <c r="C41" s="239"/>
      <c r="D41" s="239"/>
      <c r="E41" s="20">
        <f>E42*(1+C23)</f>
        <v>0.38500000000000001</v>
      </c>
      <c r="F41" s="24">
        <f>F42*(1+$C$23)</f>
        <v>0.38500000000000001</v>
      </c>
      <c r="G41" s="14"/>
      <c r="H41" s="239" t="s">
        <v>30</v>
      </c>
      <c r="I41" s="239"/>
      <c r="J41" s="239"/>
      <c r="K41" s="239"/>
      <c r="L41" s="19">
        <f>L42*(1+$C$23)</f>
        <v>1100</v>
      </c>
      <c r="M41" s="23">
        <f>M42*(1+$C$23)</f>
        <v>1791.7840894551859</v>
      </c>
      <c r="O41" s="239" t="s">
        <v>30</v>
      </c>
      <c r="P41" s="239"/>
      <c r="Q41" s="239"/>
      <c r="R41" s="239"/>
      <c r="S41" s="19">
        <f>S42*(1+$C$23)</f>
        <v>30250.000000000004</v>
      </c>
      <c r="T41" s="23">
        <f>T42*(1+$C$23)</f>
        <v>65307.481167501835</v>
      </c>
      <c r="V41" s="239" t="s">
        <v>30</v>
      </c>
      <c r="W41" s="239"/>
      <c r="X41" s="239"/>
      <c r="Y41" s="239"/>
      <c r="Z41" s="20">
        <f>Z42*(1+$C$23)</f>
        <v>0.27500000000000002</v>
      </c>
      <c r="AA41" s="24">
        <f>AA42*(1+$C$23)</f>
        <v>0.44000000000000006</v>
      </c>
    </row>
    <row r="42" spans="1:27">
      <c r="A42" s="239" t="s">
        <v>31</v>
      </c>
      <c r="B42" s="239"/>
      <c r="C42" s="239"/>
      <c r="D42" s="239"/>
      <c r="E42" s="20">
        <f xml:space="preserve"> AVERAGE(W81:X85)</f>
        <v>0.35</v>
      </c>
      <c r="F42" s="20">
        <f xml:space="preserve"> AVERAGE(W81:X85)</f>
        <v>0.35</v>
      </c>
      <c r="G42" s="14"/>
      <c r="H42" s="239" t="s">
        <v>31</v>
      </c>
      <c r="I42" s="239"/>
      <c r="J42" s="239"/>
      <c r="K42" s="239"/>
      <c r="L42" s="19">
        <f>E99</f>
        <v>1000</v>
      </c>
      <c r="M42" s="23">
        <f>E100</f>
        <v>1628.8946267774415</v>
      </c>
      <c r="O42" s="239" t="s">
        <v>31</v>
      </c>
      <c r="P42" s="239"/>
      <c r="Q42" s="239"/>
      <c r="R42" s="239"/>
      <c r="S42" s="19">
        <f>H105</f>
        <v>27500</v>
      </c>
      <c r="T42" s="23">
        <f>H106</f>
        <v>59370.437425001663</v>
      </c>
      <c r="V42" s="239" t="s">
        <v>31</v>
      </c>
      <c r="W42" s="239"/>
      <c r="X42" s="239"/>
      <c r="Y42" s="239"/>
      <c r="Z42" s="20">
        <f>W105</f>
        <v>0.25</v>
      </c>
      <c r="AA42" s="24">
        <f>W106</f>
        <v>0.4</v>
      </c>
    </row>
    <row r="43" spans="1:27">
      <c r="A43" s="239" t="s">
        <v>32</v>
      </c>
      <c r="B43" s="239"/>
      <c r="C43" s="239"/>
      <c r="D43" s="239"/>
      <c r="E43" s="20">
        <f>E42*(1-C23)</f>
        <v>0.315</v>
      </c>
      <c r="F43" s="24">
        <f>F42*(1-$C$23)</f>
        <v>0.315</v>
      </c>
      <c r="H43" s="239" t="s">
        <v>32</v>
      </c>
      <c r="I43" s="239"/>
      <c r="J43" s="239"/>
      <c r="K43" s="239"/>
      <c r="L43" s="19">
        <f>L42*(1-$C$23)</f>
        <v>900</v>
      </c>
      <c r="M43" s="23">
        <f>M42*(1-$C$23)</f>
        <v>1466.0051640996974</v>
      </c>
      <c r="O43" s="239" t="s">
        <v>32</v>
      </c>
      <c r="P43" s="239"/>
      <c r="Q43" s="239"/>
      <c r="R43" s="239"/>
      <c r="S43" s="19">
        <f>S42*(1-$C$23)</f>
        <v>24750</v>
      </c>
      <c r="T43" s="23">
        <f>T42*(1-$C$23)</f>
        <v>53433.393682501497</v>
      </c>
      <c r="V43" s="239" t="s">
        <v>32</v>
      </c>
      <c r="W43" s="239"/>
      <c r="X43" s="239"/>
      <c r="Y43" s="239"/>
      <c r="Z43" s="20">
        <f>Z42*(1-$C$23)</f>
        <v>0.22500000000000001</v>
      </c>
      <c r="AA43" s="24">
        <f>AA42*(1-$C$23)</f>
        <v>0.36000000000000004</v>
      </c>
    </row>
    <row r="44" spans="1:27">
      <c r="A44" s="25"/>
      <c r="B44" s="25"/>
      <c r="C44" s="25"/>
      <c r="D44" s="25"/>
      <c r="E44" s="13"/>
      <c r="F44" s="13"/>
      <c r="H44" s="25"/>
      <c r="I44" s="25"/>
      <c r="J44" s="25"/>
      <c r="K44" s="25"/>
      <c r="L44" s="13"/>
      <c r="M44" s="13"/>
      <c r="O44" s="25"/>
      <c r="P44" s="25"/>
      <c r="Q44" s="25"/>
      <c r="R44" s="25"/>
      <c r="S44" s="13"/>
      <c r="T44" s="13"/>
    </row>
    <row r="45" spans="1:27">
      <c r="A45" s="240" t="s">
        <v>36</v>
      </c>
      <c r="B45" s="240"/>
      <c r="C45" s="240"/>
      <c r="D45" s="240"/>
      <c r="E45" s="14"/>
      <c r="F45" s="14"/>
      <c r="G45" s="14"/>
      <c r="H45" s="240" t="s">
        <v>35</v>
      </c>
      <c r="I45" s="240"/>
      <c r="J45" s="240"/>
      <c r="K45" s="240"/>
      <c r="L45" s="14"/>
      <c r="M45" s="14"/>
      <c r="O45" s="240" t="s">
        <v>37</v>
      </c>
      <c r="P45" s="240"/>
      <c r="Q45" s="240"/>
      <c r="R45" s="240"/>
      <c r="S45" s="14"/>
      <c r="T45" s="14"/>
      <c r="V45" s="240" t="s">
        <v>38</v>
      </c>
      <c r="W45" s="240"/>
      <c r="X45" s="240"/>
      <c r="Y45" s="240"/>
      <c r="Z45" s="14"/>
      <c r="AA45" s="14"/>
    </row>
    <row r="46" spans="1:27">
      <c r="A46" s="239" t="s">
        <v>30</v>
      </c>
      <c r="B46" s="239"/>
      <c r="C46" s="239"/>
      <c r="D46" s="239"/>
      <c r="E46" s="20">
        <f>E47*(1+C23)</f>
        <v>5.5000000000000007E-2</v>
      </c>
      <c r="F46" s="24">
        <f>F47*(1+$C$23)</f>
        <v>5.5000000000000007E-2</v>
      </c>
      <c r="G46" s="14"/>
      <c r="H46" s="239" t="s">
        <v>30</v>
      </c>
      <c r="I46" s="239"/>
      <c r="J46" s="239"/>
      <c r="K46" s="239"/>
      <c r="L46" s="20">
        <f>L47*(1+$C$23)</f>
        <v>0.38500000000000001</v>
      </c>
      <c r="M46" s="24">
        <f>M47*(1+$C$23)</f>
        <v>0.49500000000000005</v>
      </c>
      <c r="O46" s="239" t="s">
        <v>30</v>
      </c>
      <c r="P46" s="239"/>
      <c r="Q46" s="239"/>
      <c r="R46" s="239"/>
      <c r="S46" s="19">
        <v>6</v>
      </c>
      <c r="T46" s="23">
        <v>6</v>
      </c>
      <c r="V46" s="239" t="s">
        <v>30</v>
      </c>
      <c r="W46" s="239"/>
      <c r="X46" s="239"/>
      <c r="Y46" s="239"/>
      <c r="Z46" s="20">
        <f>Z47*(1+$C$23)</f>
        <v>3.3000000000000002E-2</v>
      </c>
      <c r="AA46" s="24">
        <f>AA47*(1+$C$23)</f>
        <v>5.5000000000000007E-2</v>
      </c>
    </row>
    <row r="47" spans="1:27">
      <c r="A47" s="239" t="s">
        <v>31</v>
      </c>
      <c r="B47" s="239"/>
      <c r="C47" s="239"/>
      <c r="D47" s="239"/>
      <c r="E47" s="20">
        <f>AVERAGE(Y81:Z85)</f>
        <v>0.05</v>
      </c>
      <c r="F47" s="20">
        <f>AVERAGE(Y81:Z85)</f>
        <v>0.05</v>
      </c>
      <c r="G47" s="14"/>
      <c r="H47" s="239" t="s">
        <v>31</v>
      </c>
      <c r="I47" s="239"/>
      <c r="J47" s="239"/>
      <c r="K47" s="239"/>
      <c r="L47" s="20">
        <f>N99</f>
        <v>0.35</v>
      </c>
      <c r="M47" s="24">
        <f>N100</f>
        <v>0.45</v>
      </c>
      <c r="O47" s="239" t="s">
        <v>31</v>
      </c>
      <c r="P47" s="239"/>
      <c r="Q47" s="239"/>
      <c r="R47" s="239"/>
      <c r="S47" s="19">
        <f>K105</f>
        <v>4</v>
      </c>
      <c r="T47" s="19">
        <v>4</v>
      </c>
      <c r="V47" s="239" t="s">
        <v>31</v>
      </c>
      <c r="W47" s="239"/>
      <c r="X47" s="239"/>
      <c r="Y47" s="239"/>
      <c r="Z47" s="20">
        <f>Y105</f>
        <v>0.03</v>
      </c>
      <c r="AA47" s="24">
        <f>Y106</f>
        <v>0.05</v>
      </c>
    </row>
    <row r="48" spans="1:27">
      <c r="A48" s="239" t="s">
        <v>32</v>
      </c>
      <c r="B48" s="239"/>
      <c r="C48" s="239"/>
      <c r="D48" s="239"/>
      <c r="E48" s="20">
        <f>E47*(1-C23)</f>
        <v>4.5000000000000005E-2</v>
      </c>
      <c r="F48" s="24">
        <f>F47*(1-$C$23)</f>
        <v>4.5000000000000005E-2</v>
      </c>
      <c r="H48" s="239" t="s">
        <v>32</v>
      </c>
      <c r="I48" s="239"/>
      <c r="J48" s="239"/>
      <c r="K48" s="239"/>
      <c r="L48" s="20">
        <f>L47*(1-$C$23)</f>
        <v>0.315</v>
      </c>
      <c r="M48" s="24">
        <f>M47*(1-$C$23)</f>
        <v>0.40500000000000003</v>
      </c>
      <c r="O48" s="239" t="s">
        <v>32</v>
      </c>
      <c r="P48" s="239"/>
      <c r="Q48" s="239"/>
      <c r="R48" s="239"/>
      <c r="S48" s="19">
        <v>3</v>
      </c>
      <c r="T48" s="23">
        <v>3</v>
      </c>
      <c r="V48" s="239" t="s">
        <v>32</v>
      </c>
      <c r="W48" s="239"/>
      <c r="X48" s="239"/>
      <c r="Y48" s="239"/>
      <c r="Z48" s="20">
        <f>Z47*(1-$C$23)</f>
        <v>2.7E-2</v>
      </c>
      <c r="AA48" s="24">
        <f>AA47*(1-$C$23)</f>
        <v>4.5000000000000005E-2</v>
      </c>
    </row>
    <row r="50" spans="1:15" s="3" customFormat="1">
      <c r="A50" s="2" t="s">
        <v>39</v>
      </c>
    </row>
    <row r="52" spans="1:15" ht="41.4">
      <c r="K52" s="26" t="s">
        <v>40</v>
      </c>
      <c r="L52" s="27" t="s">
        <v>41</v>
      </c>
      <c r="M52" s="27" t="s">
        <v>8</v>
      </c>
      <c r="N52" s="27" t="s">
        <v>42</v>
      </c>
      <c r="O52" s="27" t="s">
        <v>43</v>
      </c>
    </row>
    <row r="53" spans="1:15">
      <c r="K53" s="28" t="s">
        <v>44</v>
      </c>
      <c r="L53" s="29">
        <v>10000</v>
      </c>
      <c r="M53" s="29">
        <v>10000</v>
      </c>
      <c r="N53" s="29">
        <v>10000</v>
      </c>
      <c r="O53" s="29">
        <v>10000</v>
      </c>
    </row>
    <row r="54" spans="1:15" s="7" customFormat="1">
      <c r="K54" s="28" t="s">
        <v>45</v>
      </c>
      <c r="L54" s="30">
        <v>0.17200199999999999</v>
      </c>
      <c r="M54" s="30">
        <v>4.2560000000000001E-2</v>
      </c>
      <c r="N54" s="30">
        <v>4.5023000000000001E-2</v>
      </c>
      <c r="O54" s="31">
        <v>0.25958500000000001</v>
      </c>
    </row>
    <row r="55" spans="1:15" s="7" customFormat="1">
      <c r="K55" s="28" t="s">
        <v>46</v>
      </c>
      <c r="L55" s="30">
        <v>1.223E-2</v>
      </c>
      <c r="M55" s="30">
        <v>2.075E-3</v>
      </c>
      <c r="N55" s="30">
        <v>3.209E-3</v>
      </c>
      <c r="O55" s="31">
        <v>1.2799E-2</v>
      </c>
    </row>
    <row r="56" spans="1:15">
      <c r="K56" s="28" t="s">
        <v>47</v>
      </c>
      <c r="L56" s="30">
        <v>0.13364599999999999</v>
      </c>
      <c r="M56" s="30">
        <v>3.5839000000000003E-2</v>
      </c>
      <c r="N56" s="30">
        <v>3.5533000000000002E-2</v>
      </c>
      <c r="O56" s="31">
        <v>0.215919</v>
      </c>
    </row>
    <row r="57" spans="1:15">
      <c r="K57" s="32">
        <v>0.05</v>
      </c>
      <c r="L57" s="30">
        <v>0.15218000000000001</v>
      </c>
      <c r="M57" s="30">
        <v>3.9163000000000003E-2</v>
      </c>
      <c r="N57" s="30">
        <v>3.9881E-2</v>
      </c>
      <c r="O57" s="31">
        <v>0.23877100000000001</v>
      </c>
    </row>
    <row r="58" spans="1:15">
      <c r="K58" s="32">
        <v>0.5</v>
      </c>
      <c r="L58" s="30">
        <v>0.17183399999999999</v>
      </c>
      <c r="M58" s="30">
        <v>4.2542000000000003E-2</v>
      </c>
      <c r="N58" s="30">
        <v>4.4908999999999998E-2</v>
      </c>
      <c r="O58" s="31">
        <v>0.25940600000000003</v>
      </c>
    </row>
    <row r="59" spans="1:15">
      <c r="K59" s="32">
        <v>0.95</v>
      </c>
      <c r="L59" s="30">
        <v>0.19231400000000001</v>
      </c>
      <c r="M59" s="30">
        <v>4.6002000000000001E-2</v>
      </c>
      <c r="N59" s="30">
        <v>5.0528000000000003E-2</v>
      </c>
      <c r="O59" s="31">
        <v>0.28086499999999998</v>
      </c>
    </row>
    <row r="60" spans="1:15">
      <c r="K60" s="28" t="s">
        <v>48</v>
      </c>
      <c r="L60" s="30">
        <v>0.211338</v>
      </c>
      <c r="M60" s="30">
        <v>4.9397999999999997E-2</v>
      </c>
      <c r="N60" s="30">
        <v>5.6179E-2</v>
      </c>
      <c r="O60" s="31">
        <v>0.30065500000000001</v>
      </c>
    </row>
    <row r="61" spans="1:15" s="7" customFormat="1"/>
    <row r="62" spans="1:15" s="7" customFormat="1"/>
    <row r="65" spans="1:34" s="7" customFormat="1"/>
    <row r="66" spans="1:34" s="7" customFormat="1"/>
    <row r="67" spans="1:34" s="7" customFormat="1"/>
    <row r="68" spans="1:34" s="7" customFormat="1"/>
    <row r="69" spans="1:34" s="7" customFormat="1"/>
    <row r="70" spans="1:34" s="3" customFormat="1">
      <c r="A70" s="2" t="s">
        <v>49</v>
      </c>
    </row>
    <row r="71" spans="1:34" s="33" customFormat="1">
      <c r="A71" s="33" t="s">
        <v>50</v>
      </c>
    </row>
    <row r="72" spans="1:34" ht="14.4" customHeight="1">
      <c r="A72" s="233" t="s">
        <v>51</v>
      </c>
      <c r="B72" s="198"/>
      <c r="C72" s="198"/>
      <c r="D72" s="234" t="s">
        <v>52</v>
      </c>
      <c r="E72" s="198"/>
      <c r="F72" s="198"/>
      <c r="G72" s="198"/>
      <c r="H72" s="235" t="s">
        <v>53</v>
      </c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6"/>
      <c r="X72" s="234" t="s">
        <v>54</v>
      </c>
      <c r="Y72" s="198"/>
      <c r="Z72" s="198"/>
      <c r="AA72" s="198"/>
      <c r="AB72" s="198"/>
      <c r="AC72" s="198"/>
      <c r="AD72" s="198"/>
      <c r="AE72" s="198"/>
      <c r="AF72" s="198"/>
      <c r="AG72" s="198"/>
      <c r="AH72" s="198"/>
    </row>
    <row r="73" spans="1:34">
      <c r="A73" s="191" t="s">
        <v>55</v>
      </c>
      <c r="B73" s="191"/>
      <c r="C73" s="191"/>
      <c r="D73" s="191" t="s">
        <v>56</v>
      </c>
      <c r="E73" s="191"/>
      <c r="F73" s="191"/>
      <c r="G73" s="191"/>
      <c r="H73" s="236" t="s">
        <v>57</v>
      </c>
      <c r="I73" s="237"/>
      <c r="J73" s="237"/>
      <c r="K73" s="237"/>
      <c r="L73" s="237"/>
      <c r="M73" s="237"/>
      <c r="N73" s="237"/>
      <c r="O73" s="237"/>
      <c r="P73" s="237"/>
      <c r="Q73" s="237"/>
      <c r="R73" s="237"/>
      <c r="S73" s="237"/>
      <c r="T73" s="237"/>
      <c r="U73" s="237"/>
      <c r="V73" s="237"/>
      <c r="W73" s="238"/>
      <c r="X73" s="204" t="s">
        <v>58</v>
      </c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</row>
    <row r="74" spans="1:34">
      <c r="A74" s="204" t="s">
        <v>59</v>
      </c>
      <c r="B74" s="204"/>
      <c r="C74" s="204"/>
      <c r="D74" s="191" t="s">
        <v>60</v>
      </c>
      <c r="E74" s="191"/>
      <c r="F74" s="191"/>
      <c r="G74" s="191"/>
      <c r="H74" s="188" t="s">
        <v>61</v>
      </c>
      <c r="I74" s="189"/>
      <c r="J74" s="189"/>
      <c r="K74" s="189"/>
      <c r="L74" s="189"/>
      <c r="M74" s="189"/>
      <c r="N74" s="189"/>
      <c r="O74" s="189"/>
      <c r="P74" s="189"/>
      <c r="Q74" s="189"/>
      <c r="R74" s="189"/>
      <c r="S74" s="189"/>
      <c r="T74" s="189"/>
      <c r="U74" s="189"/>
      <c r="V74" s="189"/>
      <c r="W74" s="190"/>
      <c r="X74" s="204" t="s">
        <v>62</v>
      </c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</row>
    <row r="75" spans="1:34" ht="14.4" customHeight="1">
      <c r="A75" s="204"/>
      <c r="B75" s="204"/>
      <c r="C75" s="204"/>
      <c r="D75" s="191"/>
      <c r="E75" s="191"/>
      <c r="F75" s="191"/>
      <c r="G75" s="191"/>
      <c r="H75" s="188" t="s">
        <v>63</v>
      </c>
      <c r="I75" s="189"/>
      <c r="J75" s="189"/>
      <c r="K75" s="189"/>
      <c r="L75" s="189"/>
      <c r="M75" s="189"/>
      <c r="N75" s="189"/>
      <c r="O75" s="189"/>
      <c r="P75" s="189"/>
      <c r="Q75" s="189"/>
      <c r="R75" s="189"/>
      <c r="S75" s="189"/>
      <c r="T75" s="189"/>
      <c r="U75" s="189"/>
      <c r="V75" s="189"/>
      <c r="W75" s="190"/>
      <c r="X75" s="204"/>
      <c r="Y75" s="204"/>
      <c r="Z75" s="204"/>
      <c r="AA75" s="204"/>
      <c r="AB75" s="204"/>
      <c r="AC75" s="204"/>
      <c r="AD75" s="204"/>
      <c r="AE75" s="204"/>
      <c r="AF75" s="204"/>
      <c r="AG75" s="204"/>
      <c r="AH75" s="204"/>
    </row>
    <row r="76" spans="1:34" ht="14.4" customHeight="1">
      <c r="A76" s="218" t="s">
        <v>64</v>
      </c>
      <c r="B76" s="219"/>
      <c r="C76" s="220"/>
      <c r="D76" s="224" t="s">
        <v>65</v>
      </c>
      <c r="E76" s="225"/>
      <c r="F76" s="225"/>
      <c r="G76" s="226"/>
      <c r="H76" s="230" t="s">
        <v>66</v>
      </c>
      <c r="I76" s="231"/>
      <c r="J76" s="231"/>
      <c r="K76" s="231"/>
      <c r="L76" s="231"/>
      <c r="M76" s="231"/>
      <c r="N76" s="231"/>
      <c r="O76" s="231"/>
      <c r="P76" s="231"/>
      <c r="Q76" s="231"/>
      <c r="R76" s="231"/>
      <c r="S76" s="231"/>
      <c r="T76" s="231"/>
      <c r="U76" s="231"/>
      <c r="V76" s="231"/>
      <c r="W76" s="232"/>
      <c r="X76" s="218" t="s">
        <v>67</v>
      </c>
      <c r="Y76" s="219"/>
      <c r="Z76" s="219"/>
      <c r="AA76" s="219"/>
      <c r="AB76" s="219"/>
      <c r="AC76" s="219"/>
      <c r="AD76" s="219"/>
      <c r="AE76" s="219"/>
      <c r="AF76" s="219"/>
      <c r="AG76" s="219"/>
      <c r="AH76" s="220"/>
    </row>
    <row r="77" spans="1:34">
      <c r="A77" s="221"/>
      <c r="B77" s="222"/>
      <c r="C77" s="223"/>
      <c r="D77" s="227"/>
      <c r="E77" s="228"/>
      <c r="F77" s="228"/>
      <c r="G77" s="229"/>
      <c r="H77" s="230" t="s">
        <v>68</v>
      </c>
      <c r="I77" s="231"/>
      <c r="J77" s="231"/>
      <c r="K77" s="231"/>
      <c r="L77" s="231"/>
      <c r="M77" s="231"/>
      <c r="N77" s="231"/>
      <c r="O77" s="231"/>
      <c r="P77" s="231"/>
      <c r="Q77" s="231"/>
      <c r="R77" s="231"/>
      <c r="S77" s="231"/>
      <c r="T77" s="231"/>
      <c r="U77" s="231"/>
      <c r="V77" s="231"/>
      <c r="W77" s="232"/>
      <c r="X77" s="221"/>
      <c r="Y77" s="222"/>
      <c r="Z77" s="222"/>
      <c r="AA77" s="222"/>
      <c r="AB77" s="222"/>
      <c r="AC77" s="222"/>
      <c r="AD77" s="222"/>
      <c r="AE77" s="222"/>
      <c r="AF77" s="222"/>
      <c r="AG77" s="222"/>
      <c r="AH77" s="223"/>
    </row>
    <row r="79" spans="1:34" s="35" customFormat="1">
      <c r="A79" s="35" t="s">
        <v>69</v>
      </c>
    </row>
    <row r="80" spans="1:34" ht="14.4" customHeight="1">
      <c r="A80" s="215" t="s">
        <v>70</v>
      </c>
      <c r="B80" s="215"/>
      <c r="C80" s="215"/>
      <c r="D80" s="216"/>
      <c r="E80" s="193" t="s">
        <v>71</v>
      </c>
      <c r="F80" s="193"/>
      <c r="G80" s="193"/>
      <c r="H80" s="193"/>
      <c r="I80" s="195" t="s">
        <v>72</v>
      </c>
      <c r="J80" s="195"/>
      <c r="K80" s="195"/>
      <c r="L80" s="195"/>
      <c r="M80" s="195" t="s">
        <v>73</v>
      </c>
      <c r="N80" s="195"/>
      <c r="O80" s="36"/>
      <c r="P80" s="194" t="s">
        <v>74</v>
      </c>
      <c r="Q80" s="195"/>
      <c r="R80" s="217"/>
      <c r="S80" s="194" t="s">
        <v>75</v>
      </c>
      <c r="T80" s="195"/>
      <c r="U80" s="217"/>
      <c r="V80" s="37" t="s">
        <v>4</v>
      </c>
      <c r="W80" s="177" t="s">
        <v>24</v>
      </c>
      <c r="X80" s="177"/>
      <c r="Y80" s="177" t="s">
        <v>76</v>
      </c>
      <c r="Z80" s="177"/>
      <c r="AA80" s="177" t="s">
        <v>77</v>
      </c>
      <c r="AB80" s="177"/>
      <c r="AC80" s="177" t="s">
        <v>78</v>
      </c>
      <c r="AD80" s="177"/>
    </row>
    <row r="81" spans="1:30" ht="14.4" customHeight="1">
      <c r="A81" s="204" t="s">
        <v>79</v>
      </c>
      <c r="B81" s="204"/>
      <c r="C81" s="204"/>
      <c r="D81" s="204"/>
      <c r="E81" s="204" t="s">
        <v>80</v>
      </c>
      <c r="F81" s="204"/>
      <c r="G81" s="204"/>
      <c r="H81" s="204"/>
      <c r="I81" s="199">
        <v>10</v>
      </c>
      <c r="J81" s="200"/>
      <c r="K81" s="200"/>
      <c r="L81" s="201"/>
      <c r="M81" s="205">
        <v>6.02</v>
      </c>
      <c r="N81" s="206"/>
      <c r="O81" s="207"/>
      <c r="P81" s="208">
        <f>M81*I81/1000</f>
        <v>6.0199999999999997E-2</v>
      </c>
      <c r="Q81" s="209"/>
      <c r="R81" s="210"/>
      <c r="S81" s="205">
        <f>P81*(1+V81)^10</f>
        <v>0.37274253262847995</v>
      </c>
      <c r="T81" s="206"/>
      <c r="U81" s="206"/>
      <c r="V81" s="39">
        <v>0.2</v>
      </c>
      <c r="W81" s="167">
        <v>0.35</v>
      </c>
      <c r="X81" s="167"/>
      <c r="Y81" s="167">
        <v>0.05</v>
      </c>
      <c r="Z81" s="167"/>
      <c r="AA81" s="202">
        <f>P81*W81*Y81</f>
        <v>1.0535E-3</v>
      </c>
      <c r="AB81" s="203"/>
      <c r="AC81" s="211">
        <f xml:space="preserve"> S81*W81*Y81</f>
        <v>6.5229943209983987E-3</v>
      </c>
      <c r="AD81" s="211"/>
    </row>
    <row r="82" spans="1:30" ht="14.4" customHeight="1">
      <c r="A82" s="204" t="s">
        <v>81</v>
      </c>
      <c r="B82" s="204"/>
      <c r="C82" s="204"/>
      <c r="D82" s="204"/>
      <c r="E82" s="204" t="s">
        <v>82</v>
      </c>
      <c r="F82" s="204"/>
      <c r="G82" s="204"/>
      <c r="H82" s="204"/>
      <c r="I82" s="199">
        <v>45000</v>
      </c>
      <c r="J82" s="200"/>
      <c r="K82" s="200"/>
      <c r="L82" s="201"/>
      <c r="M82" s="205">
        <v>4.2169999999999999E-2</v>
      </c>
      <c r="N82" s="206"/>
      <c r="O82" s="207"/>
      <c r="P82" s="208">
        <f>M82*I82/1000</f>
        <v>1.8976499999999998</v>
      </c>
      <c r="Q82" s="209"/>
      <c r="R82" s="210"/>
      <c r="S82" s="205">
        <f>P82*(1+V82)^10</f>
        <v>4.0968840210747057</v>
      </c>
      <c r="T82" s="206"/>
      <c r="U82" s="206"/>
      <c r="V82" s="39">
        <v>0.08</v>
      </c>
      <c r="W82" s="167">
        <v>0.35</v>
      </c>
      <c r="X82" s="167"/>
      <c r="Y82" s="167">
        <v>0.05</v>
      </c>
      <c r="Z82" s="167"/>
      <c r="AA82" s="202">
        <f t="shared" ref="AA82:AA85" si="1">P82*W82*Y82</f>
        <v>3.3208874999999992E-2</v>
      </c>
      <c r="AB82" s="203"/>
      <c r="AC82" s="211">
        <f t="shared" ref="AC82:AC85" si="2" xml:space="preserve"> S82*W82*Y82</f>
        <v>7.1695470368807343E-2</v>
      </c>
      <c r="AD82" s="211"/>
    </row>
    <row r="83" spans="1:30" ht="14.4" customHeight="1">
      <c r="A83" s="204" t="s">
        <v>83</v>
      </c>
      <c r="B83" s="204"/>
      <c r="C83" s="204"/>
      <c r="D83" s="204"/>
      <c r="E83" s="204" t="s">
        <v>84</v>
      </c>
      <c r="F83" s="204"/>
      <c r="G83" s="204"/>
      <c r="H83" s="204"/>
      <c r="I83" s="199">
        <v>1500</v>
      </c>
      <c r="J83" s="200"/>
      <c r="K83" s="200"/>
      <c r="L83" s="201"/>
      <c r="M83" s="205">
        <v>0.24096000000000001</v>
      </c>
      <c r="N83" s="206"/>
      <c r="O83" s="207"/>
      <c r="P83" s="208">
        <f>M83*I83/1000</f>
        <v>0.36143999999999998</v>
      </c>
      <c r="Q83" s="209"/>
      <c r="R83" s="210"/>
      <c r="S83" s="205">
        <f>P83*(1+V83)^10</f>
        <v>0.78032185101427631</v>
      </c>
      <c r="T83" s="206"/>
      <c r="U83" s="206"/>
      <c r="V83" s="39">
        <v>0.08</v>
      </c>
      <c r="W83" s="167">
        <v>0.35</v>
      </c>
      <c r="X83" s="167"/>
      <c r="Y83" s="167">
        <v>0.05</v>
      </c>
      <c r="Z83" s="167"/>
      <c r="AA83" s="202">
        <f t="shared" si="1"/>
        <v>6.3251999999999996E-3</v>
      </c>
      <c r="AB83" s="203"/>
      <c r="AC83" s="211">
        <f t="shared" si="2"/>
        <v>1.3655632392749834E-2</v>
      </c>
      <c r="AD83" s="211"/>
    </row>
    <row r="84" spans="1:30" ht="14.4" customHeight="1">
      <c r="A84" s="204" t="s">
        <v>85</v>
      </c>
      <c r="B84" s="204"/>
      <c r="C84" s="204"/>
      <c r="D84" s="204"/>
      <c r="E84" s="204" t="s">
        <v>86</v>
      </c>
      <c r="F84" s="204"/>
      <c r="G84" s="204"/>
      <c r="H84" s="204"/>
      <c r="I84" s="199">
        <v>25000</v>
      </c>
      <c r="J84" s="200"/>
      <c r="K84" s="200"/>
      <c r="L84" s="201"/>
      <c r="M84" s="205">
        <v>2.41E-2</v>
      </c>
      <c r="N84" s="206"/>
      <c r="O84" s="207"/>
      <c r="P84" s="208">
        <f>M84*I84/1000</f>
        <v>0.60250000000000004</v>
      </c>
      <c r="Q84" s="209"/>
      <c r="R84" s="210"/>
      <c r="S84" s="205">
        <f>P84*(1+V84)^10</f>
        <v>1.3007523108568546</v>
      </c>
      <c r="T84" s="206"/>
      <c r="U84" s="206"/>
      <c r="V84" s="39">
        <v>0.08</v>
      </c>
      <c r="W84" s="167">
        <v>0.35</v>
      </c>
      <c r="X84" s="167"/>
      <c r="Y84" s="167">
        <v>0.05</v>
      </c>
      <c r="Z84" s="167"/>
      <c r="AA84" s="202">
        <f t="shared" si="1"/>
        <v>1.0543750000000001E-2</v>
      </c>
      <c r="AB84" s="203"/>
      <c r="AC84" s="211">
        <f t="shared" si="2"/>
        <v>2.2763165439994956E-2</v>
      </c>
      <c r="AD84" s="211"/>
    </row>
    <row r="85" spans="1:30" ht="14.4" customHeight="1">
      <c r="A85" s="204" t="s">
        <v>87</v>
      </c>
      <c r="B85" s="204"/>
      <c r="C85" s="204"/>
      <c r="D85" s="204"/>
      <c r="E85" s="204" t="s">
        <v>88</v>
      </c>
      <c r="F85" s="204"/>
      <c r="G85" s="204"/>
      <c r="H85" s="204"/>
      <c r="I85" s="199">
        <v>0.5</v>
      </c>
      <c r="J85" s="200"/>
      <c r="K85" s="200"/>
      <c r="L85" s="201"/>
      <c r="M85" s="205">
        <v>14000</v>
      </c>
      <c r="N85" s="206"/>
      <c r="O85" s="207"/>
      <c r="P85" s="208">
        <f>M85*I85/1000</f>
        <v>7</v>
      </c>
      <c r="Q85" s="209"/>
      <c r="R85" s="210"/>
      <c r="S85" s="205">
        <f>P85*(1+V85)^10</f>
        <v>9.4074146554088518</v>
      </c>
      <c r="T85" s="206"/>
      <c r="U85" s="206"/>
      <c r="V85" s="39">
        <v>0.03</v>
      </c>
      <c r="W85" s="167">
        <v>0.35</v>
      </c>
      <c r="X85" s="167"/>
      <c r="Y85" s="167">
        <v>0.05</v>
      </c>
      <c r="Z85" s="167"/>
      <c r="AA85" s="202">
        <f t="shared" si="1"/>
        <v>0.1225</v>
      </c>
      <c r="AB85" s="203"/>
      <c r="AC85" s="211">
        <f t="shared" si="2"/>
        <v>0.16462975646965491</v>
      </c>
      <c r="AD85" s="211"/>
    </row>
    <row r="86" spans="1:30" ht="15" thickBot="1">
      <c r="A86" s="212" t="s">
        <v>10</v>
      </c>
      <c r="B86" s="212"/>
      <c r="C86" s="212"/>
      <c r="D86" s="212"/>
      <c r="E86" t="s">
        <v>89</v>
      </c>
      <c r="P86" s="213">
        <f>SUM(P81:R85)</f>
        <v>9.9217899999999997</v>
      </c>
      <c r="Q86" s="213"/>
      <c r="R86" s="213"/>
      <c r="S86" s="213">
        <f>SUM(S81:U85)</f>
        <v>15.958115370983169</v>
      </c>
      <c r="T86" s="213"/>
      <c r="U86" s="213"/>
      <c r="AA86" s="168">
        <f xml:space="preserve"> SUM(AA81:AB85)</f>
        <v>0.173631325</v>
      </c>
      <c r="AB86" s="214"/>
      <c r="AC86" s="168">
        <f xml:space="preserve"> SUM(AC81:AD85)</f>
        <v>0.27926701899220546</v>
      </c>
      <c r="AD86" s="214"/>
    </row>
    <row r="87" spans="1:30" ht="15" thickTop="1"/>
    <row r="88" spans="1:30" s="33" customFormat="1">
      <c r="A88" s="33" t="s">
        <v>90</v>
      </c>
    </row>
    <row r="89" spans="1:30" s="42" customFormat="1">
      <c r="A89" s="35" t="s">
        <v>91</v>
      </c>
    </row>
    <row r="90" spans="1:30" ht="14.4" customHeight="1">
      <c r="A90" s="192" t="s">
        <v>92</v>
      </c>
      <c r="B90" s="193"/>
      <c r="C90" s="193"/>
      <c r="D90" s="194" t="s">
        <v>93</v>
      </c>
      <c r="E90" s="195"/>
      <c r="F90" s="195"/>
      <c r="G90" s="195"/>
      <c r="H90" s="195"/>
      <c r="I90" s="195"/>
      <c r="J90" s="195"/>
      <c r="K90" s="195"/>
      <c r="L90" s="195"/>
      <c r="M90" s="195"/>
      <c r="N90" s="195"/>
      <c r="O90" s="196"/>
      <c r="P90" s="197" t="s">
        <v>94</v>
      </c>
      <c r="Q90" s="198"/>
      <c r="R90" s="198"/>
      <c r="S90" s="198"/>
      <c r="T90" s="198"/>
      <c r="U90" s="198"/>
      <c r="V90" s="198"/>
      <c r="W90" s="197" t="s">
        <v>95</v>
      </c>
      <c r="X90" s="198"/>
      <c r="Y90" s="198"/>
      <c r="Z90" s="198"/>
      <c r="AA90" s="198"/>
    </row>
    <row r="91" spans="1:30" ht="14.4" customHeight="1">
      <c r="A91" s="187" t="s">
        <v>96</v>
      </c>
      <c r="B91" s="187"/>
      <c r="C91" s="187"/>
      <c r="D91" s="199" t="s">
        <v>97</v>
      </c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1"/>
      <c r="P91" s="191" t="s">
        <v>98</v>
      </c>
      <c r="Q91" s="191"/>
      <c r="R91" s="191"/>
      <c r="S91" s="191"/>
      <c r="T91" s="191"/>
      <c r="U91" s="191"/>
      <c r="V91" s="191"/>
      <c r="W91" s="191" t="s">
        <v>99</v>
      </c>
      <c r="X91" s="191"/>
      <c r="Y91" s="191"/>
      <c r="Z91" s="191"/>
      <c r="AA91" s="191"/>
    </row>
    <row r="92" spans="1:30" ht="14.4" customHeight="1">
      <c r="A92" s="187" t="s">
        <v>100</v>
      </c>
      <c r="B92" s="187"/>
      <c r="C92" s="187"/>
      <c r="D92" s="188" t="s">
        <v>101</v>
      </c>
      <c r="E92" s="189"/>
      <c r="F92" s="189"/>
      <c r="G92" s="189"/>
      <c r="H92" s="189"/>
      <c r="I92" s="189"/>
      <c r="J92" s="189"/>
      <c r="K92" s="189"/>
      <c r="L92" s="189"/>
      <c r="M92" s="189"/>
      <c r="N92" s="189"/>
      <c r="O92" s="190"/>
      <c r="P92" s="191" t="s">
        <v>102</v>
      </c>
      <c r="Q92" s="191"/>
      <c r="R92" s="191"/>
      <c r="S92" s="191"/>
      <c r="T92" s="191"/>
      <c r="U92" s="191"/>
      <c r="V92" s="191"/>
      <c r="W92" s="191" t="s">
        <v>103</v>
      </c>
      <c r="X92" s="191"/>
      <c r="Y92" s="191"/>
      <c r="Z92" s="191"/>
      <c r="AA92" s="191"/>
    </row>
    <row r="93" spans="1:30" ht="14.4" customHeight="1">
      <c r="A93" s="187" t="s">
        <v>104</v>
      </c>
      <c r="B93" s="187"/>
      <c r="C93" s="187"/>
      <c r="D93" s="188" t="s">
        <v>105</v>
      </c>
      <c r="E93" s="189"/>
      <c r="F93" s="189"/>
      <c r="G93" s="189"/>
      <c r="H93" s="189"/>
      <c r="I93" s="189"/>
      <c r="J93" s="189"/>
      <c r="K93" s="189"/>
      <c r="L93" s="189"/>
      <c r="M93" s="189"/>
      <c r="N93" s="189"/>
      <c r="O93" s="190"/>
      <c r="P93" s="191" t="s">
        <v>106</v>
      </c>
      <c r="Q93" s="191"/>
      <c r="R93" s="191"/>
      <c r="S93" s="191"/>
      <c r="T93" s="191"/>
      <c r="U93" s="191"/>
      <c r="V93" s="191"/>
      <c r="W93" s="191" t="s">
        <v>107</v>
      </c>
      <c r="X93" s="191"/>
      <c r="Y93" s="191"/>
      <c r="Z93" s="191"/>
      <c r="AA93" s="191"/>
    </row>
    <row r="94" spans="1:30" ht="14.4" customHeight="1">
      <c r="A94" s="187" t="s">
        <v>108</v>
      </c>
      <c r="B94" s="187"/>
      <c r="C94" s="187"/>
      <c r="D94" s="188" t="s">
        <v>109</v>
      </c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P94" s="191" t="s">
        <v>110</v>
      </c>
      <c r="Q94" s="191"/>
      <c r="R94" s="191"/>
      <c r="S94" s="191"/>
      <c r="T94" s="191"/>
      <c r="U94" s="191"/>
      <c r="V94" s="191"/>
      <c r="W94" s="191" t="s">
        <v>111</v>
      </c>
      <c r="X94" s="191"/>
      <c r="Y94" s="191"/>
      <c r="Z94" s="191"/>
      <c r="AA94" s="191"/>
    </row>
    <row r="95" spans="1:30" ht="14.4" customHeight="1">
      <c r="A95" s="187" t="s">
        <v>112</v>
      </c>
      <c r="B95" s="187"/>
      <c r="C95" s="187"/>
      <c r="D95" s="188" t="s">
        <v>113</v>
      </c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90"/>
      <c r="P95" s="191" t="s">
        <v>114</v>
      </c>
      <c r="Q95" s="191"/>
      <c r="R95" s="191"/>
      <c r="S95" s="191"/>
      <c r="T95" s="191"/>
      <c r="U95" s="191"/>
      <c r="V95" s="191"/>
      <c r="W95" s="191" t="s">
        <v>115</v>
      </c>
      <c r="X95" s="191"/>
      <c r="Y95" s="191"/>
      <c r="Z95" s="191"/>
      <c r="AA95" s="191"/>
    </row>
    <row r="97" spans="1:28" s="35" customFormat="1">
      <c r="A97" s="35" t="s">
        <v>69</v>
      </c>
    </row>
    <row r="98" spans="1:28">
      <c r="A98" s="43" t="s">
        <v>116</v>
      </c>
      <c r="B98" s="185" t="s">
        <v>117</v>
      </c>
      <c r="C98" s="185"/>
      <c r="D98" s="185"/>
      <c r="E98" s="186" t="s">
        <v>118</v>
      </c>
      <c r="F98" s="186"/>
      <c r="G98" s="186"/>
      <c r="H98" s="186" t="s">
        <v>119</v>
      </c>
      <c r="I98" s="186"/>
      <c r="J98" s="186" t="s">
        <v>120</v>
      </c>
      <c r="K98" s="186"/>
      <c r="L98" s="43" t="s">
        <v>121</v>
      </c>
      <c r="M98" s="44" t="s">
        <v>19</v>
      </c>
      <c r="N98" s="177" t="s">
        <v>24</v>
      </c>
      <c r="O98" s="177"/>
      <c r="P98" s="177" t="s">
        <v>25</v>
      </c>
      <c r="Q98" s="177"/>
    </row>
    <row r="99" spans="1:28" ht="15" thickBot="1">
      <c r="A99" s="45">
        <v>2025</v>
      </c>
      <c r="B99" s="180">
        <v>1</v>
      </c>
      <c r="C99" s="181"/>
      <c r="D99" s="182"/>
      <c r="E99" s="183">
        <v>1000</v>
      </c>
      <c r="F99" s="183"/>
      <c r="G99" s="183"/>
      <c r="H99" s="184">
        <v>0.08</v>
      </c>
      <c r="I99" s="184"/>
      <c r="J99" s="184">
        <v>0.05</v>
      </c>
      <c r="K99" s="184"/>
      <c r="L99" s="46">
        <f>B99*E99</f>
        <v>1000</v>
      </c>
      <c r="M99" s="47">
        <f>L99/8310</f>
        <v>0.12033694344163658</v>
      </c>
      <c r="N99" s="167">
        <v>0.35</v>
      </c>
      <c r="O99" s="167"/>
      <c r="P99" s="168">
        <f xml:space="preserve"> N99*M99</f>
        <v>4.2117930204572801E-2</v>
      </c>
      <c r="Q99" s="168"/>
    </row>
    <row r="100" spans="1:28" ht="15.6" thickTop="1" thickBot="1">
      <c r="A100" s="45">
        <v>2035</v>
      </c>
      <c r="B100" s="180">
        <f>B99*(1+H99)^10</f>
        <v>2.1589249972727877</v>
      </c>
      <c r="C100" s="181"/>
      <c r="D100" s="182"/>
      <c r="E100" s="183">
        <f>E99*(1+J99)^10</f>
        <v>1628.8946267774415</v>
      </c>
      <c r="F100" s="183"/>
      <c r="G100" s="183"/>
      <c r="H100" s="184">
        <v>0.08</v>
      </c>
      <c r="I100" s="184"/>
      <c r="J100" s="184">
        <v>0.05</v>
      </c>
      <c r="K100" s="184"/>
      <c r="L100" s="46">
        <f>B100*E100</f>
        <v>3516.6613276731464</v>
      </c>
      <c r="M100" s="47">
        <f>L100/8310</f>
        <v>0.42318427529159403</v>
      </c>
      <c r="N100" s="167">
        <v>0.45</v>
      </c>
      <c r="O100" s="167"/>
      <c r="P100" s="168">
        <f xml:space="preserve"> N100*M100</f>
        <v>0.19043292388121733</v>
      </c>
      <c r="Q100" s="168"/>
    </row>
    <row r="101" spans="1:28" ht="15" thickTop="1"/>
    <row r="102" spans="1:28" s="33" customFormat="1">
      <c r="A102" s="33" t="s">
        <v>122</v>
      </c>
    </row>
    <row r="103" spans="1:28" s="42" customFormat="1">
      <c r="A103" s="35" t="s">
        <v>69</v>
      </c>
    </row>
    <row r="104" spans="1:28">
      <c r="A104" s="48" t="s">
        <v>116</v>
      </c>
      <c r="B104" s="178" t="s">
        <v>28</v>
      </c>
      <c r="C104" s="178"/>
      <c r="D104" s="178"/>
      <c r="E104" s="178" t="s">
        <v>123</v>
      </c>
      <c r="F104" s="178"/>
      <c r="G104" s="178"/>
      <c r="H104" s="179" t="s">
        <v>124</v>
      </c>
      <c r="I104" s="179"/>
      <c r="J104" s="179"/>
      <c r="K104" s="178" t="s">
        <v>125</v>
      </c>
      <c r="L104" s="178"/>
      <c r="M104" s="178"/>
      <c r="N104" s="178" t="s">
        <v>126</v>
      </c>
      <c r="O104" s="178"/>
      <c r="P104" s="48" t="s">
        <v>19</v>
      </c>
      <c r="Q104" s="178" t="s">
        <v>119</v>
      </c>
      <c r="R104" s="178"/>
      <c r="S104" s="48" t="s">
        <v>127</v>
      </c>
      <c r="T104" s="48"/>
      <c r="U104" s="48" t="s">
        <v>29</v>
      </c>
      <c r="V104" s="48"/>
      <c r="W104" s="177" t="s">
        <v>24</v>
      </c>
      <c r="X104" s="177"/>
      <c r="Y104" s="177" t="s">
        <v>76</v>
      </c>
      <c r="Z104" s="177"/>
      <c r="AA104" s="177" t="s">
        <v>25</v>
      </c>
      <c r="AB104" s="177"/>
    </row>
    <row r="105" spans="1:28" ht="15" thickBot="1">
      <c r="A105" s="49">
        <v>2025</v>
      </c>
      <c r="B105" s="171">
        <v>6</v>
      </c>
      <c r="C105" s="171"/>
      <c r="D105" s="171"/>
      <c r="E105" s="171">
        <f>B105*U105</f>
        <v>0.42000000000000004</v>
      </c>
      <c r="F105" s="171"/>
      <c r="G105" s="171"/>
      <c r="H105" s="172">
        <v>27500</v>
      </c>
      <c r="I105" s="173"/>
      <c r="J105" s="174"/>
      <c r="K105" s="171">
        <v>4</v>
      </c>
      <c r="L105" s="171"/>
      <c r="M105" s="171"/>
      <c r="N105" s="176">
        <f>E105*H105*K105</f>
        <v>46200.000000000007</v>
      </c>
      <c r="O105" s="176"/>
      <c r="P105" s="50">
        <f>N105/8310</f>
        <v>5.559566787003611</v>
      </c>
      <c r="Q105" s="169">
        <v>0.05</v>
      </c>
      <c r="R105" s="169"/>
      <c r="S105" s="169">
        <v>0.08</v>
      </c>
      <c r="T105" s="169"/>
      <c r="U105" s="169">
        <v>7.0000000000000007E-2</v>
      </c>
      <c r="V105" s="170"/>
      <c r="W105" s="167">
        <v>0.25</v>
      </c>
      <c r="X105" s="167"/>
      <c r="Y105" s="167">
        <v>0.03</v>
      </c>
      <c r="Z105" s="167"/>
      <c r="AA105" s="168">
        <f>P105*W105*Y105</f>
        <v>4.1696750902527079E-2</v>
      </c>
      <c r="AB105" s="168"/>
    </row>
    <row r="106" spans="1:28" ht="15.6" thickTop="1" thickBot="1">
      <c r="A106" s="49">
        <v>2035</v>
      </c>
      <c r="B106" s="171">
        <f>B105*(1+Q105)^10</f>
        <v>9.7733677606646499</v>
      </c>
      <c r="C106" s="171"/>
      <c r="D106" s="171"/>
      <c r="E106" s="171">
        <f>B106*U106</f>
        <v>0.75571147877475131</v>
      </c>
      <c r="F106" s="171"/>
      <c r="G106" s="171"/>
      <c r="H106" s="172">
        <f>H105*(1+S105)^10</f>
        <v>59370.437425001663</v>
      </c>
      <c r="I106" s="173"/>
      <c r="J106" s="174"/>
      <c r="K106" s="175">
        <v>4</v>
      </c>
      <c r="L106" s="175"/>
      <c r="M106" s="175"/>
      <c r="N106" s="176">
        <f>E106*H106*K106</f>
        <v>179467.68424780737</v>
      </c>
      <c r="O106" s="176"/>
      <c r="P106" s="50">
        <f>N106/8310</f>
        <v>21.596592568929889</v>
      </c>
      <c r="Q106" s="169">
        <v>0.05</v>
      </c>
      <c r="R106" s="169"/>
      <c r="S106" s="169">
        <v>0.08</v>
      </c>
      <c r="T106" s="169"/>
      <c r="U106" s="169">
        <f>U105*(1.01)^10</f>
        <v>7.7323548778784335E-2</v>
      </c>
      <c r="V106" s="170"/>
      <c r="W106" s="167">
        <v>0.4</v>
      </c>
      <c r="X106" s="167"/>
      <c r="Y106" s="167">
        <v>0.05</v>
      </c>
      <c r="Z106" s="167"/>
      <c r="AA106" s="168">
        <f>P106*W106*Y106</f>
        <v>0.43193185137859785</v>
      </c>
      <c r="AB106" s="168"/>
    </row>
    <row r="107" spans="1:28" ht="15" thickTop="1"/>
    <row r="108" spans="1:28" s="3" customFormat="1">
      <c r="A108" s="2" t="s">
        <v>144</v>
      </c>
      <c r="R108" s="2"/>
    </row>
    <row r="109" spans="1:28">
      <c r="A109" s="52" t="s">
        <v>116</v>
      </c>
      <c r="B109" s="52"/>
      <c r="D109" s="53">
        <f>DATE(2025, 4, 1)</f>
        <v>45748</v>
      </c>
      <c r="E109" s="53">
        <f>EDATE(D109, 12)</f>
        <v>46113</v>
      </c>
      <c r="F109" s="53">
        <f t="shared" ref="F109:N109" si="3">EDATE(E109, 12)</f>
        <v>46478</v>
      </c>
      <c r="G109" s="53">
        <f t="shared" si="3"/>
        <v>46844</v>
      </c>
      <c r="H109" s="53">
        <f t="shared" si="3"/>
        <v>47209</v>
      </c>
      <c r="I109" s="53">
        <f t="shared" si="3"/>
        <v>47574</v>
      </c>
      <c r="J109" s="53">
        <f t="shared" si="3"/>
        <v>47939</v>
      </c>
      <c r="K109" s="53">
        <f t="shared" si="3"/>
        <v>48305</v>
      </c>
      <c r="L109" s="53">
        <f t="shared" si="3"/>
        <v>48670</v>
      </c>
      <c r="M109" s="53">
        <f>EDATE(L109, 12)</f>
        <v>49035</v>
      </c>
      <c r="N109" s="53">
        <f t="shared" si="3"/>
        <v>49400</v>
      </c>
    </row>
    <row r="110" spans="1:28">
      <c r="A110" s="52" t="s">
        <v>131</v>
      </c>
      <c r="B110" s="52"/>
      <c r="D110" s="54">
        <v>0</v>
      </c>
      <c r="E110" s="54">
        <v>1</v>
      </c>
      <c r="F110" s="54">
        <v>2</v>
      </c>
      <c r="G110" s="54">
        <v>3</v>
      </c>
      <c r="H110" s="54">
        <v>4</v>
      </c>
      <c r="I110" s="54">
        <v>5</v>
      </c>
      <c r="J110" s="54">
        <v>6</v>
      </c>
      <c r="K110" s="54">
        <v>7</v>
      </c>
      <c r="L110" s="54">
        <v>8</v>
      </c>
      <c r="M110" s="54">
        <v>9</v>
      </c>
      <c r="N110" s="54">
        <v>10</v>
      </c>
    </row>
    <row r="112" spans="1:28">
      <c r="A112" s="55" t="s">
        <v>132</v>
      </c>
      <c r="B112" s="55"/>
      <c r="D112" s="56">
        <f>CHOOSE(G23,O59,O58,O57)*1000</f>
        <v>259.40600000000001</v>
      </c>
      <c r="E112" s="56">
        <f>D112*(1+E113)</f>
        <v>337.2278</v>
      </c>
      <c r="F112" s="56">
        <f t="shared" ref="F112:N112" si="4">E112*(1+F113)</f>
        <v>424.90702800000003</v>
      </c>
      <c r="G112" s="56">
        <f t="shared" si="4"/>
        <v>526.88471472000003</v>
      </c>
      <c r="H112" s="56">
        <f t="shared" si="4"/>
        <v>611.18626907520002</v>
      </c>
      <c r="I112" s="56">
        <f t="shared" si="4"/>
        <v>684.52862136422414</v>
      </c>
      <c r="J112" s="56">
        <f t="shared" si="4"/>
        <v>752.98148350064662</v>
      </c>
      <c r="K112" s="56">
        <f t="shared" si="4"/>
        <v>798.16037251068542</v>
      </c>
      <c r="L112" s="56">
        <f t="shared" si="4"/>
        <v>838.0683911362197</v>
      </c>
      <c r="M112" s="56">
        <f t="shared" si="4"/>
        <v>871.59112678166855</v>
      </c>
      <c r="N112" s="56">
        <f t="shared" si="4"/>
        <v>897.73886058511857</v>
      </c>
      <c r="Q112" s="58"/>
      <c r="R112" s="58"/>
    </row>
    <row r="113" spans="1:18" s="58" customFormat="1">
      <c r="A113" s="57" t="s">
        <v>133</v>
      </c>
      <c r="B113" s="57"/>
      <c r="D113" s="59"/>
      <c r="E113" s="59">
        <v>0.3</v>
      </c>
      <c r="F113" s="59">
        <v>0.26</v>
      </c>
      <c r="G113" s="59">
        <v>0.24</v>
      </c>
      <c r="H113" s="59">
        <v>0.16</v>
      </c>
      <c r="I113" s="59">
        <v>0.12</v>
      </c>
      <c r="J113" s="59">
        <v>0.1</v>
      </c>
      <c r="K113" s="59">
        <v>0.06</v>
      </c>
      <c r="L113" s="59">
        <v>0.05</v>
      </c>
      <c r="M113" s="59">
        <v>0.04</v>
      </c>
      <c r="N113" s="59">
        <v>0.03</v>
      </c>
      <c r="Q113"/>
      <c r="R113"/>
    </row>
    <row r="114" spans="1:18">
      <c r="A114" s="55"/>
      <c r="B114" s="55"/>
    </row>
    <row r="115" spans="1:18">
      <c r="A115" s="55" t="s">
        <v>134</v>
      </c>
      <c r="B115" s="55"/>
      <c r="D115" s="56">
        <f>D112*D116</f>
        <v>155.64359999999999</v>
      </c>
      <c r="E115" s="56">
        <f t="shared" ref="E115:N115" si="5">E112*E116</f>
        <v>128.14656400000001</v>
      </c>
      <c r="F115" s="56">
        <f t="shared" si="5"/>
        <v>157.21560036</v>
      </c>
      <c r="G115" s="56">
        <f t="shared" si="5"/>
        <v>184.40965015200001</v>
      </c>
      <c r="H115" s="56">
        <f t="shared" si="5"/>
        <v>201.69146879481602</v>
      </c>
      <c r="I115" s="56">
        <f t="shared" si="5"/>
        <v>212.20387262290947</v>
      </c>
      <c r="J115" s="56">
        <f t="shared" si="5"/>
        <v>218.3646302151875</v>
      </c>
      <c r="K115" s="56">
        <f t="shared" si="5"/>
        <v>215.50330057788508</v>
      </c>
      <c r="L115" s="56">
        <f t="shared" si="5"/>
        <v>209.51709778405493</v>
      </c>
      <c r="M115" s="56">
        <f t="shared" si="5"/>
        <v>217.89778169541714</v>
      </c>
      <c r="N115" s="56">
        <f t="shared" si="5"/>
        <v>224.43471514627964</v>
      </c>
      <c r="Q115" s="58"/>
      <c r="R115" s="58"/>
    </row>
    <row r="116" spans="1:18" s="58" customFormat="1">
      <c r="A116" s="164" t="s">
        <v>135</v>
      </c>
      <c r="B116" s="164"/>
      <c r="D116" s="59">
        <v>0.6</v>
      </c>
      <c r="E116" s="59">
        <v>0.38</v>
      </c>
      <c r="F116" s="59">
        <v>0.37</v>
      </c>
      <c r="G116" s="59">
        <v>0.35</v>
      </c>
      <c r="H116" s="59">
        <v>0.33</v>
      </c>
      <c r="I116" s="59">
        <v>0.31</v>
      </c>
      <c r="J116" s="59">
        <v>0.28999999999999998</v>
      </c>
      <c r="K116" s="59">
        <v>0.27</v>
      </c>
      <c r="L116" s="59">
        <v>0.25</v>
      </c>
      <c r="M116" s="59">
        <v>0.25</v>
      </c>
      <c r="N116" s="59">
        <v>0.25</v>
      </c>
      <c r="Q116"/>
      <c r="R116"/>
    </row>
    <row r="117" spans="1:18">
      <c r="Q117" s="58"/>
      <c r="R117" s="58"/>
    </row>
    <row r="118" spans="1:18">
      <c r="A118" s="55" t="s">
        <v>136</v>
      </c>
      <c r="B118" s="55"/>
      <c r="D118" s="56">
        <f xml:space="preserve"> D112-D115</f>
        <v>103.76240000000001</v>
      </c>
      <c r="E118" s="56">
        <f t="shared" ref="E118:N118" si="6" xml:space="preserve"> E112-E115</f>
        <v>209.08123599999999</v>
      </c>
      <c r="F118" s="56">
        <f t="shared" si="6"/>
        <v>267.69142764000003</v>
      </c>
      <c r="G118" s="56">
        <f t="shared" si="6"/>
        <v>342.47506456799999</v>
      </c>
      <c r="H118" s="56">
        <f t="shared" si="6"/>
        <v>409.49480028038397</v>
      </c>
      <c r="I118" s="56">
        <f t="shared" si="6"/>
        <v>472.32474874131469</v>
      </c>
      <c r="J118" s="56">
        <f t="shared" si="6"/>
        <v>534.61685328545911</v>
      </c>
      <c r="K118" s="56">
        <f t="shared" si="6"/>
        <v>582.65707193280036</v>
      </c>
      <c r="L118" s="56">
        <f t="shared" si="6"/>
        <v>628.55129335216475</v>
      </c>
      <c r="M118" s="56">
        <f t="shared" si="6"/>
        <v>653.69334508625138</v>
      </c>
      <c r="N118" s="56">
        <f t="shared" si="6"/>
        <v>673.30414543883899</v>
      </c>
    </row>
    <row r="119" spans="1:18" s="58" customFormat="1" ht="12">
      <c r="A119" s="164" t="s">
        <v>135</v>
      </c>
      <c r="B119" s="164"/>
      <c r="D119" s="59">
        <f>D118/D112</f>
        <v>0.4</v>
      </c>
      <c r="E119" s="59">
        <f t="shared" ref="E119:N119" si="7">E118/E112</f>
        <v>0.62</v>
      </c>
      <c r="F119" s="59">
        <f t="shared" si="7"/>
        <v>0.63</v>
      </c>
      <c r="G119" s="59">
        <f t="shared" si="7"/>
        <v>0.64999999999999991</v>
      </c>
      <c r="H119" s="59">
        <f t="shared" si="7"/>
        <v>0.66999999999999993</v>
      </c>
      <c r="I119" s="59">
        <f t="shared" si="7"/>
        <v>0.69000000000000006</v>
      </c>
      <c r="J119" s="59">
        <f t="shared" si="7"/>
        <v>0.71000000000000008</v>
      </c>
      <c r="K119" s="59">
        <f t="shared" si="7"/>
        <v>0.73</v>
      </c>
      <c r="L119" s="59">
        <f t="shared" si="7"/>
        <v>0.75</v>
      </c>
      <c r="M119" s="59">
        <f t="shared" si="7"/>
        <v>0.75</v>
      </c>
      <c r="N119" s="59">
        <f t="shared" si="7"/>
        <v>0.75000000000000011</v>
      </c>
    </row>
    <row r="121" spans="1:18">
      <c r="A121" s="55" t="s">
        <v>137</v>
      </c>
      <c r="B121" s="55"/>
      <c r="D121" s="56">
        <f>D112*D122</f>
        <v>77.821799999999996</v>
      </c>
      <c r="E121" s="56">
        <f t="shared" ref="E121:N121" si="8">E112*E122</f>
        <v>97.796061999999992</v>
      </c>
      <c r="F121" s="56">
        <f t="shared" si="8"/>
        <v>118.97396784000001</v>
      </c>
      <c r="G121" s="56">
        <f t="shared" si="8"/>
        <v>142.25887297440002</v>
      </c>
      <c r="H121" s="56">
        <f t="shared" si="8"/>
        <v>158.90842995955202</v>
      </c>
      <c r="I121" s="56">
        <f t="shared" si="8"/>
        <v>171.13215534105603</v>
      </c>
      <c r="J121" s="56">
        <f t="shared" si="8"/>
        <v>180.71555604015518</v>
      </c>
      <c r="K121" s="56">
        <f t="shared" si="8"/>
        <v>183.57688567745765</v>
      </c>
      <c r="L121" s="56">
        <f t="shared" si="8"/>
        <v>184.37504604996835</v>
      </c>
      <c r="M121" s="56">
        <f t="shared" si="8"/>
        <v>183.03413662415039</v>
      </c>
      <c r="N121" s="56">
        <f t="shared" si="8"/>
        <v>179.54777211702373</v>
      </c>
    </row>
    <row r="122" spans="1:18" s="58" customFormat="1" ht="12">
      <c r="A122" s="164" t="s">
        <v>135</v>
      </c>
      <c r="B122" s="164"/>
      <c r="D122" s="59">
        <v>0.3</v>
      </c>
      <c r="E122" s="59">
        <v>0.28999999999999998</v>
      </c>
      <c r="F122" s="59">
        <v>0.28000000000000003</v>
      </c>
      <c r="G122" s="59">
        <v>0.27</v>
      </c>
      <c r="H122" s="59">
        <v>0.26</v>
      </c>
      <c r="I122" s="59">
        <v>0.25</v>
      </c>
      <c r="J122" s="59">
        <v>0.24</v>
      </c>
      <c r="K122" s="59">
        <v>0.23</v>
      </c>
      <c r="L122" s="59">
        <v>0.22</v>
      </c>
      <c r="M122" s="59">
        <v>0.21</v>
      </c>
      <c r="N122" s="59">
        <v>0.2</v>
      </c>
    </row>
    <row r="123" spans="1:18">
      <c r="A123" s="55" t="s">
        <v>450</v>
      </c>
      <c r="B123" s="55"/>
      <c r="D123" s="56">
        <f>D112*D124</f>
        <v>64.851500000000001</v>
      </c>
      <c r="E123" s="56">
        <f t="shared" ref="E123:N123" si="9">E112*E124</f>
        <v>80.934671999999992</v>
      </c>
      <c r="F123" s="56">
        <f t="shared" si="9"/>
        <v>97.72861644000001</v>
      </c>
      <c r="G123" s="56">
        <f t="shared" si="9"/>
        <v>115.9146372384</v>
      </c>
      <c r="H123" s="56">
        <f t="shared" si="9"/>
        <v>128.34911650579201</v>
      </c>
      <c r="I123" s="56">
        <f t="shared" si="9"/>
        <v>136.90572427284482</v>
      </c>
      <c r="J123" s="56">
        <f t="shared" si="9"/>
        <v>143.06648186512285</v>
      </c>
      <c r="K123" s="56">
        <f t="shared" si="9"/>
        <v>143.66886705192337</v>
      </c>
      <c r="L123" s="56">
        <f t="shared" si="9"/>
        <v>142.47162649315737</v>
      </c>
      <c r="M123" s="56">
        <f t="shared" si="9"/>
        <v>139.45458028506698</v>
      </c>
      <c r="N123" s="56">
        <f t="shared" si="9"/>
        <v>134.66082908776778</v>
      </c>
    </row>
    <row r="124" spans="1:18" s="58" customFormat="1" ht="12">
      <c r="A124" s="164" t="s">
        <v>135</v>
      </c>
      <c r="B124" s="164"/>
      <c r="D124" s="59">
        <v>0.25</v>
      </c>
      <c r="E124" s="59">
        <v>0.24</v>
      </c>
      <c r="F124" s="59">
        <v>0.23</v>
      </c>
      <c r="G124" s="59">
        <v>0.22</v>
      </c>
      <c r="H124" s="59">
        <v>0.21</v>
      </c>
      <c r="I124" s="59">
        <v>0.2</v>
      </c>
      <c r="J124" s="59">
        <v>0.19</v>
      </c>
      <c r="K124" s="59">
        <v>0.18</v>
      </c>
      <c r="L124" s="59">
        <v>0.17</v>
      </c>
      <c r="M124" s="59">
        <v>0.16</v>
      </c>
      <c r="N124" s="59">
        <v>0.15</v>
      </c>
    </row>
    <row r="125" spans="1:18">
      <c r="A125" s="55" t="s">
        <v>138</v>
      </c>
      <c r="B125" s="55"/>
      <c r="D125" s="56">
        <f>D112*D126</f>
        <v>25.940600000000003</v>
      </c>
      <c r="E125" s="56">
        <f t="shared" ref="E125:N125" si="10">E112*E126</f>
        <v>33.72278</v>
      </c>
      <c r="F125" s="56">
        <f t="shared" si="10"/>
        <v>42.490702800000008</v>
      </c>
      <c r="G125" s="56">
        <f t="shared" si="10"/>
        <v>52.688471472000003</v>
      </c>
      <c r="H125" s="56">
        <f t="shared" si="10"/>
        <v>61.118626907520003</v>
      </c>
      <c r="I125" s="56">
        <f t="shared" si="10"/>
        <v>68.452862136422411</v>
      </c>
      <c r="J125" s="56">
        <f t="shared" si="10"/>
        <v>75.298148350064665</v>
      </c>
      <c r="K125" s="56">
        <f t="shared" si="10"/>
        <v>79.816037251068551</v>
      </c>
      <c r="L125" s="56">
        <f t="shared" si="10"/>
        <v>83.806839113621976</v>
      </c>
      <c r="M125" s="56">
        <f t="shared" si="10"/>
        <v>87.159112678166863</v>
      </c>
      <c r="N125" s="56">
        <f t="shared" si="10"/>
        <v>89.773886058511863</v>
      </c>
    </row>
    <row r="126" spans="1:18" s="58" customFormat="1" ht="12">
      <c r="A126" s="164" t="s">
        <v>135</v>
      </c>
      <c r="B126" s="164"/>
      <c r="D126" s="59">
        <v>0.1</v>
      </c>
      <c r="E126" s="59">
        <v>0.1</v>
      </c>
      <c r="F126" s="59">
        <v>0.1</v>
      </c>
      <c r="G126" s="59">
        <v>0.1</v>
      </c>
      <c r="H126" s="59">
        <v>0.1</v>
      </c>
      <c r="I126" s="59">
        <v>0.1</v>
      </c>
      <c r="J126" s="59">
        <v>0.1</v>
      </c>
      <c r="K126" s="59">
        <v>0.1</v>
      </c>
      <c r="L126" s="59">
        <v>0.1</v>
      </c>
      <c r="M126" s="59">
        <v>0.1</v>
      </c>
      <c r="N126" s="59">
        <v>0.1</v>
      </c>
    </row>
    <row r="128" spans="1:18">
      <c r="A128" s="55" t="s">
        <v>139</v>
      </c>
      <c r="B128" s="55"/>
      <c r="D128" s="56">
        <f>D112*D129</f>
        <v>7.7821800000000003</v>
      </c>
      <c r="E128" s="56">
        <f t="shared" ref="E128:N128" si="11">E112*E129</f>
        <v>10.116833999999999</v>
      </c>
      <c r="F128" s="56">
        <f t="shared" si="11"/>
        <v>12.747210840000001</v>
      </c>
      <c r="G128" s="56">
        <f t="shared" si="11"/>
        <v>15.8065414416</v>
      </c>
      <c r="H128" s="56">
        <f t="shared" si="11"/>
        <v>18.335588072255998</v>
      </c>
      <c r="I128" s="56">
        <f t="shared" si="11"/>
        <v>20.535858640926723</v>
      </c>
      <c r="J128" s="56">
        <f t="shared" si="11"/>
        <v>22.589444505019397</v>
      </c>
      <c r="K128" s="56">
        <f t="shared" si="11"/>
        <v>23.944811175320563</v>
      </c>
      <c r="L128" s="56">
        <f t="shared" si="11"/>
        <v>25.142051734086589</v>
      </c>
      <c r="M128" s="56">
        <f t="shared" si="11"/>
        <v>26.147733803450055</v>
      </c>
      <c r="N128" s="56">
        <f t="shared" si="11"/>
        <v>26.932165817553557</v>
      </c>
    </row>
    <row r="129" spans="1:14" s="58" customFormat="1" ht="12">
      <c r="A129" s="164" t="s">
        <v>135</v>
      </c>
      <c r="B129" s="164"/>
      <c r="D129" s="59">
        <v>0.03</v>
      </c>
      <c r="E129" s="59">
        <v>0.03</v>
      </c>
      <c r="F129" s="59">
        <v>0.03</v>
      </c>
      <c r="G129" s="59">
        <v>0.03</v>
      </c>
      <c r="H129" s="59">
        <v>0.03</v>
      </c>
      <c r="I129" s="59">
        <v>0.03</v>
      </c>
      <c r="J129" s="59">
        <v>0.03</v>
      </c>
      <c r="K129" s="59">
        <v>0.03</v>
      </c>
      <c r="L129" s="59">
        <v>0.03</v>
      </c>
      <c r="M129" s="59">
        <v>0.03</v>
      </c>
      <c r="N129" s="59">
        <v>0.03</v>
      </c>
    </row>
    <row r="131" spans="1:14">
      <c r="A131" s="55" t="s">
        <v>140</v>
      </c>
      <c r="B131" s="55"/>
      <c r="D131" s="56">
        <f>D118-SUM(D121,D123,D125)-D128</f>
        <v>-72.633679999999984</v>
      </c>
      <c r="E131" s="56">
        <f t="shared" ref="E131:N131" si="12">E118-SUM(E121,E123,E125)-E128</f>
        <v>-13.489111999999993</v>
      </c>
      <c r="F131" s="56">
        <f t="shared" si="12"/>
        <v>-4.2490702799999767</v>
      </c>
      <c r="G131" s="56">
        <f t="shared" si="12"/>
        <v>15.806541441599979</v>
      </c>
      <c r="H131" s="56">
        <f t="shared" si="12"/>
        <v>42.783038835263909</v>
      </c>
      <c r="I131" s="56">
        <f t="shared" si="12"/>
        <v>75.298148350064722</v>
      </c>
      <c r="J131" s="56">
        <f t="shared" si="12"/>
        <v>112.94722252509706</v>
      </c>
      <c r="K131" s="56">
        <f t="shared" si="12"/>
        <v>151.65047077703022</v>
      </c>
      <c r="L131" s="56">
        <f t="shared" si="12"/>
        <v>192.75572996133047</v>
      </c>
      <c r="M131" s="56">
        <f t="shared" si="12"/>
        <v>217.89778169541708</v>
      </c>
      <c r="N131" s="56">
        <f t="shared" si="12"/>
        <v>242.38949235798205</v>
      </c>
    </row>
    <row r="132" spans="1:14" s="58" customFormat="1" ht="12">
      <c r="A132" s="164" t="s">
        <v>135</v>
      </c>
      <c r="B132" s="164"/>
      <c r="D132" s="59">
        <f>D131/D112</f>
        <v>-0.27999999999999992</v>
      </c>
      <c r="E132" s="59">
        <f t="shared" ref="E132:N132" si="13">E131/E112</f>
        <v>-3.999999999999998E-2</v>
      </c>
      <c r="F132" s="59">
        <f t="shared" si="13"/>
        <v>-9.9999999999999447E-3</v>
      </c>
      <c r="G132" s="59">
        <f t="shared" si="13"/>
        <v>2.9999999999999957E-2</v>
      </c>
      <c r="H132" s="59">
        <f t="shared" si="13"/>
        <v>6.9999999999999854E-2</v>
      </c>
      <c r="I132" s="59">
        <f t="shared" si="13"/>
        <v>0.1100000000000001</v>
      </c>
      <c r="J132" s="59">
        <f t="shared" si="13"/>
        <v>0.15000000000000008</v>
      </c>
      <c r="K132" s="59">
        <f t="shared" si="13"/>
        <v>0.19</v>
      </c>
      <c r="L132" s="59">
        <f t="shared" si="13"/>
        <v>0.22999999999999993</v>
      </c>
      <c r="M132" s="59">
        <f t="shared" si="13"/>
        <v>0.24999999999999994</v>
      </c>
      <c r="N132" s="59">
        <f t="shared" si="13"/>
        <v>0.27</v>
      </c>
    </row>
    <row r="134" spans="1:14">
      <c r="A134" s="55" t="s">
        <v>141</v>
      </c>
      <c r="B134" s="55"/>
      <c r="D134" s="56">
        <f>D112*D135</f>
        <v>5.1881200000000005</v>
      </c>
      <c r="E134" s="56">
        <f t="shared" ref="E134:N134" si="14">E112*E135</f>
        <v>6.7445560000000002</v>
      </c>
      <c r="F134" s="56">
        <f t="shared" si="14"/>
        <v>8.4981405600000013</v>
      </c>
      <c r="G134" s="56">
        <f t="shared" si="14"/>
        <v>10.537694294400001</v>
      </c>
      <c r="H134" s="56">
        <f t="shared" si="14"/>
        <v>12.223725381504</v>
      </c>
      <c r="I134" s="56">
        <f t="shared" si="14"/>
        <v>13.690572427284483</v>
      </c>
      <c r="J134" s="56">
        <f t="shared" si="14"/>
        <v>15.059629670012933</v>
      </c>
      <c r="K134" s="56">
        <f t="shared" si="14"/>
        <v>15.963207450213709</v>
      </c>
      <c r="L134" s="56">
        <f t="shared" si="14"/>
        <v>16.761367822724395</v>
      </c>
      <c r="M134" s="56">
        <f t="shared" si="14"/>
        <v>17.431822535633373</v>
      </c>
      <c r="N134" s="56">
        <f t="shared" si="14"/>
        <v>17.954777211702371</v>
      </c>
    </row>
    <row r="135" spans="1:14" s="58" customFormat="1" ht="12">
      <c r="A135" s="164" t="s">
        <v>135</v>
      </c>
      <c r="B135" s="164"/>
      <c r="D135" s="59">
        <v>0.02</v>
      </c>
      <c r="E135" s="59">
        <v>0.02</v>
      </c>
      <c r="F135" s="59">
        <v>0.02</v>
      </c>
      <c r="G135" s="59">
        <v>0.02</v>
      </c>
      <c r="H135" s="59">
        <v>0.02</v>
      </c>
      <c r="I135" s="59">
        <v>0.02</v>
      </c>
      <c r="J135" s="59">
        <v>0.02</v>
      </c>
      <c r="K135" s="59">
        <v>0.02</v>
      </c>
      <c r="L135" s="59">
        <v>0.02</v>
      </c>
      <c r="M135" s="59">
        <v>0.02</v>
      </c>
      <c r="N135" s="59">
        <v>0.02</v>
      </c>
    </row>
    <row r="137" spans="1:14">
      <c r="A137" s="55" t="s">
        <v>142</v>
      </c>
      <c r="B137" s="55"/>
      <c r="D137" s="56">
        <f>D112*D138</f>
        <v>2.5940600000000003</v>
      </c>
      <c r="E137" s="56">
        <f t="shared" ref="E137:N137" si="15">E112*E138</f>
        <v>3.3722780000000001</v>
      </c>
      <c r="F137" s="56">
        <f t="shared" si="15"/>
        <v>4.2490702800000006</v>
      </c>
      <c r="G137" s="56">
        <f t="shared" si="15"/>
        <v>5.2688471472000007</v>
      </c>
      <c r="H137" s="56">
        <f t="shared" si="15"/>
        <v>6.1118626907519999</v>
      </c>
      <c r="I137" s="56">
        <f t="shared" si="15"/>
        <v>13.690572427284483</v>
      </c>
      <c r="J137" s="56">
        <f t="shared" si="15"/>
        <v>15.059629670012933</v>
      </c>
      <c r="K137" s="56">
        <f t="shared" si="15"/>
        <v>15.963207450213709</v>
      </c>
      <c r="L137" s="56">
        <f t="shared" si="15"/>
        <v>16.761367822724395</v>
      </c>
      <c r="M137" s="56">
        <f t="shared" si="15"/>
        <v>17.431822535633373</v>
      </c>
      <c r="N137" s="56">
        <f t="shared" si="15"/>
        <v>17.954777211702371</v>
      </c>
    </row>
    <row r="138" spans="1:14" s="58" customFormat="1" ht="12">
      <c r="A138" s="164" t="s">
        <v>135</v>
      </c>
      <c r="B138" s="164"/>
      <c r="D138" s="59">
        <v>0.01</v>
      </c>
      <c r="E138" s="59">
        <v>0.01</v>
      </c>
      <c r="F138" s="59">
        <v>0.01</v>
      </c>
      <c r="G138" s="59">
        <v>0.01</v>
      </c>
      <c r="H138" s="59">
        <v>0.01</v>
      </c>
      <c r="I138" s="59">
        <v>0.02</v>
      </c>
      <c r="J138" s="59">
        <v>0.02</v>
      </c>
      <c r="K138" s="59">
        <v>0.02</v>
      </c>
      <c r="L138" s="59">
        <v>0.02</v>
      </c>
      <c r="M138" s="59">
        <v>0.02</v>
      </c>
      <c r="N138" s="59">
        <v>0.02</v>
      </c>
    </row>
    <row r="140" spans="1:14">
      <c r="A140" s="55" t="s">
        <v>143</v>
      </c>
      <c r="B140" s="55"/>
      <c r="D140" s="56">
        <f>25%*MAX(0,D131)</f>
        <v>0</v>
      </c>
      <c r="E140" s="56">
        <f t="shared" ref="E140:N140" si="16">25%*MAX(0,E131)</f>
        <v>0</v>
      </c>
      <c r="F140" s="56">
        <f t="shared" si="16"/>
        <v>0</v>
      </c>
      <c r="G140" s="56">
        <f t="shared" si="16"/>
        <v>3.9516353603999947</v>
      </c>
      <c r="H140" s="56">
        <f t="shared" si="16"/>
        <v>10.695759708815977</v>
      </c>
      <c r="I140" s="56">
        <f t="shared" si="16"/>
        <v>18.82453708751618</v>
      </c>
      <c r="J140" s="56">
        <f t="shared" si="16"/>
        <v>28.236805631274265</v>
      </c>
      <c r="K140" s="56">
        <f t="shared" si="16"/>
        <v>37.912617694257555</v>
      </c>
      <c r="L140" s="56">
        <f t="shared" si="16"/>
        <v>48.188932490332618</v>
      </c>
      <c r="M140" s="56">
        <f t="shared" si="16"/>
        <v>54.47444542385427</v>
      </c>
      <c r="N140" s="56">
        <f t="shared" si="16"/>
        <v>60.597373089495512</v>
      </c>
    </row>
    <row r="141" spans="1:14" s="58" customFormat="1" ht="12">
      <c r="A141" s="164" t="s">
        <v>135</v>
      </c>
      <c r="B141" s="164"/>
      <c r="D141" s="59">
        <v>0.25</v>
      </c>
      <c r="E141" s="59">
        <v>0.25</v>
      </c>
      <c r="F141" s="59">
        <v>0.25</v>
      </c>
      <c r="G141" s="59">
        <v>0.25</v>
      </c>
      <c r="H141" s="59">
        <v>0.25</v>
      </c>
      <c r="I141" s="59">
        <v>0.25</v>
      </c>
      <c r="J141" s="59">
        <v>0.25</v>
      </c>
      <c r="K141" s="59">
        <v>0.25</v>
      </c>
      <c r="L141" s="59">
        <v>0.25</v>
      </c>
      <c r="M141" s="59">
        <v>0.25</v>
      </c>
      <c r="N141" s="59">
        <v>0.25</v>
      </c>
    </row>
    <row r="143" spans="1:14">
      <c r="A143" s="60" t="s">
        <v>144</v>
      </c>
      <c r="B143" s="60"/>
      <c r="D143" s="56">
        <f>D131+D128-D134-D137 - D140</f>
        <v>-72.633679999999984</v>
      </c>
      <c r="E143" s="56">
        <f t="shared" ref="E143:N143" si="17">E131+E128-E134-E137 - E140</f>
        <v>-13.489111999999993</v>
      </c>
      <c r="F143" s="56">
        <f t="shared" si="17"/>
        <v>-4.2490702799999776</v>
      </c>
      <c r="G143" s="56">
        <f t="shared" si="17"/>
        <v>11.854906081199982</v>
      </c>
      <c r="H143" s="56">
        <f t="shared" si="17"/>
        <v>32.087279126447939</v>
      </c>
      <c r="I143" s="56">
        <f t="shared" si="17"/>
        <v>49.628325048906305</v>
      </c>
      <c r="J143" s="56">
        <f t="shared" si="17"/>
        <v>77.180602058816319</v>
      </c>
      <c r="K143" s="56">
        <f t="shared" si="17"/>
        <v>105.75624935766581</v>
      </c>
      <c r="L143" s="56">
        <f t="shared" si="17"/>
        <v>136.18611355963566</v>
      </c>
      <c r="M143" s="56">
        <f t="shared" si="17"/>
        <v>154.7074250037461</v>
      </c>
      <c r="N143" s="56">
        <f t="shared" si="17"/>
        <v>172.81473066263536</v>
      </c>
    </row>
    <row r="144" spans="1:14" s="58" customFormat="1" ht="12">
      <c r="A144" s="165" t="s">
        <v>135</v>
      </c>
      <c r="B144" s="165"/>
      <c r="D144" s="59">
        <f t="shared" ref="D144:N144" si="18">D143/D112</f>
        <v>-0.27999999999999992</v>
      </c>
      <c r="E144" s="59">
        <f t="shared" si="18"/>
        <v>-3.999999999999998E-2</v>
      </c>
      <c r="F144" s="59">
        <f t="shared" si="18"/>
        <v>-9.9999999999999464E-3</v>
      </c>
      <c r="G144" s="59">
        <f t="shared" si="18"/>
        <v>2.2499999999999964E-2</v>
      </c>
      <c r="H144" s="59">
        <f t="shared" si="18"/>
        <v>5.2499999999999901E-2</v>
      </c>
      <c r="I144" s="59">
        <f t="shared" si="18"/>
        <v>7.2500000000000078E-2</v>
      </c>
      <c r="J144" s="59">
        <f t="shared" si="18"/>
        <v>0.10250000000000005</v>
      </c>
      <c r="K144" s="59">
        <f t="shared" si="18"/>
        <v>0.13249999999999998</v>
      </c>
      <c r="L144" s="59">
        <f t="shared" si="18"/>
        <v>0.16249999999999995</v>
      </c>
      <c r="M144" s="59">
        <f t="shared" si="18"/>
        <v>0.17749999999999991</v>
      </c>
      <c r="N144" s="59">
        <f t="shared" si="18"/>
        <v>0.19250000000000003</v>
      </c>
    </row>
    <row r="146" spans="1:14">
      <c r="A146" s="166" t="s">
        <v>145</v>
      </c>
      <c r="B146" s="166"/>
      <c r="D146" s="61">
        <f>D143/(1+$D$150)^(D110-0.5)</f>
        <v>-78.900372210807902</v>
      </c>
      <c r="E146" s="61">
        <f t="shared" ref="E146:N146" si="19">E143/(1+$D$150)^(E110-0.5)</f>
        <v>-12.417734125187684</v>
      </c>
      <c r="F146" s="61">
        <f t="shared" si="19"/>
        <v>-3.3149036012153403</v>
      </c>
      <c r="G146" s="61">
        <f t="shared" si="19"/>
        <v>7.8377805486363012</v>
      </c>
      <c r="H146" s="61">
        <f t="shared" si="19"/>
        <v>17.978185891222243</v>
      </c>
      <c r="I146" s="61">
        <f t="shared" si="19"/>
        <v>23.564627834822456</v>
      </c>
      <c r="J146" s="61">
        <f t="shared" si="19"/>
        <v>31.056829788149976</v>
      </c>
      <c r="K146" s="61">
        <f t="shared" si="19"/>
        <v>36.063925123982315</v>
      </c>
      <c r="L146" s="61">
        <f t="shared" si="19"/>
        <v>39.356617999868774</v>
      </c>
      <c r="M146" s="61">
        <f t="shared" si="19"/>
        <v>37.889083091399094</v>
      </c>
      <c r="N146" s="61">
        <f t="shared" si="19"/>
        <v>35.867548101920079</v>
      </c>
    </row>
    <row r="147" spans="1:14" s="142" customFormat="1" ht="10.8">
      <c r="A147" s="142" t="s">
        <v>146</v>
      </c>
      <c r="D147" s="143">
        <f>SUM(C146:D146)</f>
        <v>-78.900372210807902</v>
      </c>
      <c r="E147" s="143">
        <f>SUM(D146:E146)</f>
        <v>-91.31810633599558</v>
      </c>
      <c r="F147" s="143">
        <f xml:space="preserve"> SUM(F146,E147)</f>
        <v>-94.633009937210915</v>
      </c>
      <c r="G147" s="143">
        <f t="shared" ref="G147:N147" si="20" xml:space="preserve"> SUM(G146,F147)</f>
        <v>-86.795229388574612</v>
      </c>
      <c r="H147" s="143">
        <f t="shared" si="20"/>
        <v>-68.817043497352373</v>
      </c>
      <c r="I147" s="143">
        <f t="shared" si="20"/>
        <v>-45.252415662529913</v>
      </c>
      <c r="J147" s="143">
        <f t="shared" si="20"/>
        <v>-14.195585874379937</v>
      </c>
      <c r="K147" s="143">
        <f t="shared" si="20"/>
        <v>21.868339249602379</v>
      </c>
      <c r="L147" s="143">
        <f t="shared" si="20"/>
        <v>61.224957249471153</v>
      </c>
      <c r="M147" s="143">
        <f t="shared" si="20"/>
        <v>99.114040340870247</v>
      </c>
      <c r="N147" s="143">
        <f t="shared" si="20"/>
        <v>134.98158844279033</v>
      </c>
    </row>
    <row r="148" spans="1:14"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</row>
    <row r="149" spans="1:14" s="3" customFormat="1">
      <c r="A149" s="2" t="s">
        <v>130</v>
      </c>
    </row>
    <row r="150" spans="1:14">
      <c r="A150" s="161" t="s">
        <v>147</v>
      </c>
      <c r="B150" s="162"/>
      <c r="C150" s="163"/>
      <c r="D150" s="63">
        <f>CHOOSE(ASSUMPTIONS!E5,ASSUMPTIONS!D32,ASSUMPTIONS!D33,ASSUMPTIONS!D34)</f>
        <v>0.18</v>
      </c>
    </row>
    <row r="151" spans="1:14">
      <c r="A151" s="161" t="s">
        <v>148</v>
      </c>
      <c r="B151" s="162"/>
      <c r="C151" s="163"/>
      <c r="D151" s="63">
        <f>CHOOSE(ASSUMPTIONS!E5,ASSUMPTIONS!E32,ASSUMPTIONS!E33,ASSUMPTIONS!E34)</f>
        <v>3.5000000000000003E-2</v>
      </c>
    </row>
    <row r="152" spans="1:14">
      <c r="A152" s="160" t="s">
        <v>149</v>
      </c>
      <c r="B152" s="160"/>
      <c r="C152" s="160"/>
      <c r="D152" s="64">
        <f>N143*(1+D151)/(D150-D151)</f>
        <v>1233.539629212604</v>
      </c>
    </row>
    <row r="153" spans="1:14">
      <c r="A153" s="160" t="s">
        <v>150</v>
      </c>
      <c r="B153" s="160"/>
      <c r="C153" s="160"/>
      <c r="D153" s="64">
        <f xml:space="preserve"> D152/(1+D150)^N110</f>
        <v>235.68559167231322</v>
      </c>
    </row>
    <row r="154" spans="1:14">
      <c r="A154" s="160" t="s">
        <v>732</v>
      </c>
      <c r="B154" s="160"/>
      <c r="C154" s="160"/>
      <c r="D154" s="64">
        <f>SUM(D143:N143)</f>
        <v>649.84376861905355</v>
      </c>
    </row>
    <row r="155" spans="1:14">
      <c r="D155" s="65"/>
    </row>
    <row r="156" spans="1:14">
      <c r="A156" s="161" t="s">
        <v>151</v>
      </c>
      <c r="B156" s="162"/>
      <c r="C156" s="163"/>
      <c r="D156" s="66">
        <f>SUM(D153:D154)</f>
        <v>885.52936029136674</v>
      </c>
    </row>
    <row r="157" spans="1:14">
      <c r="A157" s="161" t="s">
        <v>152</v>
      </c>
      <c r="B157" s="162"/>
      <c r="C157" s="163"/>
      <c r="D157" s="66">
        <f>D156</f>
        <v>885.52936029136674</v>
      </c>
    </row>
    <row r="158" spans="1:14">
      <c r="A158" s="161" t="s">
        <v>153</v>
      </c>
      <c r="B158" s="162"/>
      <c r="C158" s="163"/>
      <c r="D158" s="67">
        <f>-D156/SUM(D146:H146)</f>
        <v>12.867878584836852</v>
      </c>
    </row>
    <row r="160" spans="1:14">
      <c r="A160" s="160" t="s">
        <v>154</v>
      </c>
      <c r="B160" s="160"/>
      <c r="C160" s="160"/>
      <c r="D160" s="68">
        <f xml:space="preserve"> 6+(-J147/K146)</f>
        <v>6.3936228745367476</v>
      </c>
    </row>
  </sheetData>
  <mergeCells count="281">
    <mergeCell ref="A1:F1"/>
    <mergeCell ref="A3:D3"/>
    <mergeCell ref="E3:F3"/>
    <mergeCell ref="G3:H3"/>
    <mergeCell ref="A4:D4"/>
    <mergeCell ref="E4:F4"/>
    <mergeCell ref="G4:H4"/>
    <mergeCell ref="A9:D9"/>
    <mergeCell ref="E9:F9"/>
    <mergeCell ref="G9:H9"/>
    <mergeCell ref="E10:F10"/>
    <mergeCell ref="G10:H10"/>
    <mergeCell ref="A13:D13"/>
    <mergeCell ref="E13:F13"/>
    <mergeCell ref="G13:H13"/>
    <mergeCell ref="A5:D5"/>
    <mergeCell ref="E5:F5"/>
    <mergeCell ref="G5:H5"/>
    <mergeCell ref="E6:F6"/>
    <mergeCell ref="G6:H6"/>
    <mergeCell ref="A8:D8"/>
    <mergeCell ref="E8:F8"/>
    <mergeCell ref="G8:H8"/>
    <mergeCell ref="A19:D19"/>
    <mergeCell ref="E19:F19"/>
    <mergeCell ref="G19:H19"/>
    <mergeCell ref="E20:F20"/>
    <mergeCell ref="G20:H20"/>
    <mergeCell ref="A23:B23"/>
    <mergeCell ref="E23:F23"/>
    <mergeCell ref="A14:D14"/>
    <mergeCell ref="E14:F14"/>
    <mergeCell ref="G14:H14"/>
    <mergeCell ref="E15:F15"/>
    <mergeCell ref="G15:H15"/>
    <mergeCell ref="A18:D18"/>
    <mergeCell ref="E18:F18"/>
    <mergeCell ref="G18:H18"/>
    <mergeCell ref="A29:D29"/>
    <mergeCell ref="H29:K29"/>
    <mergeCell ref="O29:R29"/>
    <mergeCell ref="A30:D30"/>
    <mergeCell ref="H30:K30"/>
    <mergeCell ref="O30:R30"/>
    <mergeCell ref="A25:F25"/>
    <mergeCell ref="H25:M25"/>
    <mergeCell ref="O25:AA25"/>
    <mergeCell ref="A28:D28"/>
    <mergeCell ref="H28:K28"/>
    <mergeCell ref="O28:R28"/>
    <mergeCell ref="A35:D35"/>
    <mergeCell ref="H35:K35"/>
    <mergeCell ref="O35:R35"/>
    <mergeCell ref="V35:Y35"/>
    <mergeCell ref="A36:D36"/>
    <mergeCell ref="H36:K36"/>
    <mergeCell ref="O36:R36"/>
    <mergeCell ref="V36:Y36"/>
    <mergeCell ref="A31:D31"/>
    <mergeCell ref="O31:R31"/>
    <mergeCell ref="A32:D32"/>
    <mergeCell ref="H32:K32"/>
    <mergeCell ref="O32:R32"/>
    <mergeCell ref="O34:AA34"/>
    <mergeCell ref="A40:D40"/>
    <mergeCell ref="H40:K40"/>
    <mergeCell ref="O40:R40"/>
    <mergeCell ref="V40:Y40"/>
    <mergeCell ref="A41:D41"/>
    <mergeCell ref="H41:K41"/>
    <mergeCell ref="O41:R41"/>
    <mergeCell ref="V41:Y41"/>
    <mergeCell ref="A37:D37"/>
    <mergeCell ref="H37:K37"/>
    <mergeCell ref="O37:R37"/>
    <mergeCell ref="V37:Y37"/>
    <mergeCell ref="A38:D38"/>
    <mergeCell ref="H38:K38"/>
    <mergeCell ref="O38:R38"/>
    <mergeCell ref="V38:Y38"/>
    <mergeCell ref="A45:D45"/>
    <mergeCell ref="H45:K45"/>
    <mergeCell ref="O45:R45"/>
    <mergeCell ref="V45:Y45"/>
    <mergeCell ref="A46:D46"/>
    <mergeCell ref="H46:K46"/>
    <mergeCell ref="O46:R46"/>
    <mergeCell ref="V46:Y46"/>
    <mergeCell ref="A42:D42"/>
    <mergeCell ref="H42:K42"/>
    <mergeCell ref="O42:R42"/>
    <mergeCell ref="V42:Y42"/>
    <mergeCell ref="A43:D43"/>
    <mergeCell ref="H43:K43"/>
    <mergeCell ref="O43:R43"/>
    <mergeCell ref="V43:Y43"/>
    <mergeCell ref="A72:C72"/>
    <mergeCell ref="D72:G72"/>
    <mergeCell ref="H72:W72"/>
    <mergeCell ref="X72:AH72"/>
    <mergeCell ref="A73:C73"/>
    <mergeCell ref="D73:G73"/>
    <mergeCell ref="H73:W73"/>
    <mergeCell ref="X73:AH73"/>
    <mergeCell ref="A47:D47"/>
    <mergeCell ref="H47:K47"/>
    <mergeCell ref="O47:R47"/>
    <mergeCell ref="V47:Y47"/>
    <mergeCell ref="A48:D48"/>
    <mergeCell ref="H48:K48"/>
    <mergeCell ref="O48:R48"/>
    <mergeCell ref="V48:Y48"/>
    <mergeCell ref="A74:C75"/>
    <mergeCell ref="D74:G75"/>
    <mergeCell ref="H74:W74"/>
    <mergeCell ref="X74:AH75"/>
    <mergeCell ref="H75:W75"/>
    <mergeCell ref="A76:C77"/>
    <mergeCell ref="D76:G77"/>
    <mergeCell ref="H76:W76"/>
    <mergeCell ref="X76:AH77"/>
    <mergeCell ref="H77:W77"/>
    <mergeCell ref="W80:X80"/>
    <mergeCell ref="Y80:Z80"/>
    <mergeCell ref="AA80:AB80"/>
    <mergeCell ref="AC80:AD80"/>
    <mergeCell ref="A81:D81"/>
    <mergeCell ref="E81:H81"/>
    <mergeCell ref="I81:L81"/>
    <mergeCell ref="M81:O81"/>
    <mergeCell ref="P81:R81"/>
    <mergeCell ref="S81:U81"/>
    <mergeCell ref="A80:D80"/>
    <mergeCell ref="E80:H80"/>
    <mergeCell ref="I80:L80"/>
    <mergeCell ref="M80:N80"/>
    <mergeCell ref="P80:R80"/>
    <mergeCell ref="S80:U80"/>
    <mergeCell ref="W81:X81"/>
    <mergeCell ref="Y81:Z81"/>
    <mergeCell ref="AA81:AB81"/>
    <mergeCell ref="AC81:AD81"/>
    <mergeCell ref="AC82:AD82"/>
    <mergeCell ref="A83:D83"/>
    <mergeCell ref="E83:H83"/>
    <mergeCell ref="I83:L83"/>
    <mergeCell ref="M83:O83"/>
    <mergeCell ref="P83:R83"/>
    <mergeCell ref="S83:U83"/>
    <mergeCell ref="W83:X83"/>
    <mergeCell ref="Y83:Z83"/>
    <mergeCell ref="AA83:AB83"/>
    <mergeCell ref="AC83:AD83"/>
    <mergeCell ref="A82:D82"/>
    <mergeCell ref="E82:H82"/>
    <mergeCell ref="I82:L82"/>
    <mergeCell ref="M82:O82"/>
    <mergeCell ref="P82:R82"/>
    <mergeCell ref="S82:U82"/>
    <mergeCell ref="W82:X82"/>
    <mergeCell ref="Y82:Z82"/>
    <mergeCell ref="AA82:AB82"/>
    <mergeCell ref="A84:D84"/>
    <mergeCell ref="E84:H84"/>
    <mergeCell ref="I84:L84"/>
    <mergeCell ref="M84:O84"/>
    <mergeCell ref="P84:R84"/>
    <mergeCell ref="S84:U84"/>
    <mergeCell ref="AC85:AD85"/>
    <mergeCell ref="A86:D86"/>
    <mergeCell ref="P86:R86"/>
    <mergeCell ref="S86:U86"/>
    <mergeCell ref="AA86:AB86"/>
    <mergeCell ref="AC86:AD86"/>
    <mergeCell ref="W84:X84"/>
    <mergeCell ref="Y84:Z84"/>
    <mergeCell ref="AA84:AB84"/>
    <mergeCell ref="AC84:AD84"/>
    <mergeCell ref="A85:D85"/>
    <mergeCell ref="E85:H85"/>
    <mergeCell ref="I85:L85"/>
    <mergeCell ref="M85:O85"/>
    <mergeCell ref="P85:R85"/>
    <mergeCell ref="S85:U85"/>
    <mergeCell ref="A90:C90"/>
    <mergeCell ref="D90:O90"/>
    <mergeCell ref="P90:V90"/>
    <mergeCell ref="W90:AA90"/>
    <mergeCell ref="A91:C91"/>
    <mergeCell ref="D91:O91"/>
    <mergeCell ref="P91:V91"/>
    <mergeCell ref="W91:AA91"/>
    <mergeCell ref="W85:X85"/>
    <mergeCell ref="Y85:Z85"/>
    <mergeCell ref="AA85:AB85"/>
    <mergeCell ref="W94:AA94"/>
    <mergeCell ref="A95:C95"/>
    <mergeCell ref="D95:O95"/>
    <mergeCell ref="P95:V95"/>
    <mergeCell ref="W95:AA95"/>
    <mergeCell ref="A92:C92"/>
    <mergeCell ref="D92:O92"/>
    <mergeCell ref="P92:V92"/>
    <mergeCell ref="W92:AA92"/>
    <mergeCell ref="A93:C93"/>
    <mergeCell ref="D93:O93"/>
    <mergeCell ref="P93:V93"/>
    <mergeCell ref="W93:AA93"/>
    <mergeCell ref="B98:D98"/>
    <mergeCell ref="E98:G98"/>
    <mergeCell ref="H98:I98"/>
    <mergeCell ref="J98:K98"/>
    <mergeCell ref="N98:O98"/>
    <mergeCell ref="P98:Q98"/>
    <mergeCell ref="A94:C94"/>
    <mergeCell ref="D94:O94"/>
    <mergeCell ref="P94:V94"/>
    <mergeCell ref="B100:D100"/>
    <mergeCell ref="E100:G100"/>
    <mergeCell ref="H100:I100"/>
    <mergeCell ref="J100:K100"/>
    <mergeCell ref="N100:O100"/>
    <mergeCell ref="P100:Q100"/>
    <mergeCell ref="B99:D99"/>
    <mergeCell ref="E99:G99"/>
    <mergeCell ref="H99:I99"/>
    <mergeCell ref="J99:K99"/>
    <mergeCell ref="N99:O99"/>
    <mergeCell ref="P99:Q99"/>
    <mergeCell ref="W104:X104"/>
    <mergeCell ref="Y104:Z104"/>
    <mergeCell ref="AA104:AB104"/>
    <mergeCell ref="B105:D105"/>
    <mergeCell ref="E105:G105"/>
    <mergeCell ref="H105:J105"/>
    <mergeCell ref="K105:M105"/>
    <mergeCell ref="N105:O105"/>
    <mergeCell ref="Q105:R105"/>
    <mergeCell ref="S105:T105"/>
    <mergeCell ref="B104:D104"/>
    <mergeCell ref="E104:G104"/>
    <mergeCell ref="H104:J104"/>
    <mergeCell ref="K104:M104"/>
    <mergeCell ref="N104:O104"/>
    <mergeCell ref="Q104:R104"/>
    <mergeCell ref="W106:X106"/>
    <mergeCell ref="Y106:Z106"/>
    <mergeCell ref="AA106:AB106"/>
    <mergeCell ref="U105:V105"/>
    <mergeCell ref="W105:X105"/>
    <mergeCell ref="Y105:Z105"/>
    <mergeCell ref="AA105:AB105"/>
    <mergeCell ref="A132:B132"/>
    <mergeCell ref="A135:B135"/>
    <mergeCell ref="B106:D106"/>
    <mergeCell ref="E106:G106"/>
    <mergeCell ref="H106:J106"/>
    <mergeCell ref="K106:M106"/>
    <mergeCell ref="N106:O106"/>
    <mergeCell ref="Q106:R106"/>
    <mergeCell ref="S106:T106"/>
    <mergeCell ref="U106:V106"/>
    <mergeCell ref="A138:B138"/>
    <mergeCell ref="A141:B141"/>
    <mergeCell ref="A144:B144"/>
    <mergeCell ref="A146:B146"/>
    <mergeCell ref="A116:B116"/>
    <mergeCell ref="A119:B119"/>
    <mergeCell ref="A122:B122"/>
    <mergeCell ref="A124:B124"/>
    <mergeCell ref="A126:B126"/>
    <mergeCell ref="A129:B129"/>
    <mergeCell ref="A153:C153"/>
    <mergeCell ref="A154:C154"/>
    <mergeCell ref="A156:C156"/>
    <mergeCell ref="A157:C157"/>
    <mergeCell ref="A158:C158"/>
    <mergeCell ref="A150:C150"/>
    <mergeCell ref="A151:C151"/>
    <mergeCell ref="A152:C152"/>
    <mergeCell ref="A160:C160"/>
  </mergeCells>
  <dataValidations count="1">
    <dataValidation type="list" allowBlank="1" showInputMessage="1" showErrorMessage="1" sqref="G23" xr:uid="{1EFE7132-5025-44F4-B96E-B99ED186AF3D}">
      <formula1>"1,2,3"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DA523-E711-4145-BB85-A71405669E7A}">
  <sheetPr codeName="Sheet2"/>
  <dimension ref="A1:AE262"/>
  <sheetViews>
    <sheetView showGridLines="0" topLeftCell="A10" zoomScale="79" workbookViewId="0">
      <selection activeCell="G27" sqref="G27"/>
    </sheetView>
  </sheetViews>
  <sheetFormatPr defaultRowHeight="14.4"/>
  <cols>
    <col min="4" max="4" width="9.109375" bestFit="1" customWidth="1"/>
    <col min="5" max="6" width="9" bestFit="1" customWidth="1"/>
    <col min="7" max="7" width="9.5546875" bestFit="1" customWidth="1"/>
    <col min="8" max="8" width="11.6640625" bestFit="1" customWidth="1"/>
    <col min="9" max="9" width="9.5546875" bestFit="1" customWidth="1"/>
    <col min="10" max="10" width="12.6640625" bestFit="1" customWidth="1"/>
    <col min="11" max="12" width="9" bestFit="1" customWidth="1"/>
    <col min="13" max="13" width="11.6640625" bestFit="1" customWidth="1"/>
    <col min="14" max="14" width="9" bestFit="1" customWidth="1"/>
  </cols>
  <sheetData>
    <row r="1" spans="1:8" s="1" customFormat="1" ht="21">
      <c r="A1" s="256" t="s">
        <v>720</v>
      </c>
      <c r="B1" s="256"/>
      <c r="C1" s="256"/>
      <c r="D1" s="256"/>
      <c r="E1" s="256"/>
      <c r="F1" s="256"/>
    </row>
    <row r="2" spans="1:8" s="3" customFormat="1">
      <c r="A2" s="2" t="s">
        <v>0</v>
      </c>
    </row>
    <row r="3" spans="1:8">
      <c r="A3" s="257" t="s">
        <v>1</v>
      </c>
      <c r="B3" s="258"/>
      <c r="C3" s="258"/>
      <c r="D3" s="259"/>
      <c r="E3" s="260" t="s">
        <v>2</v>
      </c>
      <c r="F3" s="260"/>
      <c r="G3" s="260" t="s">
        <v>3</v>
      </c>
      <c r="H3" s="260"/>
    </row>
    <row r="4" spans="1:8">
      <c r="A4" s="342" t="s">
        <v>155</v>
      </c>
      <c r="B4" s="343"/>
      <c r="C4" s="343"/>
      <c r="D4" s="344"/>
      <c r="E4" s="176">
        <f>N93</f>
        <v>1.1322289156626506</v>
      </c>
      <c r="F4" s="176"/>
      <c r="G4" s="176">
        <f>P93</f>
        <v>3.9816656417841436</v>
      </c>
      <c r="H4" s="176"/>
    </row>
    <row r="5" spans="1:8">
      <c r="A5" s="342" t="s">
        <v>156</v>
      </c>
      <c r="B5" s="343"/>
      <c r="C5" s="343"/>
      <c r="D5" s="344"/>
      <c r="E5" s="176">
        <f>N103</f>
        <v>0.58375856643356649</v>
      </c>
      <c r="F5" s="176"/>
      <c r="G5" s="176">
        <f>Q103</f>
        <v>2.4790313399469981</v>
      </c>
      <c r="H5" s="176"/>
    </row>
    <row r="6" spans="1:8">
      <c r="A6" s="342" t="s">
        <v>157</v>
      </c>
      <c r="B6" s="343"/>
      <c r="C6" s="343"/>
      <c r="D6" s="344"/>
      <c r="E6" s="176">
        <f xml:space="preserve"> L108</f>
        <v>5.0999999999999997E-2</v>
      </c>
      <c r="F6" s="176"/>
      <c r="G6" s="176">
        <f xml:space="preserve"> O108</f>
        <v>0.15839825862555476</v>
      </c>
      <c r="H6" s="176"/>
    </row>
    <row r="7" spans="1:8">
      <c r="A7" s="342" t="s">
        <v>158</v>
      </c>
      <c r="B7" s="343"/>
      <c r="C7" s="343"/>
      <c r="D7" s="344"/>
      <c r="E7" s="176">
        <f xml:space="preserve"> L113</f>
        <v>9.3600000000000003E-3</v>
      </c>
      <c r="F7" s="176"/>
      <c r="G7" s="176">
        <f>P115</f>
        <v>3.7922406623882819E-2</v>
      </c>
      <c r="H7" s="176"/>
    </row>
    <row r="8" spans="1:8">
      <c r="A8" s="342" t="s">
        <v>159</v>
      </c>
      <c r="B8" s="343"/>
      <c r="C8" s="343"/>
      <c r="D8" s="344"/>
      <c r="E8" s="176">
        <f>I123</f>
        <v>3.3</v>
      </c>
      <c r="F8" s="176"/>
      <c r="G8" s="176">
        <f>M123</f>
        <v>5.9097973985914196</v>
      </c>
      <c r="H8" s="176"/>
    </row>
    <row r="9" spans="1:8">
      <c r="A9" s="333" t="s">
        <v>160</v>
      </c>
      <c r="B9" s="334"/>
      <c r="C9" s="334"/>
      <c r="D9" s="335"/>
      <c r="E9" s="336">
        <f xml:space="preserve"> SUM(E4:F8)</f>
        <v>5.0763474820962173</v>
      </c>
      <c r="F9" s="345"/>
      <c r="G9" s="336">
        <f xml:space="preserve"> SUM(G4:H8)</f>
        <v>12.566815045572</v>
      </c>
      <c r="H9" s="345"/>
    </row>
    <row r="10" spans="1:8">
      <c r="A10" s="338" t="s">
        <v>161</v>
      </c>
      <c r="B10" s="339"/>
      <c r="C10" s="339"/>
      <c r="D10" s="340"/>
      <c r="E10" s="346">
        <f>E36</f>
        <v>3.1575748531468537E-2</v>
      </c>
      <c r="F10" s="347"/>
      <c r="G10" s="346">
        <f>F36</f>
        <v>0.54467205932761953</v>
      </c>
      <c r="H10" s="347"/>
    </row>
    <row r="11" spans="1:8">
      <c r="A11" s="342" t="s">
        <v>162</v>
      </c>
      <c r="B11" s="343"/>
      <c r="C11" s="343"/>
      <c r="D11" s="344"/>
      <c r="E11" s="176">
        <f>I142</f>
        <v>0.53</v>
      </c>
      <c r="F11" s="176"/>
      <c r="G11" s="176">
        <f>M142</f>
        <v>1.0425902193634697</v>
      </c>
      <c r="H11" s="176"/>
    </row>
    <row r="12" spans="1:8">
      <c r="A12" s="342" t="s">
        <v>163</v>
      </c>
      <c r="B12" s="343"/>
      <c r="C12" s="343"/>
      <c r="D12" s="344"/>
      <c r="E12" s="176">
        <f>I150</f>
        <v>1.0649999999999999</v>
      </c>
      <c r="F12" s="176"/>
      <c r="G12" s="176">
        <f>M150</f>
        <v>2.095016195513387</v>
      </c>
      <c r="H12" s="176"/>
    </row>
    <row r="13" spans="1:8">
      <c r="A13" s="342" t="s">
        <v>164</v>
      </c>
      <c r="B13" s="343"/>
      <c r="C13" s="343"/>
      <c r="D13" s="344"/>
      <c r="E13" s="176">
        <f>I158</f>
        <v>1.135</v>
      </c>
      <c r="F13" s="176"/>
      <c r="G13" s="176">
        <f>M158</f>
        <v>2.2327167905236571</v>
      </c>
      <c r="H13" s="176"/>
    </row>
    <row r="14" spans="1:8">
      <c r="A14" s="333" t="s">
        <v>165</v>
      </c>
      <c r="B14" s="334"/>
      <c r="C14" s="334"/>
      <c r="D14" s="335"/>
      <c r="E14" s="336">
        <f>SUM(E11:F13)</f>
        <v>2.73</v>
      </c>
      <c r="F14" s="337"/>
      <c r="G14" s="336">
        <f>SUM(G11:H13)</f>
        <v>5.3703232054005134</v>
      </c>
      <c r="H14" s="337"/>
    </row>
    <row r="15" spans="1:8">
      <c r="A15" s="338" t="s">
        <v>161</v>
      </c>
      <c r="B15" s="339"/>
      <c r="C15" s="339"/>
      <c r="D15" s="340"/>
      <c r="E15" s="341">
        <f>L36</f>
        <v>6.6884999999999986E-2</v>
      </c>
      <c r="F15" s="341"/>
      <c r="G15" s="341">
        <f>M36</f>
        <v>0.34126626539653748</v>
      </c>
      <c r="H15" s="341"/>
    </row>
    <row r="16" spans="1:8">
      <c r="A16" s="342" t="s">
        <v>166</v>
      </c>
      <c r="B16" s="343"/>
      <c r="C16" s="343"/>
      <c r="D16" s="344"/>
      <c r="E16" s="176">
        <f>M182</f>
        <v>4.6361249999999998</v>
      </c>
      <c r="F16" s="176"/>
      <c r="G16" s="176">
        <f>R182</f>
        <v>8.3025937771347404</v>
      </c>
      <c r="H16" s="176"/>
    </row>
    <row r="17" spans="1:20">
      <c r="A17" s="342" t="s">
        <v>167</v>
      </c>
      <c r="B17" s="343"/>
      <c r="C17" s="343"/>
      <c r="D17" s="344"/>
      <c r="E17" s="176">
        <f>M190</f>
        <v>0.13200000000000001</v>
      </c>
      <c r="F17" s="176"/>
      <c r="G17" s="176">
        <f>R190</f>
        <v>0.23639189594365678</v>
      </c>
      <c r="H17" s="176"/>
    </row>
    <row r="18" spans="1:20">
      <c r="A18" s="342" t="s">
        <v>168</v>
      </c>
      <c r="B18" s="343"/>
      <c r="C18" s="343"/>
      <c r="D18" s="344"/>
      <c r="E18" s="176">
        <f>M197</f>
        <v>2.5874999999999999E-2</v>
      </c>
      <c r="F18" s="176"/>
      <c r="G18" s="176">
        <f>R197</f>
        <v>4.6338184148046364E-2</v>
      </c>
      <c r="H18" s="176"/>
    </row>
    <row r="19" spans="1:20">
      <c r="A19" s="333" t="s">
        <v>169</v>
      </c>
      <c r="B19" s="334"/>
      <c r="C19" s="334"/>
      <c r="D19" s="335"/>
      <c r="E19" s="336">
        <f>SUM(E16:F18)</f>
        <v>4.7939999999999996</v>
      </c>
      <c r="F19" s="337"/>
      <c r="G19" s="336">
        <f>SUM(G16:H18)</f>
        <v>8.5853238572264434</v>
      </c>
      <c r="H19" s="337"/>
    </row>
    <row r="20" spans="1:20">
      <c r="A20" s="338" t="s">
        <v>161</v>
      </c>
      <c r="B20" s="339"/>
      <c r="C20" s="339"/>
      <c r="D20" s="340"/>
      <c r="E20" s="341">
        <f>S36</f>
        <v>0.11745299999999997</v>
      </c>
      <c r="F20" s="341"/>
      <c r="G20" s="341">
        <f>T36</f>
        <v>0.54556891604384483</v>
      </c>
      <c r="H20" s="341"/>
    </row>
    <row r="21" spans="1:20" ht="15" thickBot="1">
      <c r="A21" s="332" t="s">
        <v>10</v>
      </c>
      <c r="B21" s="332"/>
      <c r="C21" s="332"/>
      <c r="D21" s="332"/>
      <c r="E21" s="168">
        <f xml:space="preserve"> SUM(E9,E14,E19)</f>
        <v>12.600347482096218</v>
      </c>
      <c r="F21" s="168"/>
      <c r="G21" s="168">
        <f xml:space="preserve"> SUM(G9,G14,G19)</f>
        <v>26.522462108198958</v>
      </c>
      <c r="H21" s="168"/>
    </row>
    <row r="22" spans="1:20" ht="15.6" thickTop="1" thickBot="1">
      <c r="A22" s="332" t="s">
        <v>170</v>
      </c>
      <c r="B22" s="332"/>
      <c r="C22" s="332"/>
      <c r="D22" s="332"/>
      <c r="E22" s="168">
        <f xml:space="preserve"> SUM(E10,E15,E20)</f>
        <v>0.2159137485314685</v>
      </c>
      <c r="F22" s="214"/>
      <c r="G22" s="168">
        <f xml:space="preserve"> SUM(G10,G15,G20)</f>
        <v>1.4315072407680018</v>
      </c>
      <c r="H22" s="214"/>
      <c r="J22" s="69">
        <f>(G22/E22)^0.1 - 1</f>
        <v>0.20823475798369229</v>
      </c>
      <c r="K22" s="70" t="s">
        <v>171</v>
      </c>
      <c r="L22" s="70"/>
    </row>
    <row r="23" spans="1:20" ht="15.6" thickTop="1" thickBot="1">
      <c r="A23" s="330" t="s">
        <v>172</v>
      </c>
      <c r="B23" s="330"/>
      <c r="C23" s="330"/>
      <c r="D23" s="330"/>
      <c r="E23" s="331">
        <f>E22/E21</f>
        <v>1.713553922526815E-2</v>
      </c>
      <c r="F23" s="331"/>
      <c r="G23" s="331">
        <f>G22/G21</f>
        <v>5.3973391871694906E-2</v>
      </c>
      <c r="H23" s="331"/>
    </row>
    <row r="24" spans="1:20" ht="15" thickTop="1"/>
    <row r="25" spans="1:20" s="3" customFormat="1">
      <c r="A25" s="2" t="s">
        <v>11</v>
      </c>
    </row>
    <row r="26" spans="1:20" s="7" customFormat="1">
      <c r="A26" s="248" t="s">
        <v>12</v>
      </c>
      <c r="B26" s="249"/>
      <c r="C26" s="10">
        <v>0.1</v>
      </c>
      <c r="E26" s="248" t="s">
        <v>13</v>
      </c>
      <c r="F26" s="249"/>
      <c r="G26" s="11">
        <f>ASSUMPTIONS!E5</f>
        <v>2</v>
      </c>
      <c r="H26" s="8"/>
    </row>
    <row r="27" spans="1:20">
      <c r="E27" s="12"/>
      <c r="F27" s="12"/>
      <c r="G27" s="12"/>
      <c r="H27" s="12"/>
      <c r="I27" s="13"/>
    </row>
    <row r="28" spans="1:20">
      <c r="A28" s="244" t="s">
        <v>173</v>
      </c>
      <c r="B28" s="244"/>
      <c r="C28" s="244"/>
      <c r="D28" s="244"/>
      <c r="E28" s="244"/>
      <c r="F28" s="244"/>
      <c r="G28" s="14"/>
      <c r="H28" s="244" t="s">
        <v>174</v>
      </c>
      <c r="I28" s="244"/>
      <c r="J28" s="244"/>
      <c r="K28" s="244"/>
      <c r="L28" s="244"/>
      <c r="M28" s="244"/>
      <c r="O28" s="244" t="s">
        <v>175</v>
      </c>
      <c r="P28" s="244"/>
      <c r="Q28" s="244"/>
      <c r="R28" s="244"/>
      <c r="S28" s="244"/>
      <c r="T28" s="244"/>
    </row>
    <row r="29" spans="1:20">
      <c r="E29" s="14"/>
      <c r="F29" s="14"/>
      <c r="G29" s="14"/>
      <c r="L29" s="14"/>
      <c r="M29" s="14"/>
      <c r="S29" s="14"/>
      <c r="T29" s="14"/>
    </row>
    <row r="30" spans="1:20" s="7" customFormat="1">
      <c r="A30" s="329" t="s">
        <v>17</v>
      </c>
      <c r="B30" s="329"/>
      <c r="C30" s="329"/>
      <c r="D30" s="329"/>
      <c r="E30" s="329"/>
      <c r="F30" s="329"/>
      <c r="H30" s="329" t="s">
        <v>17</v>
      </c>
      <c r="I30" s="329"/>
      <c r="J30" s="329"/>
      <c r="K30" s="329"/>
      <c r="L30" s="329"/>
      <c r="M30" s="329"/>
      <c r="O30" s="329" t="s">
        <v>17</v>
      </c>
      <c r="P30" s="329"/>
      <c r="Q30" s="329"/>
      <c r="R30" s="329"/>
      <c r="S30" s="329"/>
      <c r="T30" s="329"/>
    </row>
    <row r="31" spans="1:20">
      <c r="A31" s="245" t="s">
        <v>18</v>
      </c>
      <c r="B31" s="245"/>
      <c r="C31" s="245"/>
      <c r="D31" s="245"/>
      <c r="E31" s="16">
        <v>45849</v>
      </c>
      <c r="F31" s="17">
        <f>EDATE(E31,120)</f>
        <v>49501</v>
      </c>
      <c r="H31" s="245" t="s">
        <v>18</v>
      </c>
      <c r="I31" s="245"/>
      <c r="J31" s="245"/>
      <c r="K31" s="245"/>
      <c r="L31" s="16">
        <v>45849</v>
      </c>
      <c r="M31" s="17">
        <f>EDATE(L31,120)</f>
        <v>49501</v>
      </c>
      <c r="O31" s="245" t="s">
        <v>18</v>
      </c>
      <c r="P31" s="245"/>
      <c r="Q31" s="245"/>
      <c r="R31" s="245"/>
      <c r="S31" s="16">
        <v>45849</v>
      </c>
      <c r="T31" s="17">
        <f>EDATE(S31,120)</f>
        <v>49501</v>
      </c>
    </row>
    <row r="32" spans="1:20">
      <c r="A32" s="239" t="s">
        <v>176</v>
      </c>
      <c r="B32" s="239"/>
      <c r="C32" s="239"/>
      <c r="D32" s="239"/>
      <c r="E32" s="19">
        <f xml:space="preserve"> CHOOSE($G$26,E45,E46,E47)</f>
        <v>0.78939371328671326</v>
      </c>
      <c r="F32" s="19">
        <f xml:space="preserve"> CHOOSE($G$26,F45,F46,F47)</f>
        <v>5.2498664353381841</v>
      </c>
      <c r="H32" s="239" t="s">
        <v>176</v>
      </c>
      <c r="I32" s="239"/>
      <c r="J32" s="239"/>
      <c r="K32" s="239"/>
      <c r="L32" s="19">
        <f xml:space="preserve"> CHOOSE($G$26,L45,L46,L47)</f>
        <v>0.95549999999999979</v>
      </c>
      <c r="M32" s="19">
        <f xml:space="preserve"> CHOOSE($G$26,M45,M46,M47)</f>
        <v>1.8796131218901793</v>
      </c>
      <c r="O32" s="239" t="s">
        <v>176</v>
      </c>
      <c r="P32" s="239"/>
      <c r="Q32" s="239"/>
      <c r="R32" s="239"/>
      <c r="S32" s="19">
        <f xml:space="preserve"> CHOOSE($G$26,S45,S46,S47)</f>
        <v>1.6778999999999995</v>
      </c>
      <c r="T32" s="19">
        <f xml:space="preserve"> CHOOSE($G$26,T45,T46,T47)</f>
        <v>3.0048633500292548</v>
      </c>
    </row>
    <row r="33" spans="1:20">
      <c r="A33" s="239" t="s">
        <v>177</v>
      </c>
      <c r="B33" s="239"/>
      <c r="C33" s="239"/>
      <c r="D33" s="239"/>
      <c r="E33" s="20">
        <f>CHOOSE($G$26,E50,E51,E52)</f>
        <v>0.2</v>
      </c>
      <c r="F33" s="20">
        <f xml:space="preserve"> CHOOSE($G$26,F50,F51,F52)</f>
        <v>0.2</v>
      </c>
      <c r="H33" s="239" t="s">
        <v>177</v>
      </c>
      <c r="I33" s="239"/>
      <c r="J33" s="239"/>
      <c r="K33" s="239"/>
      <c r="L33" s="20">
        <f>CHOOSE($G$26,L50,L51,L52)</f>
        <v>0.34999999999999992</v>
      </c>
      <c r="M33" s="20">
        <f xml:space="preserve"> CHOOSE($G$26,M50,M51,M52)</f>
        <v>0.34999999999999992</v>
      </c>
      <c r="O33" s="239" t="s">
        <v>177</v>
      </c>
      <c r="P33" s="239"/>
      <c r="Q33" s="239"/>
      <c r="R33" s="239"/>
      <c r="S33" s="20">
        <f xml:space="preserve"> CHOOSE(G26,S50,S51,S52)</f>
        <v>0.34999999999999992</v>
      </c>
      <c r="T33" s="20">
        <f xml:space="preserve"> CHOOSE($G$26,T50,T51,T52)</f>
        <v>0.34999999999999992</v>
      </c>
    </row>
    <row r="34" spans="1:20" ht="14.4" customHeight="1">
      <c r="A34" s="18" t="s">
        <v>178</v>
      </c>
      <c r="B34" s="18"/>
      <c r="C34" s="18"/>
      <c r="D34" s="18"/>
      <c r="E34" s="20" t="s">
        <v>179</v>
      </c>
      <c r="F34" s="20">
        <f>CHOOSE(G26,F55,F56,F57)</f>
        <v>0.1</v>
      </c>
      <c r="H34" s="18" t="s">
        <v>178</v>
      </c>
      <c r="I34" s="18"/>
      <c r="J34" s="18"/>
      <c r="K34" s="18"/>
      <c r="L34" s="20" t="s">
        <v>179</v>
      </c>
      <c r="M34" s="20">
        <f>CHOOSE($G$26,M55,M56,M57)</f>
        <v>0.10000000000000002</v>
      </c>
      <c r="O34" s="18" t="s">
        <v>178</v>
      </c>
      <c r="P34" s="18"/>
      <c r="Q34" s="18"/>
      <c r="R34" s="18"/>
      <c r="S34" s="20" t="s">
        <v>179</v>
      </c>
      <c r="T34" s="20">
        <f>CHOOSE($G$26,T55,T56,T57)</f>
        <v>0.10000000000000002</v>
      </c>
    </row>
    <row r="35" spans="1:20" ht="14.4" customHeight="1">
      <c r="A35" s="239" t="s">
        <v>180</v>
      </c>
      <c r="B35" s="239"/>
      <c r="C35" s="239"/>
      <c r="D35" s="239"/>
      <c r="E35" s="20">
        <f>CHOOSE($G$26,E60,E61,E62)</f>
        <v>0.2</v>
      </c>
      <c r="F35" s="20">
        <f>CHOOSE($G$26,F60,F61,F62)</f>
        <v>0.2</v>
      </c>
      <c r="H35" s="239" t="s">
        <v>180</v>
      </c>
      <c r="I35" s="239"/>
      <c r="J35" s="239"/>
      <c r="K35" s="239"/>
      <c r="L35" s="20">
        <f>CHOOSE($G$26,L60,L61,L62)</f>
        <v>0.20000000000000004</v>
      </c>
      <c r="M35" s="20">
        <f>CHOOSE($G$26,M60,M61,M62)</f>
        <v>0.20000000000000004</v>
      </c>
      <c r="O35" s="239" t="s">
        <v>180</v>
      </c>
      <c r="P35" s="239"/>
      <c r="Q35" s="239"/>
      <c r="R35" s="239"/>
      <c r="S35" s="20">
        <f>CHOOSE($G$26,S60,S61,S62)</f>
        <v>0.20000000000000004</v>
      </c>
      <c r="T35" s="20">
        <f>CHOOSE($G$26,T60,T61,T62)</f>
        <v>0.20000000000000004</v>
      </c>
    </row>
    <row r="36" spans="1:20" ht="15" thickBot="1">
      <c r="A36" s="242" t="s">
        <v>25</v>
      </c>
      <c r="B36" s="242"/>
      <c r="C36" s="242"/>
      <c r="D36" s="242"/>
      <c r="E36" s="21">
        <f xml:space="preserve"> E32*E35*E33</f>
        <v>3.1575748531468537E-2</v>
      </c>
      <c r="F36" s="21">
        <f>F32*F33*(1+F34)^10*F35</f>
        <v>0.54467205932761953</v>
      </c>
      <c r="G36" s="14"/>
      <c r="H36" s="242" t="s">
        <v>25</v>
      </c>
      <c r="I36" s="242"/>
      <c r="J36" s="242"/>
      <c r="K36" s="242"/>
      <c r="L36" s="21">
        <f xml:space="preserve"> L32*L35*L33</f>
        <v>6.6884999999999986E-2</v>
      </c>
      <c r="M36" s="21">
        <f>M32*M33*(1+M34)^10*M35</f>
        <v>0.34126626539653748</v>
      </c>
      <c r="O36" s="242" t="s">
        <v>25</v>
      </c>
      <c r="P36" s="242"/>
      <c r="Q36" s="242"/>
      <c r="R36" s="242"/>
      <c r="S36" s="21">
        <f xml:space="preserve"> S32*S35*S33</f>
        <v>0.11745299999999997</v>
      </c>
      <c r="T36" s="21">
        <f>T32*T33*(1+T34)^10*T35</f>
        <v>0.54556891604384483</v>
      </c>
    </row>
    <row r="37" spans="1:20" ht="15" thickTop="1">
      <c r="E37" s="14"/>
      <c r="F37" s="14"/>
      <c r="G37" s="14"/>
      <c r="L37" s="14"/>
      <c r="M37" s="14"/>
      <c r="S37" s="14"/>
      <c r="T37" s="14"/>
    </row>
    <row r="38" spans="1:20" s="7" customFormat="1">
      <c r="A38" s="15" t="s">
        <v>26</v>
      </c>
      <c r="B38" s="15"/>
      <c r="C38" s="15"/>
      <c r="D38" s="15"/>
      <c r="E38" s="15"/>
      <c r="F38" s="15"/>
      <c r="H38" s="15" t="s">
        <v>26</v>
      </c>
      <c r="I38" s="15"/>
      <c r="J38" s="15"/>
      <c r="K38" s="15"/>
      <c r="L38" s="15"/>
      <c r="M38" s="15"/>
      <c r="O38" s="15" t="s">
        <v>26</v>
      </c>
      <c r="P38" s="15"/>
      <c r="Q38" s="15"/>
      <c r="R38" s="15"/>
      <c r="S38" s="15"/>
      <c r="T38" s="15"/>
    </row>
    <row r="39" spans="1:20">
      <c r="A39" s="240" t="s">
        <v>27</v>
      </c>
      <c r="B39" s="240"/>
      <c r="C39" s="240"/>
      <c r="D39" s="240"/>
      <c r="E39" s="14"/>
      <c r="F39" s="14"/>
      <c r="G39" s="14"/>
      <c r="H39" s="240" t="s">
        <v>27</v>
      </c>
      <c r="I39" s="240"/>
      <c r="J39" s="240"/>
      <c r="K39" s="240"/>
      <c r="L39" s="14"/>
      <c r="M39" s="14"/>
      <c r="O39" s="240" t="s">
        <v>27</v>
      </c>
      <c r="P39" s="240"/>
      <c r="Q39" s="240"/>
      <c r="R39" s="240"/>
      <c r="S39" s="14"/>
      <c r="T39" s="14"/>
    </row>
    <row r="40" spans="1:20">
      <c r="A40" s="239" t="s">
        <v>30</v>
      </c>
      <c r="B40" s="239"/>
      <c r="C40" s="239"/>
      <c r="D40" s="239"/>
      <c r="E40" s="19">
        <f>E41*(1+$C$26)</f>
        <v>4.3416654230769236</v>
      </c>
      <c r="F40" s="23">
        <f>F41*(1+$C$26)</f>
        <v>9.4436643441666419</v>
      </c>
      <c r="G40" s="14"/>
      <c r="H40" s="239" t="s">
        <v>30</v>
      </c>
      <c r="I40" s="239"/>
      <c r="J40" s="239"/>
      <c r="K40" s="239"/>
      <c r="L40" s="19">
        <f>L41*(1+$C$26)</f>
        <v>3.0030000000000001</v>
      </c>
      <c r="M40" s="23">
        <f>M41*(1+$C$26)</f>
        <v>5.9073555259405657</v>
      </c>
      <c r="O40" s="239" t="s">
        <v>30</v>
      </c>
      <c r="P40" s="239"/>
      <c r="Q40" s="239"/>
      <c r="R40" s="239"/>
      <c r="S40" s="19">
        <f>S41*(1+$C$26)</f>
        <v>5.2733999999999996</v>
      </c>
      <c r="T40" s="23">
        <f>T41*(1+$C$26)</f>
        <v>9.4438562429490887</v>
      </c>
    </row>
    <row r="41" spans="1:20">
      <c r="A41" s="239" t="s">
        <v>31</v>
      </c>
      <c r="B41" s="239"/>
      <c r="C41" s="239"/>
      <c r="D41" s="239"/>
      <c r="E41" s="19">
        <f>F133</f>
        <v>3.9469685664335663</v>
      </c>
      <c r="F41" s="23">
        <f>I133</f>
        <v>8.585149403787856</v>
      </c>
      <c r="G41" s="14"/>
      <c r="H41" s="239" t="s">
        <v>31</v>
      </c>
      <c r="I41" s="239"/>
      <c r="J41" s="239"/>
      <c r="K41" s="239"/>
      <c r="L41" s="19">
        <f>F166</f>
        <v>2.73</v>
      </c>
      <c r="M41" s="23">
        <f>I166</f>
        <v>5.3703232054005134</v>
      </c>
      <c r="O41" s="239" t="s">
        <v>31</v>
      </c>
      <c r="P41" s="239"/>
      <c r="Q41" s="239"/>
      <c r="R41" s="239"/>
      <c r="S41" s="19">
        <f>F204</f>
        <v>4.7939999999999996</v>
      </c>
      <c r="T41" s="23">
        <f>I204</f>
        <v>8.5853238572264434</v>
      </c>
    </row>
    <row r="42" spans="1:20">
      <c r="A42" s="239" t="s">
        <v>32</v>
      </c>
      <c r="B42" s="239"/>
      <c r="C42" s="239"/>
      <c r="D42" s="239"/>
      <c r="E42" s="19">
        <f>E41*(1-$C$26)</f>
        <v>3.5522717097902099</v>
      </c>
      <c r="F42" s="23">
        <f>F41*(1-$C$26)</f>
        <v>7.7266344634090709</v>
      </c>
      <c r="G42" s="14"/>
      <c r="H42" s="239" t="s">
        <v>32</v>
      </c>
      <c r="I42" s="239"/>
      <c r="J42" s="239"/>
      <c r="K42" s="239"/>
      <c r="L42" s="19">
        <f>L41*(1-$C$26)</f>
        <v>2.4569999999999999</v>
      </c>
      <c r="M42" s="23">
        <f>M41*(1-$C$26)</f>
        <v>4.8332908848604621</v>
      </c>
      <c r="O42" s="239" t="s">
        <v>32</v>
      </c>
      <c r="P42" s="239"/>
      <c r="Q42" s="239"/>
      <c r="R42" s="239"/>
      <c r="S42" s="19">
        <f>S41*(1-$C$26)</f>
        <v>4.3145999999999995</v>
      </c>
      <c r="T42" s="23">
        <f>T41*(1-$C$26)</f>
        <v>7.7267914715037991</v>
      </c>
    </row>
    <row r="43" spans="1:20">
      <c r="E43" s="14"/>
      <c r="F43" s="14"/>
      <c r="G43" s="14"/>
      <c r="L43" s="14"/>
      <c r="M43" s="14"/>
      <c r="S43" s="14"/>
      <c r="T43" s="14"/>
    </row>
    <row r="44" spans="1:20">
      <c r="A44" s="240" t="s">
        <v>181</v>
      </c>
      <c r="B44" s="240"/>
      <c r="C44" s="240"/>
      <c r="D44" s="240"/>
      <c r="E44" s="14"/>
      <c r="F44" s="14"/>
      <c r="G44" s="14"/>
      <c r="H44" s="240" t="s">
        <v>181</v>
      </c>
      <c r="I44" s="240"/>
      <c r="J44" s="240"/>
      <c r="K44" s="240"/>
      <c r="L44" s="14"/>
      <c r="M44" s="14"/>
      <c r="O44" s="240" t="s">
        <v>181</v>
      </c>
      <c r="P44" s="240"/>
      <c r="Q44" s="240"/>
      <c r="R44" s="240"/>
      <c r="S44" s="14"/>
      <c r="T44" s="14"/>
    </row>
    <row r="45" spans="1:20">
      <c r="A45" s="239" t="s">
        <v>30</v>
      </c>
      <c r="B45" s="239"/>
      <c r="C45" s="239"/>
      <c r="D45" s="239"/>
      <c r="E45" s="19">
        <f>E46*(1+$C$26)</f>
        <v>0.86833308461538461</v>
      </c>
      <c r="F45" s="23">
        <f>F46*(1+$C$26)</f>
        <v>5.7748530788720034</v>
      </c>
      <c r="G45" s="14"/>
      <c r="H45" s="239" t="s">
        <v>30</v>
      </c>
      <c r="I45" s="239"/>
      <c r="J45" s="239"/>
      <c r="K45" s="239"/>
      <c r="L45" s="19">
        <f>L46*(1+$C$26)</f>
        <v>1.0510499999999998</v>
      </c>
      <c r="M45" s="23">
        <f>M46*(1+$C$26)</f>
        <v>2.0675744340791975</v>
      </c>
      <c r="O45" s="239" t="s">
        <v>30</v>
      </c>
      <c r="P45" s="239"/>
      <c r="Q45" s="239"/>
      <c r="R45" s="239"/>
      <c r="S45" s="19">
        <f>S46*(1+$C$26)</f>
        <v>1.8456899999999996</v>
      </c>
      <c r="T45" s="23">
        <f>T46*(1+$C$26)</f>
        <v>3.3053496850321804</v>
      </c>
    </row>
    <row r="46" spans="1:20">
      <c r="A46" s="239" t="s">
        <v>31</v>
      </c>
      <c r="B46" s="239"/>
      <c r="C46" s="239"/>
      <c r="D46" s="239"/>
      <c r="E46" s="19">
        <f>E41*E51</f>
        <v>0.78939371328671326</v>
      </c>
      <c r="F46" s="23">
        <f>R133</f>
        <v>5.2498664353381841</v>
      </c>
      <c r="G46" s="14"/>
      <c r="H46" s="239" t="s">
        <v>31</v>
      </c>
      <c r="I46" s="239"/>
      <c r="J46" s="239"/>
      <c r="K46" s="239"/>
      <c r="L46" s="19">
        <f>L41*L51</f>
        <v>0.95549999999999979</v>
      </c>
      <c r="M46" s="23">
        <f>M41*M51</f>
        <v>1.8796131218901793</v>
      </c>
      <c r="O46" s="239" t="s">
        <v>31</v>
      </c>
      <c r="P46" s="239"/>
      <c r="Q46" s="239"/>
      <c r="R46" s="239"/>
      <c r="S46" s="19">
        <f>S41*S51</f>
        <v>1.6778999999999995</v>
      </c>
      <c r="T46" s="23">
        <f>R204</f>
        <v>3.0048633500292548</v>
      </c>
    </row>
    <row r="47" spans="1:20">
      <c r="A47" s="239" t="s">
        <v>32</v>
      </c>
      <c r="B47" s="239"/>
      <c r="C47" s="239"/>
      <c r="D47" s="239"/>
      <c r="E47" s="19">
        <f>E46*(1-$C$26)</f>
        <v>0.71045434195804191</v>
      </c>
      <c r="F47" s="23">
        <f>F46*(1-$C$26)</f>
        <v>4.7248797918043657</v>
      </c>
      <c r="G47" s="14"/>
      <c r="H47" s="239" t="s">
        <v>32</v>
      </c>
      <c r="I47" s="239"/>
      <c r="J47" s="239"/>
      <c r="K47" s="239"/>
      <c r="L47" s="19">
        <f>L46*(1-$C$26)</f>
        <v>0.85994999999999988</v>
      </c>
      <c r="M47" s="23">
        <f>M46*(1-$C$26)</f>
        <v>1.6916518097011615</v>
      </c>
      <c r="O47" s="239" t="s">
        <v>32</v>
      </c>
      <c r="P47" s="239"/>
      <c r="Q47" s="239"/>
      <c r="R47" s="239"/>
      <c r="S47" s="19">
        <f>S46*(1-$C$26)</f>
        <v>1.5101099999999996</v>
      </c>
      <c r="T47" s="23">
        <f>T46*(1-$C$26)</f>
        <v>2.7043770150263295</v>
      </c>
    </row>
    <row r="48" spans="1:20">
      <c r="E48" s="14"/>
      <c r="F48" s="14"/>
      <c r="G48" s="14"/>
      <c r="L48" s="14"/>
      <c r="M48" s="14"/>
      <c r="S48" s="14"/>
      <c r="T48" s="14"/>
    </row>
    <row r="49" spans="1:27">
      <c r="A49" s="240" t="s">
        <v>182</v>
      </c>
      <c r="B49" s="240"/>
      <c r="C49" s="240"/>
      <c r="D49" s="240"/>
      <c r="E49" s="14"/>
      <c r="F49" s="14"/>
      <c r="G49" s="14"/>
      <c r="H49" s="240" t="s">
        <v>182</v>
      </c>
      <c r="I49" s="240"/>
      <c r="J49" s="240"/>
      <c r="K49" s="240"/>
      <c r="L49" s="14"/>
      <c r="M49" s="14"/>
      <c r="O49" s="240" t="s">
        <v>182</v>
      </c>
      <c r="P49" s="240"/>
      <c r="Q49" s="240"/>
      <c r="R49" s="240"/>
      <c r="S49" s="14"/>
      <c r="T49" s="14"/>
    </row>
    <row r="50" spans="1:27">
      <c r="A50" s="239" t="s">
        <v>30</v>
      </c>
      <c r="B50" s="239"/>
      <c r="C50" s="239"/>
      <c r="D50" s="239"/>
      <c r="E50" s="19">
        <f>E51*(1+$C$26)</f>
        <v>0.22000000000000003</v>
      </c>
      <c r="F50" s="23">
        <f>F51*(1+$C$26)</f>
        <v>0.22000000000000003</v>
      </c>
      <c r="G50" s="14"/>
      <c r="H50" s="239" t="s">
        <v>30</v>
      </c>
      <c r="I50" s="239"/>
      <c r="J50" s="239"/>
      <c r="K50" s="239"/>
      <c r="L50" s="19">
        <f>L51*(1+$C$26)</f>
        <v>0.38499999999999995</v>
      </c>
      <c r="M50" s="23">
        <f>M51*(1+$C$26)</f>
        <v>0.38499999999999995</v>
      </c>
      <c r="O50" s="239" t="s">
        <v>30</v>
      </c>
      <c r="P50" s="239"/>
      <c r="Q50" s="239"/>
      <c r="R50" s="239"/>
      <c r="S50" s="19">
        <f>S51*(1+$C$26)</f>
        <v>0.38499999999999995</v>
      </c>
      <c r="T50" s="23">
        <f>T51*(1+$C$26)</f>
        <v>0.38499999999999995</v>
      </c>
    </row>
    <row r="51" spans="1:27">
      <c r="A51" s="239" t="s">
        <v>31</v>
      </c>
      <c r="B51" s="239"/>
      <c r="C51" s="239"/>
      <c r="D51" s="239"/>
      <c r="E51" s="19">
        <f>L133</f>
        <v>0.2</v>
      </c>
      <c r="F51" s="23">
        <f>L133</f>
        <v>0.2</v>
      </c>
      <c r="G51" s="14"/>
      <c r="H51" s="239" t="s">
        <v>31</v>
      </c>
      <c r="I51" s="239"/>
      <c r="J51" s="239"/>
      <c r="K51" s="239"/>
      <c r="L51" s="19">
        <f>L166</f>
        <v>0.34999999999999992</v>
      </c>
      <c r="M51" s="23">
        <f>L166</f>
        <v>0.34999999999999992</v>
      </c>
      <c r="O51" s="239" t="s">
        <v>31</v>
      </c>
      <c r="P51" s="239"/>
      <c r="Q51" s="239"/>
      <c r="R51" s="239"/>
      <c r="S51" s="19">
        <f>L204</f>
        <v>0.34999999999999992</v>
      </c>
      <c r="T51" s="23">
        <f>L204</f>
        <v>0.34999999999999992</v>
      </c>
    </row>
    <row r="52" spans="1:27">
      <c r="A52" s="239" t="s">
        <v>32</v>
      </c>
      <c r="B52" s="239"/>
      <c r="C52" s="239"/>
      <c r="D52" s="239"/>
      <c r="E52" s="19">
        <f>E51*(1-$C$26)</f>
        <v>0.18000000000000002</v>
      </c>
      <c r="F52" s="23">
        <f>F51*(1-$C$26)</f>
        <v>0.18000000000000002</v>
      </c>
      <c r="H52" s="239" t="s">
        <v>32</v>
      </c>
      <c r="I52" s="239"/>
      <c r="J52" s="239"/>
      <c r="K52" s="239"/>
      <c r="L52" s="19">
        <f>L51*(1-$C$26)</f>
        <v>0.31499999999999995</v>
      </c>
      <c r="M52" s="23">
        <f>M51*(1-$C$26)</f>
        <v>0.31499999999999995</v>
      </c>
      <c r="O52" s="239" t="s">
        <v>32</v>
      </c>
      <c r="P52" s="239"/>
      <c r="Q52" s="239"/>
      <c r="R52" s="239"/>
      <c r="S52" s="19">
        <f>S51*(1-$C$26)</f>
        <v>0.31499999999999995</v>
      </c>
      <c r="T52" s="23">
        <f>T51*(1-$C$26)</f>
        <v>0.31499999999999995</v>
      </c>
    </row>
    <row r="53" spans="1:27">
      <c r="A53" s="25"/>
      <c r="B53" s="25"/>
      <c r="C53" s="25"/>
      <c r="D53" s="25"/>
      <c r="E53" s="13"/>
      <c r="F53" s="13"/>
      <c r="H53" s="25"/>
      <c r="I53" s="25"/>
      <c r="J53" s="25"/>
      <c r="K53" s="25"/>
      <c r="L53" s="13"/>
      <c r="M53" s="13"/>
      <c r="O53" s="25"/>
      <c r="P53" s="25"/>
      <c r="Q53" s="25"/>
      <c r="R53" s="25"/>
      <c r="S53" s="13"/>
      <c r="T53" s="13"/>
    </row>
    <row r="54" spans="1:27">
      <c r="A54" s="240" t="s">
        <v>183</v>
      </c>
      <c r="B54" s="240"/>
      <c r="C54" s="240"/>
      <c r="D54" s="240"/>
      <c r="E54" s="240"/>
      <c r="F54" s="14"/>
      <c r="G54" s="14"/>
      <c r="H54" s="240" t="s">
        <v>183</v>
      </c>
      <c r="I54" s="240"/>
      <c r="J54" s="240"/>
      <c r="K54" s="240"/>
      <c r="L54" s="240"/>
      <c r="M54" s="14"/>
      <c r="O54" s="240" t="s">
        <v>183</v>
      </c>
      <c r="P54" s="240"/>
      <c r="Q54" s="240"/>
      <c r="R54" s="240"/>
      <c r="S54" s="240"/>
      <c r="T54" s="14"/>
    </row>
    <row r="55" spans="1:27">
      <c r="A55" s="239" t="s">
        <v>30</v>
      </c>
      <c r="B55" s="239"/>
      <c r="C55" s="239"/>
      <c r="D55" s="239"/>
      <c r="E55" s="19" t="s">
        <v>179</v>
      </c>
      <c r="F55" s="23">
        <f>F56*(1+$C$26)</f>
        <v>0.11000000000000001</v>
      </c>
      <c r="G55" s="14"/>
      <c r="H55" s="239" t="s">
        <v>30</v>
      </c>
      <c r="I55" s="239"/>
      <c r="J55" s="239"/>
      <c r="K55" s="239"/>
      <c r="L55" s="19" t="s">
        <v>179</v>
      </c>
      <c r="M55" s="23">
        <f>M56*(1+$C$26)</f>
        <v>0.11000000000000003</v>
      </c>
      <c r="O55" s="239" t="s">
        <v>30</v>
      </c>
      <c r="P55" s="239"/>
      <c r="Q55" s="239"/>
      <c r="R55" s="239"/>
      <c r="S55" s="19" t="s">
        <v>179</v>
      </c>
      <c r="T55" s="23">
        <f>T56*(1+$C$26)</f>
        <v>0.11000000000000003</v>
      </c>
    </row>
    <row r="56" spans="1:27">
      <c r="A56" s="239" t="s">
        <v>31</v>
      </c>
      <c r="B56" s="239"/>
      <c r="C56" s="239"/>
      <c r="D56" s="239"/>
      <c r="E56" s="19" t="s">
        <v>179</v>
      </c>
      <c r="F56" s="23">
        <f>AA133</f>
        <v>0.1</v>
      </c>
      <c r="G56" s="14"/>
      <c r="H56" s="239" t="s">
        <v>31</v>
      </c>
      <c r="I56" s="239"/>
      <c r="J56" s="239"/>
      <c r="K56" s="239"/>
      <c r="L56" s="19" t="s">
        <v>179</v>
      </c>
      <c r="M56" s="23">
        <f>AA166</f>
        <v>0.10000000000000002</v>
      </c>
      <c r="O56" s="239" t="s">
        <v>31</v>
      </c>
      <c r="P56" s="239"/>
      <c r="Q56" s="239"/>
      <c r="R56" s="239"/>
      <c r="S56" s="19" t="s">
        <v>179</v>
      </c>
      <c r="T56" s="23">
        <f>AA204</f>
        <v>0.10000000000000002</v>
      </c>
    </row>
    <row r="57" spans="1:27">
      <c r="A57" s="239" t="s">
        <v>32</v>
      </c>
      <c r="B57" s="239"/>
      <c r="C57" s="239"/>
      <c r="D57" s="239"/>
      <c r="E57" s="19" t="s">
        <v>179</v>
      </c>
      <c r="F57" s="23">
        <f>F56*(1-$C$26)</f>
        <v>9.0000000000000011E-2</v>
      </c>
      <c r="H57" s="239" t="s">
        <v>32</v>
      </c>
      <c r="I57" s="239"/>
      <c r="J57" s="239"/>
      <c r="K57" s="239"/>
      <c r="L57" s="19" t="s">
        <v>179</v>
      </c>
      <c r="M57" s="23">
        <f>M56*(1-$C$26)</f>
        <v>9.0000000000000024E-2</v>
      </c>
      <c r="O57" s="239" t="s">
        <v>32</v>
      </c>
      <c r="P57" s="239"/>
      <c r="Q57" s="239"/>
      <c r="R57" s="239"/>
      <c r="S57" s="19" t="s">
        <v>179</v>
      </c>
      <c r="T57" s="23">
        <f>T56*(1-$C$26)</f>
        <v>9.0000000000000024E-2</v>
      </c>
    </row>
    <row r="58" spans="1:27">
      <c r="E58" s="14"/>
      <c r="F58" s="14"/>
      <c r="G58" s="14"/>
      <c r="L58" s="14"/>
      <c r="M58" s="14"/>
      <c r="S58" s="14"/>
      <c r="T58" s="14"/>
    </row>
    <row r="59" spans="1:27">
      <c r="A59" s="240" t="s">
        <v>184</v>
      </c>
      <c r="B59" s="240"/>
      <c r="C59" s="240"/>
      <c r="D59" s="240"/>
      <c r="E59" s="14"/>
      <c r="F59" s="14"/>
      <c r="G59" s="14"/>
      <c r="H59" s="240" t="s">
        <v>184</v>
      </c>
      <c r="I59" s="240"/>
      <c r="J59" s="240"/>
      <c r="K59" s="240"/>
      <c r="L59" s="14"/>
      <c r="M59" s="14"/>
      <c r="O59" s="240" t="s">
        <v>184</v>
      </c>
      <c r="P59" s="240"/>
      <c r="Q59" s="240"/>
      <c r="R59" s="240"/>
      <c r="S59" s="14"/>
      <c r="T59" s="14"/>
    </row>
    <row r="60" spans="1:27">
      <c r="A60" s="239" t="s">
        <v>30</v>
      </c>
      <c r="B60" s="239"/>
      <c r="C60" s="239"/>
      <c r="D60" s="239"/>
      <c r="E60" s="19">
        <f>E61*(1+$C$26)</f>
        <v>0.22000000000000003</v>
      </c>
      <c r="F60" s="23">
        <f>F61*(1+$C$26)</f>
        <v>0.22000000000000003</v>
      </c>
      <c r="G60" s="14"/>
      <c r="H60" s="239" t="s">
        <v>30</v>
      </c>
      <c r="I60" s="239"/>
      <c r="J60" s="239"/>
      <c r="K60" s="239"/>
      <c r="L60" s="19">
        <f>L61*(1+$C$26)</f>
        <v>0.22000000000000006</v>
      </c>
      <c r="M60" s="23">
        <f>M61*(1+$C$26)</f>
        <v>0.22000000000000006</v>
      </c>
      <c r="O60" s="239" t="s">
        <v>30</v>
      </c>
      <c r="P60" s="239"/>
      <c r="Q60" s="239"/>
      <c r="R60" s="239"/>
      <c r="S60" s="19">
        <f>S61*(1+$C$26)</f>
        <v>0.22000000000000006</v>
      </c>
      <c r="T60" s="23">
        <f>T61*(1+$C$26)</f>
        <v>0.22000000000000006</v>
      </c>
    </row>
    <row r="61" spans="1:27">
      <c r="A61" s="239" t="s">
        <v>31</v>
      </c>
      <c r="B61" s="239"/>
      <c r="C61" s="239"/>
      <c r="D61" s="239"/>
      <c r="E61" s="19">
        <f>V133</f>
        <v>0.2</v>
      </c>
      <c r="F61" s="23">
        <f>V133</f>
        <v>0.2</v>
      </c>
      <c r="G61" s="14"/>
      <c r="H61" s="239" t="s">
        <v>31</v>
      </c>
      <c r="I61" s="239"/>
      <c r="J61" s="239"/>
      <c r="K61" s="239"/>
      <c r="L61" s="19">
        <f>V166</f>
        <v>0.20000000000000004</v>
      </c>
      <c r="M61" s="23">
        <f>V166</f>
        <v>0.20000000000000004</v>
      </c>
      <c r="O61" s="239" t="s">
        <v>31</v>
      </c>
      <c r="P61" s="239"/>
      <c r="Q61" s="239"/>
      <c r="R61" s="239"/>
      <c r="S61" s="19">
        <f>V204</f>
        <v>0.20000000000000004</v>
      </c>
      <c r="T61" s="23">
        <f>V204</f>
        <v>0.20000000000000004</v>
      </c>
    </row>
    <row r="62" spans="1:27">
      <c r="A62" s="239" t="s">
        <v>32</v>
      </c>
      <c r="B62" s="239"/>
      <c r="C62" s="239"/>
      <c r="D62" s="239"/>
      <c r="E62" s="19">
        <f>E61*(1-$C$26)</f>
        <v>0.18000000000000002</v>
      </c>
      <c r="F62" s="23">
        <f>F61*(1-$C$26)</f>
        <v>0.18000000000000002</v>
      </c>
      <c r="H62" s="239" t="s">
        <v>32</v>
      </c>
      <c r="I62" s="239"/>
      <c r="J62" s="239"/>
      <c r="K62" s="239"/>
      <c r="L62" s="19">
        <f>L61*(1-$C$26)</f>
        <v>0.18000000000000005</v>
      </c>
      <c r="M62" s="23">
        <f>M61*(1-$C$26)</f>
        <v>0.18000000000000005</v>
      </c>
      <c r="O62" s="239" t="s">
        <v>32</v>
      </c>
      <c r="P62" s="239"/>
      <c r="Q62" s="239"/>
      <c r="R62" s="239"/>
      <c r="S62" s="19">
        <f>S61*(1-$C$26)</f>
        <v>0.18000000000000005</v>
      </c>
      <c r="T62" s="23">
        <f>T61*(1-$C$26)</f>
        <v>0.18000000000000005</v>
      </c>
    </row>
    <row r="63" spans="1:27">
      <c r="E63" s="14"/>
      <c r="F63" s="14"/>
      <c r="G63" s="14"/>
      <c r="L63" s="14"/>
      <c r="M63" s="14"/>
      <c r="S63" s="14"/>
      <c r="T63" s="14"/>
      <c r="Z63" s="14"/>
      <c r="AA63" s="14"/>
    </row>
    <row r="64" spans="1:27" s="3" customFormat="1">
      <c r="A64" s="2" t="s">
        <v>39</v>
      </c>
    </row>
    <row r="65" spans="12:16" ht="15" thickBot="1"/>
    <row r="66" spans="12:16" ht="41.4">
      <c r="L66" s="71" t="s">
        <v>40</v>
      </c>
      <c r="M66" s="72" t="s">
        <v>185</v>
      </c>
      <c r="N66" s="72" t="s">
        <v>186</v>
      </c>
      <c r="O66" s="72" t="s">
        <v>187</v>
      </c>
      <c r="P66" s="72" t="s">
        <v>188</v>
      </c>
    </row>
    <row r="67" spans="12:16">
      <c r="L67" s="28" t="s">
        <v>44</v>
      </c>
      <c r="M67" s="73">
        <v>10000</v>
      </c>
      <c r="N67" s="73">
        <v>10000</v>
      </c>
      <c r="O67" s="73">
        <v>10000</v>
      </c>
      <c r="P67" s="73">
        <v>10000</v>
      </c>
    </row>
    <row r="68" spans="12:16" s="7" customFormat="1">
      <c r="L68" s="28" t="s">
        <v>45</v>
      </c>
      <c r="M68" s="30">
        <v>3.1615999999999998E-2</v>
      </c>
      <c r="N68" s="30">
        <v>6.7668000000000006E-2</v>
      </c>
      <c r="O68" s="30">
        <v>0.118848</v>
      </c>
      <c r="P68" s="31">
        <v>0.21813199999999999</v>
      </c>
    </row>
    <row r="69" spans="12:16" s="7" customFormat="1">
      <c r="L69" s="28" t="s">
        <v>46</v>
      </c>
      <c r="M69" s="30">
        <v>2.2529999999999998E-3</v>
      </c>
      <c r="N69" s="30">
        <v>4.8060000000000004E-3</v>
      </c>
      <c r="O69" s="30">
        <v>8.4790000000000004E-3</v>
      </c>
      <c r="P69" s="31">
        <v>9.9609999999999994E-3</v>
      </c>
    </row>
    <row r="70" spans="12:16">
      <c r="L70" s="28" t="s">
        <v>47</v>
      </c>
      <c r="M70" s="30">
        <v>2.4421999999999999E-2</v>
      </c>
      <c r="N70" s="30">
        <v>5.3782999999999997E-2</v>
      </c>
      <c r="O70" s="30">
        <v>9.4385999999999998E-2</v>
      </c>
      <c r="P70" s="31">
        <v>0.18565400000000001</v>
      </c>
    </row>
    <row r="71" spans="12:16">
      <c r="L71" s="32">
        <v>0.05</v>
      </c>
      <c r="M71" s="30">
        <v>2.8028000000000001E-2</v>
      </c>
      <c r="N71" s="30">
        <v>5.9963000000000002E-2</v>
      </c>
      <c r="O71" s="30">
        <v>0.105562</v>
      </c>
      <c r="P71" s="31">
        <v>0.20230899999999999</v>
      </c>
    </row>
    <row r="72" spans="12:16">
      <c r="L72" s="32">
        <v>0.5</v>
      </c>
      <c r="M72" s="30">
        <v>3.1544000000000003E-2</v>
      </c>
      <c r="N72" s="30">
        <v>6.7516999999999994E-2</v>
      </c>
      <c r="O72" s="30">
        <v>0.11844399999999999</v>
      </c>
      <c r="P72" s="31">
        <v>0.21782799999999999</v>
      </c>
    </row>
    <row r="73" spans="12:16">
      <c r="L73" s="32">
        <v>0.95</v>
      </c>
      <c r="M73" s="30">
        <v>3.5392E-2</v>
      </c>
      <c r="N73" s="30">
        <v>7.5712000000000002E-2</v>
      </c>
      <c r="O73" s="30">
        <v>0.133301</v>
      </c>
      <c r="P73" s="31">
        <v>0.23508899999999999</v>
      </c>
    </row>
    <row r="74" spans="12:16">
      <c r="L74" s="28" t="s">
        <v>48</v>
      </c>
      <c r="M74" s="30">
        <v>4.0686E-2</v>
      </c>
      <c r="N74" s="30">
        <v>8.5273000000000002E-2</v>
      </c>
      <c r="O74" s="30">
        <v>0.151507</v>
      </c>
      <c r="P74" s="31">
        <v>0.25439699999999998</v>
      </c>
    </row>
    <row r="75" spans="12:16" s="7" customFormat="1"/>
    <row r="76" spans="12:16" s="7" customFormat="1"/>
    <row r="79" spans="12:16" s="7" customFormat="1"/>
    <row r="80" spans="12:16" s="7" customFormat="1"/>
    <row r="81" spans="1:19" s="7" customFormat="1"/>
    <row r="82" spans="1:19" s="7" customFormat="1"/>
    <row r="83" spans="1:19" s="7" customFormat="1"/>
    <row r="84" spans="1:19" s="7" customFormat="1"/>
    <row r="85" spans="1:19" s="3" customFormat="1">
      <c r="A85" s="2" t="s">
        <v>49</v>
      </c>
    </row>
    <row r="86" spans="1:19" s="75" customFormat="1">
      <c r="A86" s="74" t="s">
        <v>189</v>
      </c>
    </row>
    <row r="87" spans="1:19" s="33" customFormat="1">
      <c r="A87" s="33" t="s">
        <v>190</v>
      </c>
    </row>
    <row r="88" spans="1:19" s="35" customFormat="1">
      <c r="A88" s="35" t="s">
        <v>69</v>
      </c>
    </row>
    <row r="89" spans="1:19">
      <c r="A89" s="76" t="s">
        <v>191</v>
      </c>
      <c r="B89" s="327" t="s">
        <v>192</v>
      </c>
      <c r="C89" s="327"/>
      <c r="D89" s="327"/>
      <c r="E89" s="327" t="s">
        <v>193</v>
      </c>
      <c r="F89" s="327"/>
      <c r="G89" s="327" t="s">
        <v>194</v>
      </c>
      <c r="H89" s="327"/>
      <c r="I89" s="327"/>
      <c r="J89" s="328" t="s">
        <v>195</v>
      </c>
      <c r="K89" s="328"/>
      <c r="L89" s="76" t="s">
        <v>196</v>
      </c>
      <c r="M89" s="76"/>
      <c r="N89" s="328" t="s">
        <v>197</v>
      </c>
      <c r="O89" s="328"/>
      <c r="P89" s="328" t="s">
        <v>198</v>
      </c>
      <c r="Q89" s="328"/>
    </row>
    <row r="90" spans="1:19">
      <c r="A90" s="49" t="s">
        <v>199</v>
      </c>
      <c r="B90" s="176">
        <f>'[2]Assumption links'!Q5</f>
        <v>1.3</v>
      </c>
      <c r="C90" s="176"/>
      <c r="D90" s="176"/>
      <c r="E90" s="171">
        <f>'[2]Assumption links'!B10/1000000</f>
        <v>1.4</v>
      </c>
      <c r="F90" s="171"/>
      <c r="G90" s="325">
        <v>0.3</v>
      </c>
      <c r="H90" s="325"/>
      <c r="I90" s="325"/>
      <c r="J90" s="326">
        <v>0.08</v>
      </c>
      <c r="K90" s="326"/>
      <c r="L90" s="326">
        <v>0.05</v>
      </c>
      <c r="M90" s="326"/>
      <c r="N90" s="176">
        <f xml:space="preserve"> B90*E90*G90/83*100</f>
        <v>0.65783132530120481</v>
      </c>
      <c r="O90" s="176"/>
      <c r="P90" s="176">
        <f>N90*(1+J90)^10*((1+L90)^10)</f>
        <v>2.3133699818187203</v>
      </c>
      <c r="Q90" s="176"/>
    </row>
    <row r="91" spans="1:19">
      <c r="A91" s="49" t="s">
        <v>200</v>
      </c>
      <c r="B91" s="176">
        <f>'[2]Assumption links'!Q6</f>
        <v>0.25</v>
      </c>
      <c r="C91" s="176"/>
      <c r="D91" s="176"/>
      <c r="E91" s="171">
        <f>'[2]Assumption links'!B11/1000000</f>
        <v>3.3</v>
      </c>
      <c r="F91" s="171"/>
      <c r="G91" s="325">
        <v>0.3</v>
      </c>
      <c r="H91" s="325"/>
      <c r="I91" s="325"/>
      <c r="J91" s="326">
        <v>0.08</v>
      </c>
      <c r="K91" s="326"/>
      <c r="L91" s="326">
        <v>0.05</v>
      </c>
      <c r="M91" s="326"/>
      <c r="N91" s="176">
        <f t="shared" ref="N91:N92" si="0" xml:space="preserve"> B91*E91*G91/83*100</f>
        <v>0.29819277108433728</v>
      </c>
      <c r="O91" s="176"/>
      <c r="P91" s="176">
        <f t="shared" ref="P91:P92" si="1">N91*(1+J91)^10*((1+L91)^10)</f>
        <v>1.0486429862639803</v>
      </c>
      <c r="Q91" s="176"/>
    </row>
    <row r="92" spans="1:19">
      <c r="A92" s="49" t="s">
        <v>201</v>
      </c>
      <c r="B92" s="176">
        <f>'[2]Assumption links'!Q7</f>
        <v>0.375</v>
      </c>
      <c r="C92" s="176"/>
      <c r="D92" s="176"/>
      <c r="E92" s="171">
        <f>'[2]Assumption links'!B12/1000000</f>
        <v>1.3</v>
      </c>
      <c r="F92" s="171"/>
      <c r="G92" s="325">
        <v>0.3</v>
      </c>
      <c r="H92" s="325"/>
      <c r="I92" s="325"/>
      <c r="J92" s="326">
        <v>0.08</v>
      </c>
      <c r="K92" s="326"/>
      <c r="L92" s="326">
        <v>0.05</v>
      </c>
      <c r="M92" s="326"/>
      <c r="N92" s="176">
        <f t="shared" si="0"/>
        <v>0.17620481927710846</v>
      </c>
      <c r="O92" s="176"/>
      <c r="P92" s="176">
        <f t="shared" si="1"/>
        <v>0.61965267370144306</v>
      </c>
      <c r="Q92" s="176"/>
    </row>
    <row r="93" spans="1:19" ht="15" thickBot="1">
      <c r="A93" s="77" t="s">
        <v>10</v>
      </c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323">
        <f>SUM(N90:O92)</f>
        <v>1.1322289156626506</v>
      </c>
      <c r="O93" s="323"/>
      <c r="P93" s="324">
        <f xml:space="preserve"> SUM(P90:Q92)</f>
        <v>3.9816656417841436</v>
      </c>
      <c r="Q93" s="324"/>
    </row>
    <row r="94" spans="1:19" ht="15" thickTop="1"/>
    <row r="95" spans="1:19">
      <c r="A95" s="78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9"/>
      <c r="P95" s="79"/>
      <c r="Q95" s="78"/>
      <c r="R95" s="80"/>
      <c r="S95" s="80"/>
    </row>
    <row r="96" spans="1:19" s="33" customFormat="1">
      <c r="A96" s="33" t="s">
        <v>202</v>
      </c>
    </row>
    <row r="97" spans="1:18" s="35" customFormat="1">
      <c r="A97" s="35" t="s">
        <v>69</v>
      </c>
    </row>
    <row r="98" spans="1:18">
      <c r="A98" s="158" t="s">
        <v>203</v>
      </c>
      <c r="B98" s="158"/>
      <c r="C98" s="280" t="s">
        <v>204</v>
      </c>
      <c r="D98" s="280"/>
      <c r="E98" s="280"/>
      <c r="F98" s="280"/>
      <c r="G98" s="280" t="s">
        <v>205</v>
      </c>
      <c r="H98" s="280"/>
      <c r="I98" s="280" t="s">
        <v>206</v>
      </c>
      <c r="J98" s="280"/>
      <c r="K98" s="177" t="s">
        <v>207</v>
      </c>
      <c r="L98" s="177"/>
      <c r="M98" s="177"/>
      <c r="N98" s="177" t="s">
        <v>208</v>
      </c>
      <c r="O98" s="177"/>
      <c r="P98" s="51" t="s">
        <v>4</v>
      </c>
      <c r="Q98" s="177" t="s">
        <v>209</v>
      </c>
      <c r="R98" s="177"/>
    </row>
    <row r="99" spans="1:18">
      <c r="A99" s="321" t="s">
        <v>210</v>
      </c>
      <c r="B99" s="321"/>
      <c r="C99" s="202" t="s">
        <v>211</v>
      </c>
      <c r="D99" s="278"/>
      <c r="E99" s="278"/>
      <c r="F99" s="203"/>
      <c r="G99" s="202">
        <f>'[2]Assumption links'!H34</f>
        <v>19000</v>
      </c>
      <c r="H99" s="203"/>
      <c r="I99" s="202">
        <f>'[2]Assumption links'!K34</f>
        <v>22500</v>
      </c>
      <c r="J99" s="203"/>
      <c r="K99" s="167">
        <f>'[2]Assumption links'!$B$30</f>
        <v>0.44965034965034967</v>
      </c>
      <c r="L99" s="167"/>
      <c r="M99" s="167"/>
      <c r="N99" s="322">
        <f xml:space="preserve"> G99*I99*K99/1000000000</f>
        <v>0.19222552447552449</v>
      </c>
      <c r="O99" s="322"/>
      <c r="P99" s="81">
        <v>0.08</v>
      </c>
      <c r="Q99" s="211">
        <f xml:space="preserve"> N99*(1+P99)^10</f>
        <v>0.41500048990408189</v>
      </c>
      <c r="R99" s="211"/>
    </row>
    <row r="100" spans="1:18">
      <c r="A100" s="321" t="s">
        <v>212</v>
      </c>
      <c r="B100" s="321"/>
      <c r="C100" s="202" t="s">
        <v>213</v>
      </c>
      <c r="D100" s="278"/>
      <c r="E100" s="278"/>
      <c r="F100" s="203"/>
      <c r="G100" s="202">
        <f>'[2]Assumption links'!H35</f>
        <v>7500</v>
      </c>
      <c r="H100" s="203"/>
      <c r="I100" s="202">
        <f>'[2]Assumption links'!K35</f>
        <v>32500</v>
      </c>
      <c r="J100" s="203"/>
      <c r="K100" s="167">
        <f>'[2]Assumption links'!$B$30</f>
        <v>0.44965034965034967</v>
      </c>
      <c r="L100" s="167"/>
      <c r="M100" s="167"/>
      <c r="N100" s="322">
        <f t="shared" ref="N100:N102" si="2" xml:space="preserve"> G100*I100*K100/1000000000</f>
        <v>0.10960227272727273</v>
      </c>
      <c r="O100" s="322"/>
      <c r="P100" s="81">
        <v>0.18</v>
      </c>
      <c r="Q100" s="211">
        <f t="shared" ref="Q100:Q102" si="3" xml:space="preserve"> N100*(1+P100)^10</f>
        <v>0.57364027177712684</v>
      </c>
      <c r="R100" s="211"/>
    </row>
    <row r="101" spans="1:18">
      <c r="A101" s="321" t="s">
        <v>214</v>
      </c>
      <c r="B101" s="321"/>
      <c r="C101" s="202" t="s">
        <v>215</v>
      </c>
      <c r="D101" s="278"/>
      <c r="E101" s="278"/>
      <c r="F101" s="203"/>
      <c r="G101" s="202">
        <f>'[2]Assumption links'!H36</f>
        <v>12500</v>
      </c>
      <c r="H101" s="203"/>
      <c r="I101" s="202">
        <f>'[2]Assumption links'!K36</f>
        <v>29000</v>
      </c>
      <c r="J101" s="203"/>
      <c r="K101" s="167">
        <f>'[2]Assumption links'!$B$30</f>
        <v>0.44965034965034967</v>
      </c>
      <c r="L101" s="167"/>
      <c r="M101" s="167"/>
      <c r="N101" s="322">
        <f t="shared" si="2"/>
        <v>0.16299825174825178</v>
      </c>
      <c r="O101" s="322"/>
      <c r="P101" s="81">
        <v>0.2</v>
      </c>
      <c r="Q101" s="211">
        <f t="shared" si="3"/>
        <v>1.0092422121371749</v>
      </c>
      <c r="R101" s="211"/>
    </row>
    <row r="102" spans="1:18">
      <c r="A102" s="321" t="s">
        <v>216</v>
      </c>
      <c r="B102" s="321"/>
      <c r="C102" s="202" t="s">
        <v>217</v>
      </c>
      <c r="D102" s="278"/>
      <c r="E102" s="278"/>
      <c r="F102" s="203"/>
      <c r="G102" s="202">
        <f>'[2]Assumption links'!H37</f>
        <v>11500</v>
      </c>
      <c r="H102" s="203"/>
      <c r="I102" s="202">
        <f>'[2]Assumption links'!K37</f>
        <v>23000</v>
      </c>
      <c r="J102" s="203"/>
      <c r="K102" s="167">
        <f>'[2]Assumption links'!$B$30</f>
        <v>0.44965034965034967</v>
      </c>
      <c r="L102" s="167"/>
      <c r="M102" s="167"/>
      <c r="N102" s="322">
        <f t="shared" si="2"/>
        <v>0.11893251748251749</v>
      </c>
      <c r="O102" s="322"/>
      <c r="P102" s="81">
        <v>0.15</v>
      </c>
      <c r="Q102" s="211">
        <f t="shared" si="3"/>
        <v>0.48114836612861445</v>
      </c>
      <c r="R102" s="211"/>
    </row>
    <row r="103" spans="1:18" ht="15" thickBot="1">
      <c r="A103" s="77" t="s">
        <v>218</v>
      </c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320">
        <f xml:space="preserve"> SUM(N99:O102)</f>
        <v>0.58375856643356649</v>
      </c>
      <c r="O103" s="320"/>
      <c r="P103" s="82"/>
      <c r="Q103" s="168">
        <f>SUM(Q99:R102)</f>
        <v>2.4790313399469981</v>
      </c>
      <c r="R103" s="168"/>
    </row>
    <row r="104" spans="1:18" ht="15" thickTop="1"/>
    <row r="105" spans="1:18" s="33" customFormat="1">
      <c r="A105" s="33" t="s">
        <v>219</v>
      </c>
    </row>
    <row r="106" spans="1:18" s="35" customFormat="1">
      <c r="A106" s="35" t="s">
        <v>69</v>
      </c>
    </row>
    <row r="107" spans="1:18">
      <c r="A107" s="158" t="s">
        <v>203</v>
      </c>
      <c r="B107" s="158"/>
      <c r="C107" s="158"/>
      <c r="D107" s="158"/>
      <c r="E107" s="177" t="s">
        <v>220</v>
      </c>
      <c r="F107" s="177"/>
      <c r="G107" s="177"/>
      <c r="H107" s="38" t="s">
        <v>221</v>
      </c>
      <c r="I107" s="177" t="s">
        <v>222</v>
      </c>
      <c r="J107" s="177"/>
      <c r="K107" s="177"/>
      <c r="L107" s="177" t="s">
        <v>208</v>
      </c>
      <c r="M107" s="177"/>
      <c r="N107" s="51" t="s">
        <v>4</v>
      </c>
      <c r="O107" s="177" t="s">
        <v>209</v>
      </c>
      <c r="P107" s="177"/>
    </row>
    <row r="108" spans="1:18" ht="15" thickBot="1">
      <c r="A108" s="314" t="s">
        <v>223</v>
      </c>
      <c r="B108" s="314"/>
      <c r="C108" s="314"/>
      <c r="D108" s="314"/>
      <c r="E108" s="211">
        <f>'[2]Assumption links'!A41</f>
        <v>3000</v>
      </c>
      <c r="F108" s="211"/>
      <c r="G108" s="211"/>
      <c r="H108" s="41">
        <f>'[2]Assumption links'!F41</f>
        <v>17000</v>
      </c>
      <c r="I108" s="167">
        <v>1</v>
      </c>
      <c r="J108" s="167"/>
      <c r="K108" s="167"/>
      <c r="L108" s="168">
        <f>E108*H108*I108/1000000000</f>
        <v>5.0999999999999997E-2</v>
      </c>
      <c r="M108" s="168"/>
      <c r="N108" s="81">
        <v>0.12</v>
      </c>
      <c r="O108" s="168">
        <f xml:space="preserve"> L108*(1+N108)^10</f>
        <v>0.15839825862555476</v>
      </c>
      <c r="P108" s="168"/>
    </row>
    <row r="109" spans="1:18" ht="15" thickTop="1"/>
    <row r="110" spans="1:18" s="33" customFormat="1">
      <c r="A110" s="33" t="s">
        <v>224</v>
      </c>
    </row>
    <row r="111" spans="1:18" s="35" customFormat="1">
      <c r="A111" s="35" t="s">
        <v>69</v>
      </c>
    </row>
    <row r="112" spans="1:18">
      <c r="A112" s="319" t="s">
        <v>203</v>
      </c>
      <c r="B112" s="319"/>
      <c r="C112" s="319"/>
      <c r="D112" s="319"/>
      <c r="E112" s="177" t="s">
        <v>225</v>
      </c>
      <c r="F112" s="177"/>
      <c r="G112" s="177" t="s">
        <v>226</v>
      </c>
      <c r="H112" s="177"/>
      <c r="I112" s="177"/>
      <c r="J112" s="38" t="s">
        <v>227</v>
      </c>
      <c r="K112" s="38"/>
      <c r="L112" s="177" t="s">
        <v>208</v>
      </c>
      <c r="M112" s="177"/>
      <c r="N112" s="177" t="s">
        <v>228</v>
      </c>
      <c r="O112" s="177"/>
      <c r="P112" s="51" t="s">
        <v>209</v>
      </c>
      <c r="Q112" s="51"/>
    </row>
    <row r="113" spans="1:31" ht="15" thickBot="1">
      <c r="A113" s="160" t="s">
        <v>229</v>
      </c>
      <c r="B113" s="160"/>
      <c r="C113" s="160"/>
      <c r="D113" s="160"/>
      <c r="E113" s="314">
        <v>800</v>
      </c>
      <c r="F113" s="314"/>
      <c r="G113" s="270">
        <v>0.45</v>
      </c>
      <c r="H113" s="315"/>
      <c r="I113" s="271"/>
      <c r="J113" s="316">
        <v>26000</v>
      </c>
      <c r="K113" s="317"/>
      <c r="L113" s="318">
        <f>PRODUCT(E113:K113)/1000000000</f>
        <v>9.3600000000000003E-3</v>
      </c>
      <c r="M113" s="318"/>
      <c r="N113" s="269">
        <v>0.12</v>
      </c>
      <c r="O113" s="269"/>
      <c r="P113" s="168">
        <f xml:space="preserve"> L113*(1+N113)^10</f>
        <v>2.9070739230101818E-2</v>
      </c>
      <c r="Q113" s="168"/>
    </row>
    <row r="114" spans="1:31" ht="15.6" thickTop="1" thickBot="1">
      <c r="A114" s="160" t="s">
        <v>230</v>
      </c>
      <c r="B114" s="160"/>
      <c r="C114" s="160"/>
      <c r="D114" s="160"/>
      <c r="E114" s="314">
        <v>400</v>
      </c>
      <c r="F114" s="314"/>
      <c r="G114" s="270">
        <v>0.25</v>
      </c>
      <c r="H114" s="315"/>
      <c r="I114" s="271"/>
      <c r="J114" s="316">
        <v>28500</v>
      </c>
      <c r="K114" s="317"/>
      <c r="L114" s="318">
        <f>PRODUCT(E114:K114)/1000000000</f>
        <v>2.8500000000000001E-3</v>
      </c>
      <c r="M114" s="318"/>
      <c r="N114" s="269">
        <v>0.12</v>
      </c>
      <c r="O114" s="269"/>
      <c r="P114" s="168">
        <f xml:space="preserve"> L114*(1+N114)^10</f>
        <v>8.8516673937810014E-3</v>
      </c>
      <c r="Q114" s="168"/>
    </row>
    <row r="115" spans="1:31" ht="15.6" thickTop="1" thickBot="1">
      <c r="A115" s="25" t="s">
        <v>10</v>
      </c>
      <c r="B115" s="25"/>
      <c r="C115" s="25"/>
      <c r="D115" s="25"/>
      <c r="E115" s="85"/>
      <c r="F115" s="85"/>
      <c r="G115" s="86"/>
      <c r="H115" s="86"/>
      <c r="I115" s="86"/>
      <c r="J115" s="84"/>
      <c r="K115" s="84"/>
      <c r="L115" s="312">
        <f>SUM(L113:M114)</f>
        <v>1.221E-2</v>
      </c>
      <c r="M115" s="312"/>
      <c r="N115" s="86"/>
      <c r="O115" s="86"/>
      <c r="P115" s="313">
        <f>SUM(P113:Q114)</f>
        <v>3.7922406623882819E-2</v>
      </c>
      <c r="Q115" s="313"/>
    </row>
    <row r="116" spans="1:31" ht="15" thickTop="1"/>
    <row r="117" spans="1:31" s="33" customFormat="1">
      <c r="A117" s="33" t="s">
        <v>231</v>
      </c>
    </row>
    <row r="119" spans="1:31" s="35" customFormat="1">
      <c r="A119" s="35" t="s">
        <v>69</v>
      </c>
    </row>
    <row r="120" spans="1:31">
      <c r="A120" s="158" t="s">
        <v>203</v>
      </c>
      <c r="B120" s="158"/>
      <c r="C120" s="158"/>
      <c r="D120" s="158"/>
      <c r="E120" s="177" t="s">
        <v>225</v>
      </c>
      <c r="F120" s="177"/>
      <c r="G120" s="177" t="s">
        <v>232</v>
      </c>
      <c r="H120" s="177"/>
      <c r="I120" s="177" t="s">
        <v>208</v>
      </c>
      <c r="J120" s="177"/>
      <c r="K120" s="177" t="s">
        <v>233</v>
      </c>
      <c r="L120" s="177"/>
      <c r="M120" s="177" t="s">
        <v>209</v>
      </c>
      <c r="N120" s="177"/>
    </row>
    <row r="121" spans="1:31">
      <c r="A121" s="302" t="s">
        <v>234</v>
      </c>
      <c r="B121" s="303"/>
      <c r="C121" s="303"/>
      <c r="D121" s="304"/>
      <c r="E121" s="305">
        <v>500000</v>
      </c>
      <c r="F121" s="306"/>
      <c r="G121" s="307">
        <v>5000</v>
      </c>
      <c r="H121" s="308"/>
      <c r="I121" s="309">
        <f xml:space="preserve"> E121*G121/1000000000</f>
        <v>2.5</v>
      </c>
      <c r="J121" s="309"/>
      <c r="K121" s="167">
        <v>0.06</v>
      </c>
      <c r="L121" s="167"/>
      <c r="M121" s="275">
        <f xml:space="preserve"> I121*(1+K121)^10</f>
        <v>4.4771192413571361</v>
      </c>
      <c r="N121" s="275"/>
    </row>
    <row r="122" spans="1:31">
      <c r="A122" s="302" t="s">
        <v>235</v>
      </c>
      <c r="B122" s="303"/>
      <c r="C122" s="303"/>
      <c r="D122" s="304"/>
      <c r="E122" s="305">
        <v>80000</v>
      </c>
      <c r="F122" s="306"/>
      <c r="G122" s="307">
        <v>10000</v>
      </c>
      <c r="H122" s="308"/>
      <c r="I122" s="309">
        <f xml:space="preserve"> E122*G122/1000000000</f>
        <v>0.8</v>
      </c>
      <c r="J122" s="309"/>
      <c r="K122" s="167">
        <v>0.06</v>
      </c>
      <c r="L122" s="167"/>
      <c r="M122" s="275">
        <f xml:space="preserve"> I122*(1+K122)^10</f>
        <v>1.4326781572342837</v>
      </c>
      <c r="N122" s="275"/>
    </row>
    <row r="123" spans="1:31" ht="15" thickBot="1">
      <c r="A123" s="302" t="s">
        <v>10</v>
      </c>
      <c r="B123" s="303"/>
      <c r="C123" s="303"/>
      <c r="D123" s="304"/>
      <c r="I123" s="214">
        <f>SUM(I121:J122)</f>
        <v>3.3</v>
      </c>
      <c r="J123" s="214"/>
      <c r="M123" s="168">
        <f>SUM(M121:N122)</f>
        <v>5.9097973985914196</v>
      </c>
      <c r="N123" s="168"/>
    </row>
    <row r="124" spans="1:31" ht="15" thickTop="1"/>
    <row r="125" spans="1:31" s="88" customFormat="1">
      <c r="A125" s="87" t="s">
        <v>236</v>
      </c>
    </row>
    <row r="126" spans="1:31" s="35" customFormat="1">
      <c r="A126" s="35" t="s">
        <v>237</v>
      </c>
    </row>
    <row r="127" spans="1:31">
      <c r="A127" s="158" t="s">
        <v>70</v>
      </c>
      <c r="B127" s="158"/>
      <c r="C127" s="158"/>
      <c r="D127" s="158"/>
      <c r="E127" s="158"/>
      <c r="F127" s="177" t="s">
        <v>238</v>
      </c>
      <c r="G127" s="177"/>
      <c r="H127" s="177"/>
      <c r="I127" s="177" t="s">
        <v>239</v>
      </c>
      <c r="J127" s="177"/>
      <c r="K127" s="177"/>
      <c r="L127" s="177" t="s">
        <v>240</v>
      </c>
      <c r="M127" s="177"/>
      <c r="N127" s="177" t="s">
        <v>241</v>
      </c>
      <c r="O127" s="177"/>
      <c r="P127" s="177"/>
      <c r="Q127" s="177"/>
      <c r="R127" s="177" t="s">
        <v>242</v>
      </c>
      <c r="S127" s="177"/>
      <c r="T127" s="177"/>
      <c r="U127" s="177"/>
      <c r="V127" s="177" t="s">
        <v>243</v>
      </c>
      <c r="W127" s="177"/>
      <c r="X127" s="177" t="s">
        <v>244</v>
      </c>
      <c r="Y127" s="177"/>
      <c r="Z127" s="177"/>
      <c r="AA127" s="177" t="s">
        <v>245</v>
      </c>
      <c r="AB127" s="177"/>
      <c r="AC127" s="177" t="s">
        <v>246</v>
      </c>
      <c r="AD127" s="177"/>
      <c r="AE127" s="177"/>
    </row>
    <row r="128" spans="1:31">
      <c r="A128" s="160" t="s">
        <v>247</v>
      </c>
      <c r="B128" s="160"/>
      <c r="C128" s="160"/>
      <c r="D128" s="160"/>
      <c r="E128" s="160"/>
      <c r="F128" s="211">
        <f>N93</f>
        <v>1.1322289156626506</v>
      </c>
      <c r="G128" s="211"/>
      <c r="H128" s="211"/>
      <c r="I128" s="211">
        <f>P93</f>
        <v>3.9816656417841436</v>
      </c>
      <c r="J128" s="211"/>
      <c r="K128" s="211"/>
      <c r="L128" s="269">
        <v>0.2</v>
      </c>
      <c r="M128" s="269"/>
      <c r="N128" s="211">
        <f>L128*F128</f>
        <v>0.22644578313253014</v>
      </c>
      <c r="O128" s="211"/>
      <c r="P128" s="211"/>
      <c r="Q128" s="211"/>
      <c r="R128" s="211">
        <f>L128*I128</f>
        <v>0.79633312835682879</v>
      </c>
      <c r="S128" s="211"/>
      <c r="T128" s="211"/>
      <c r="U128" s="211"/>
      <c r="V128" s="269">
        <v>0.2</v>
      </c>
      <c r="W128" s="269"/>
      <c r="X128" s="211">
        <f xml:space="preserve"> V128*N128</f>
        <v>4.5289156626506032E-2</v>
      </c>
      <c r="Y128" s="211"/>
      <c r="Z128" s="211"/>
      <c r="AA128" s="269">
        <v>0.1</v>
      </c>
      <c r="AB128" s="269"/>
      <c r="AC128" s="211">
        <f>V128*(1+AA128)^10*R128</f>
        <v>0.41309660948067434</v>
      </c>
      <c r="AD128" s="211"/>
      <c r="AE128" s="211"/>
    </row>
    <row r="129" spans="1:31">
      <c r="A129" s="160" t="s">
        <v>248</v>
      </c>
      <c r="B129" s="160"/>
      <c r="C129" s="160"/>
      <c r="D129" s="160"/>
      <c r="E129" s="160"/>
      <c r="F129" s="211">
        <f>N103</f>
        <v>0.58375856643356649</v>
      </c>
      <c r="G129" s="211"/>
      <c r="H129" s="211"/>
      <c r="I129" s="211">
        <f>Q103</f>
        <v>2.4790313399469981</v>
      </c>
      <c r="J129" s="211"/>
      <c r="K129" s="211"/>
      <c r="L129" s="269">
        <v>0.2</v>
      </c>
      <c r="M129" s="269"/>
      <c r="N129" s="211">
        <f>F129*L129</f>
        <v>0.1167517132867133</v>
      </c>
      <c r="O129" s="211"/>
      <c r="P129" s="211"/>
      <c r="Q129" s="211"/>
      <c r="R129" s="211">
        <f xml:space="preserve"> I129*L129*(1+AA129)^10</f>
        <v>1.2859937692678263</v>
      </c>
      <c r="S129" s="211"/>
      <c r="T129" s="211"/>
      <c r="U129" s="211"/>
      <c r="V129" s="269">
        <v>0.2</v>
      </c>
      <c r="W129" s="269"/>
      <c r="X129" s="211">
        <f>N129*V129</f>
        <v>2.3350342657342663E-2</v>
      </c>
      <c r="Y129" s="211"/>
      <c r="Z129" s="211"/>
      <c r="AA129" s="269">
        <v>0.1</v>
      </c>
      <c r="AB129" s="269"/>
      <c r="AC129" s="211">
        <f t="shared" ref="AC129:AC132" si="4">V129*(1+AA129)^10*R129</f>
        <v>0.66710732855480126</v>
      </c>
      <c r="AD129" s="211"/>
      <c r="AE129" s="211"/>
    </row>
    <row r="130" spans="1:31">
      <c r="A130" s="160" t="s">
        <v>249</v>
      </c>
      <c r="B130" s="160"/>
      <c r="C130" s="160"/>
      <c r="D130" s="160"/>
      <c r="E130" s="160"/>
      <c r="F130" s="211">
        <f>L108</f>
        <v>5.0999999999999997E-2</v>
      </c>
      <c r="G130" s="211"/>
      <c r="H130" s="211"/>
      <c r="I130" s="211">
        <f>O108</f>
        <v>0.15839825862555476</v>
      </c>
      <c r="J130" s="211"/>
      <c r="K130" s="211"/>
      <c r="L130" s="269">
        <v>0.2</v>
      </c>
      <c r="M130" s="269"/>
      <c r="N130" s="211">
        <f>F130*L130</f>
        <v>1.0200000000000001E-2</v>
      </c>
      <c r="O130" s="211"/>
      <c r="P130" s="211"/>
      <c r="Q130" s="211"/>
      <c r="R130" s="211">
        <f>I130*L130*((1+AA130)^10)</f>
        <v>8.2168857800600556E-2</v>
      </c>
      <c r="S130" s="211"/>
      <c r="T130" s="211"/>
      <c r="U130" s="211"/>
      <c r="V130" s="269">
        <v>0.2</v>
      </c>
      <c r="W130" s="269"/>
      <c r="X130" s="211">
        <f>N130*V130</f>
        <v>2.0400000000000001E-3</v>
      </c>
      <c r="Y130" s="211"/>
      <c r="Z130" s="211"/>
      <c r="AA130" s="269">
        <v>0.1</v>
      </c>
      <c r="AB130" s="269"/>
      <c r="AC130" s="211">
        <f t="shared" si="4"/>
        <v>4.2624971075067387E-2</v>
      </c>
      <c r="AD130" s="211"/>
      <c r="AE130" s="211"/>
    </row>
    <row r="131" spans="1:31">
      <c r="A131" s="160" t="s">
        <v>250</v>
      </c>
      <c r="B131" s="160"/>
      <c r="C131" s="160"/>
      <c r="D131" s="160"/>
      <c r="E131" s="160"/>
      <c r="F131" s="211">
        <f>L115</f>
        <v>1.221E-2</v>
      </c>
      <c r="G131" s="211"/>
      <c r="H131" s="211"/>
      <c r="I131" s="211">
        <f>P115</f>
        <v>3.7922406623882819E-2</v>
      </c>
      <c r="J131" s="211"/>
      <c r="K131" s="211"/>
      <c r="L131" s="269">
        <v>0.2</v>
      </c>
      <c r="M131" s="269"/>
      <c r="N131" s="211">
        <f>F131*L131</f>
        <v>2.4420000000000002E-3</v>
      </c>
      <c r="O131" s="211"/>
      <c r="P131" s="211"/>
      <c r="Q131" s="211"/>
      <c r="R131" s="211">
        <f t="shared" ref="R131:R132" si="5" xml:space="preserve"> I131*L131*(1+AA131)^10</f>
        <v>1.9672191249908485E-2</v>
      </c>
      <c r="S131" s="211"/>
      <c r="T131" s="211"/>
      <c r="U131" s="211"/>
      <c r="V131" s="269">
        <v>0.2</v>
      </c>
      <c r="W131" s="269"/>
      <c r="X131" s="211">
        <f>N131*V131</f>
        <v>4.8840000000000005E-4</v>
      </c>
      <c r="Y131" s="211"/>
      <c r="Z131" s="211"/>
      <c r="AA131" s="269">
        <v>0.1</v>
      </c>
      <c r="AB131" s="269"/>
      <c r="AC131" s="211">
        <f t="shared" si="4"/>
        <v>1.0204919545619074E-2</v>
      </c>
      <c r="AD131" s="211"/>
      <c r="AE131" s="211"/>
    </row>
    <row r="132" spans="1:31">
      <c r="A132" s="160" t="s">
        <v>251</v>
      </c>
      <c r="B132" s="160"/>
      <c r="C132" s="160"/>
      <c r="D132" s="160"/>
      <c r="E132" s="160"/>
      <c r="F132" s="211">
        <f>I123</f>
        <v>3.3</v>
      </c>
      <c r="G132" s="211"/>
      <c r="H132" s="211"/>
      <c r="I132" s="211">
        <f>M123</f>
        <v>5.9097973985914196</v>
      </c>
      <c r="J132" s="211"/>
      <c r="K132" s="211"/>
      <c r="L132" s="269">
        <v>0.2</v>
      </c>
      <c r="M132" s="269"/>
      <c r="N132" s="211">
        <f>F132*L132</f>
        <v>0.66</v>
      </c>
      <c r="O132" s="211"/>
      <c r="P132" s="211"/>
      <c r="Q132" s="211"/>
      <c r="R132" s="211">
        <f t="shared" si="5"/>
        <v>3.0656984886630201</v>
      </c>
      <c r="S132" s="211"/>
      <c r="T132" s="211"/>
      <c r="U132" s="211"/>
      <c r="V132" s="269">
        <v>0.2</v>
      </c>
      <c r="W132" s="269"/>
      <c r="X132" s="211">
        <f>N132*V132</f>
        <v>0.13200000000000001</v>
      </c>
      <c r="Y132" s="211"/>
      <c r="Z132" s="211"/>
      <c r="AA132" s="269">
        <v>0.1</v>
      </c>
      <c r="AB132" s="269"/>
      <c r="AC132" s="211">
        <f t="shared" si="4"/>
        <v>1.590326467981936</v>
      </c>
      <c r="AD132" s="211"/>
      <c r="AE132" s="211"/>
    </row>
    <row r="133" spans="1:31">
      <c r="A133" s="272" t="s">
        <v>10</v>
      </c>
      <c r="B133" s="273"/>
      <c r="C133" s="273"/>
      <c r="D133" s="273"/>
      <c r="E133" s="274"/>
      <c r="F133" s="275">
        <f xml:space="preserve"> SUM(F129:H132)</f>
        <v>3.9469685664335663</v>
      </c>
      <c r="G133" s="275"/>
      <c r="H133" s="275"/>
      <c r="I133" s="275">
        <f xml:space="preserve"> SUM(I129:K132)</f>
        <v>8.585149403787856</v>
      </c>
      <c r="J133" s="275"/>
      <c r="K133" s="275"/>
      <c r="L133" s="276">
        <f xml:space="preserve"> AVERAGE(L128:M132)</f>
        <v>0.2</v>
      </c>
      <c r="M133" s="279"/>
      <c r="N133" s="275">
        <f>SUM(N129:Q132)</f>
        <v>0.78939371328671326</v>
      </c>
      <c r="O133" s="275"/>
      <c r="P133" s="275"/>
      <c r="Q133" s="275"/>
      <c r="R133" s="275">
        <f>SUM(R128:U132)</f>
        <v>5.2498664353381841</v>
      </c>
      <c r="S133" s="275"/>
      <c r="T133" s="275"/>
      <c r="U133" s="275"/>
      <c r="V133" s="276">
        <f>AVERAGE(V128:W132)</f>
        <v>0.2</v>
      </c>
      <c r="W133" s="279"/>
      <c r="X133" s="310">
        <f>N133*L133</f>
        <v>0.15787874265734267</v>
      </c>
      <c r="Y133" s="310"/>
      <c r="Z133" s="310"/>
      <c r="AA133" s="276">
        <f>AVERAGE(AA128:AB132)</f>
        <v>0.1</v>
      </c>
      <c r="AB133" s="279"/>
      <c r="AC133" s="310">
        <f xml:space="preserve"> R133*V133*(1+AA133)^10*L133</f>
        <v>0.54467205932761953</v>
      </c>
      <c r="AD133" s="310"/>
      <c r="AE133" s="310"/>
    </row>
    <row r="134" spans="1:31">
      <c r="A134" s="263" t="s">
        <v>252</v>
      </c>
      <c r="B134" s="264"/>
      <c r="C134" s="264"/>
      <c r="D134" s="264"/>
      <c r="E134" s="265"/>
      <c r="X134" s="311">
        <f>X133/E9</f>
        <v>3.1100854150383835E-2</v>
      </c>
      <c r="Y134" s="311"/>
      <c r="Z134" s="311"/>
      <c r="AC134" s="311">
        <f xml:space="preserve">  AC133/G9</f>
        <v>4.3342092435707351E-2</v>
      </c>
      <c r="AD134" s="311"/>
      <c r="AE134" s="311"/>
    </row>
    <row r="136" spans="1:31" s="75" customFormat="1">
      <c r="A136" s="74" t="s">
        <v>253</v>
      </c>
    </row>
    <row r="137" spans="1:31" s="33" customFormat="1">
      <c r="A137" s="33" t="s">
        <v>254</v>
      </c>
    </row>
    <row r="138" spans="1:31" s="35" customFormat="1">
      <c r="A138" s="35" t="s">
        <v>69</v>
      </c>
    </row>
    <row r="139" spans="1:31">
      <c r="A139" s="158" t="s">
        <v>203</v>
      </c>
      <c r="B139" s="158"/>
      <c r="C139" s="158"/>
      <c r="D139" s="158"/>
      <c r="E139" s="177" t="s">
        <v>225</v>
      </c>
      <c r="F139" s="177"/>
      <c r="G139" s="177" t="s">
        <v>232</v>
      </c>
      <c r="H139" s="177"/>
      <c r="I139" s="177" t="s">
        <v>208</v>
      </c>
      <c r="J139" s="177"/>
      <c r="K139" s="177" t="s">
        <v>233</v>
      </c>
      <c r="L139" s="177"/>
      <c r="M139" s="177" t="s">
        <v>209</v>
      </c>
      <c r="N139" s="177"/>
    </row>
    <row r="140" spans="1:31">
      <c r="A140" s="302" t="s">
        <v>255</v>
      </c>
      <c r="B140" s="303"/>
      <c r="C140" s="303"/>
      <c r="D140" s="304"/>
      <c r="E140" s="305">
        <v>10000</v>
      </c>
      <c r="F140" s="306"/>
      <c r="G140" s="307">
        <v>25000</v>
      </c>
      <c r="H140" s="308"/>
      <c r="I140" s="309">
        <f xml:space="preserve"> E140*G140/1000000000</f>
        <v>0.25</v>
      </c>
      <c r="J140" s="309"/>
      <c r="K140" s="167">
        <v>7.0000000000000007E-2</v>
      </c>
      <c r="L140" s="167"/>
      <c r="M140" s="275">
        <f xml:space="preserve"> I140*(1+K140)^10</f>
        <v>0.4917878393223914</v>
      </c>
      <c r="N140" s="275"/>
    </row>
    <row r="141" spans="1:31">
      <c r="A141" s="302" t="s">
        <v>256</v>
      </c>
      <c r="B141" s="303"/>
      <c r="C141" s="303"/>
      <c r="D141" s="304"/>
      <c r="E141" s="305">
        <v>40000</v>
      </c>
      <c r="F141" s="306"/>
      <c r="G141" s="307">
        <v>7000</v>
      </c>
      <c r="H141" s="308"/>
      <c r="I141" s="309">
        <f xml:space="preserve"> E141*G141/1000000000</f>
        <v>0.28000000000000003</v>
      </c>
      <c r="J141" s="309"/>
      <c r="K141" s="167">
        <v>7.0000000000000007E-2</v>
      </c>
      <c r="L141" s="167"/>
      <c r="M141" s="275">
        <f xml:space="preserve"> I141*(1+K141)^10</f>
        <v>0.5508023800410784</v>
      </c>
      <c r="N141" s="275"/>
    </row>
    <row r="142" spans="1:31" ht="15" thickBot="1">
      <c r="A142" s="302" t="s">
        <v>10</v>
      </c>
      <c r="B142" s="303"/>
      <c r="C142" s="303"/>
      <c r="D142" s="304"/>
      <c r="I142" s="214">
        <f>SUM(I140:J141)</f>
        <v>0.53</v>
      </c>
      <c r="J142" s="214"/>
      <c r="M142" s="168">
        <f>SUM(M140:N141)</f>
        <v>1.0425902193634697</v>
      </c>
      <c r="N142" s="168"/>
    </row>
    <row r="143" spans="1:31" ht="15" thickTop="1"/>
    <row r="144" spans="1:31" s="33" customFormat="1">
      <c r="A144" s="33" t="s">
        <v>257</v>
      </c>
    </row>
    <row r="145" spans="1:14" s="35" customFormat="1">
      <c r="A145" s="35" t="s">
        <v>69</v>
      </c>
    </row>
    <row r="146" spans="1:14">
      <c r="A146" s="158" t="s">
        <v>203</v>
      </c>
      <c r="B146" s="158"/>
      <c r="C146" s="158"/>
      <c r="D146" s="158"/>
      <c r="E146" s="177" t="s">
        <v>225</v>
      </c>
      <c r="F146" s="177"/>
      <c r="G146" s="177" t="s">
        <v>232</v>
      </c>
      <c r="H146" s="177"/>
      <c r="I146" s="177" t="s">
        <v>208</v>
      </c>
      <c r="J146" s="177"/>
      <c r="K146" s="177" t="s">
        <v>233</v>
      </c>
      <c r="L146" s="177"/>
      <c r="M146" s="177" t="s">
        <v>209</v>
      </c>
      <c r="N146" s="177"/>
    </row>
    <row r="147" spans="1:14">
      <c r="A147" s="302" t="s">
        <v>258</v>
      </c>
      <c r="B147" s="303"/>
      <c r="C147" s="303"/>
      <c r="D147" s="304"/>
      <c r="E147" s="305">
        <v>20000</v>
      </c>
      <c r="F147" s="306"/>
      <c r="G147" s="307">
        <v>17500</v>
      </c>
      <c r="H147" s="308"/>
      <c r="I147" s="309">
        <f xml:space="preserve"> E147*G147/1000000000</f>
        <v>0.35</v>
      </c>
      <c r="J147" s="309"/>
      <c r="K147" s="167">
        <v>7.0000000000000007E-2</v>
      </c>
      <c r="L147" s="167"/>
      <c r="M147" s="275">
        <f xml:space="preserve"> I147*(1+K147)^10</f>
        <v>0.68850297505134794</v>
      </c>
      <c r="N147" s="275"/>
    </row>
    <row r="148" spans="1:14">
      <c r="A148" s="302" t="s">
        <v>259</v>
      </c>
      <c r="B148" s="303"/>
      <c r="C148" s="303"/>
      <c r="D148" s="304"/>
      <c r="E148" s="305">
        <v>40000</v>
      </c>
      <c r="F148" s="306"/>
      <c r="G148" s="307">
        <v>8500</v>
      </c>
      <c r="H148" s="308"/>
      <c r="I148" s="309">
        <f t="shared" ref="I148:I149" si="6" xml:space="preserve"> E148*G148/1000000000</f>
        <v>0.34</v>
      </c>
      <c r="J148" s="309"/>
      <c r="K148" s="167">
        <v>7.0000000000000007E-2</v>
      </c>
      <c r="L148" s="167"/>
      <c r="M148" s="275">
        <f t="shared" ref="M148:M149" si="7" xml:space="preserve"> I148*(1+K148)^10</f>
        <v>0.66883146147845229</v>
      </c>
      <c r="N148" s="275"/>
    </row>
    <row r="149" spans="1:14">
      <c r="A149" s="302" t="s">
        <v>260</v>
      </c>
      <c r="B149" s="303"/>
      <c r="C149" s="303"/>
      <c r="D149" s="304"/>
      <c r="E149" s="305">
        <v>15000</v>
      </c>
      <c r="F149" s="306"/>
      <c r="G149" s="307">
        <v>25000</v>
      </c>
      <c r="H149" s="308"/>
      <c r="I149" s="309">
        <f t="shared" si="6"/>
        <v>0.375</v>
      </c>
      <c r="J149" s="309"/>
      <c r="K149" s="167">
        <v>7.0000000000000007E-2</v>
      </c>
      <c r="L149" s="167"/>
      <c r="M149" s="275">
        <f t="shared" si="7"/>
        <v>0.73768175898358712</v>
      </c>
      <c r="N149" s="275"/>
    </row>
    <row r="150" spans="1:14" ht="15" thickBot="1">
      <c r="A150" s="302" t="s">
        <v>10</v>
      </c>
      <c r="B150" s="303"/>
      <c r="C150" s="303"/>
      <c r="D150" s="304"/>
      <c r="I150" s="214">
        <f>SUM(I147:J149)</f>
        <v>1.0649999999999999</v>
      </c>
      <c r="J150" s="214"/>
      <c r="M150" s="168">
        <f>SUM(M147:N149)</f>
        <v>2.095016195513387</v>
      </c>
      <c r="N150" s="168"/>
    </row>
    <row r="151" spans="1:14" ht="15" thickTop="1"/>
    <row r="152" spans="1:14" s="33" customFormat="1">
      <c r="A152" s="33" t="s">
        <v>261</v>
      </c>
    </row>
    <row r="153" spans="1:14" s="35" customFormat="1">
      <c r="A153" s="35" t="s">
        <v>69</v>
      </c>
    </row>
    <row r="154" spans="1:14">
      <c r="A154" s="158" t="s">
        <v>203</v>
      </c>
      <c r="B154" s="158"/>
      <c r="C154" s="158"/>
      <c r="D154" s="158"/>
      <c r="E154" s="177" t="s">
        <v>225</v>
      </c>
      <c r="F154" s="177"/>
      <c r="G154" s="177" t="s">
        <v>232</v>
      </c>
      <c r="H154" s="177"/>
      <c r="I154" s="177" t="s">
        <v>208</v>
      </c>
      <c r="J154" s="177"/>
      <c r="K154" s="177" t="s">
        <v>233</v>
      </c>
      <c r="L154" s="177"/>
      <c r="M154" s="177" t="s">
        <v>209</v>
      </c>
      <c r="N154" s="177"/>
    </row>
    <row r="155" spans="1:14">
      <c r="A155" s="302" t="s">
        <v>262</v>
      </c>
      <c r="B155" s="303"/>
      <c r="C155" s="303"/>
      <c r="D155" s="304"/>
      <c r="E155" s="305">
        <v>20000</v>
      </c>
      <c r="F155" s="306"/>
      <c r="G155" s="307">
        <v>17500</v>
      </c>
      <c r="H155" s="308"/>
      <c r="I155" s="309">
        <f xml:space="preserve"> E155*G155/1000000000</f>
        <v>0.35</v>
      </c>
      <c r="J155" s="309"/>
      <c r="K155" s="167">
        <v>7.0000000000000007E-2</v>
      </c>
      <c r="L155" s="167"/>
      <c r="M155" s="275">
        <f xml:space="preserve"> I155*(1+K155)^10</f>
        <v>0.68850297505134794</v>
      </c>
      <c r="N155" s="275"/>
    </row>
    <row r="156" spans="1:14">
      <c r="A156" s="302" t="s">
        <v>263</v>
      </c>
      <c r="B156" s="303"/>
      <c r="C156" s="303"/>
      <c r="D156" s="304"/>
      <c r="E156" s="305">
        <v>2500</v>
      </c>
      <c r="F156" s="306"/>
      <c r="G156" s="307">
        <v>8500</v>
      </c>
      <c r="H156" s="308"/>
      <c r="I156" s="309">
        <f t="shared" ref="I156:I157" si="8" xml:space="preserve"> E156*G156/1000000000</f>
        <v>2.1250000000000002E-2</v>
      </c>
      <c r="J156" s="309"/>
      <c r="K156" s="167">
        <v>7.0000000000000007E-2</v>
      </c>
      <c r="L156" s="167"/>
      <c r="M156" s="275">
        <f t="shared" ref="M156:M157" si="9" xml:space="preserve"> I156*(1+K156)^10</f>
        <v>4.1801966342403268E-2</v>
      </c>
      <c r="N156" s="275"/>
    </row>
    <row r="157" spans="1:14">
      <c r="A157" s="302" t="s">
        <v>264</v>
      </c>
      <c r="B157" s="303"/>
      <c r="C157" s="303"/>
      <c r="D157" s="304"/>
      <c r="E157" s="305">
        <v>23500</v>
      </c>
      <c r="F157" s="306"/>
      <c r="G157" s="307">
        <v>32500</v>
      </c>
      <c r="H157" s="308"/>
      <c r="I157" s="309">
        <f t="shared" si="8"/>
        <v>0.76375000000000004</v>
      </c>
      <c r="J157" s="309"/>
      <c r="K157" s="167">
        <v>7.0000000000000007E-2</v>
      </c>
      <c r="L157" s="167"/>
      <c r="M157" s="275">
        <f t="shared" si="9"/>
        <v>1.5024118491299059</v>
      </c>
      <c r="N157" s="275"/>
    </row>
    <row r="158" spans="1:14" ht="15" thickBot="1">
      <c r="A158" s="302" t="s">
        <v>10</v>
      </c>
      <c r="B158" s="303"/>
      <c r="C158" s="303"/>
      <c r="D158" s="304"/>
      <c r="I158" s="214">
        <f>SUM(I155:J157)</f>
        <v>1.135</v>
      </c>
      <c r="J158" s="214"/>
      <c r="M158" s="168">
        <f>SUM(M155:N157)</f>
        <v>2.2327167905236571</v>
      </c>
      <c r="N158" s="168"/>
    </row>
    <row r="159" spans="1:14" ht="15" thickTop="1"/>
    <row r="160" spans="1:14" s="88" customFormat="1">
      <c r="A160" s="87" t="s">
        <v>236</v>
      </c>
    </row>
    <row r="161" spans="1:31" s="35" customFormat="1">
      <c r="A161" s="35" t="s">
        <v>237</v>
      </c>
    </row>
    <row r="162" spans="1:31">
      <c r="A162" s="158" t="s">
        <v>70</v>
      </c>
      <c r="B162" s="158"/>
      <c r="C162" s="158"/>
      <c r="D162" s="158"/>
      <c r="E162" s="158"/>
      <c r="F162" s="177" t="s">
        <v>238</v>
      </c>
      <c r="G162" s="177"/>
      <c r="H162" s="177"/>
      <c r="I162" s="177" t="s">
        <v>239</v>
      </c>
      <c r="J162" s="177"/>
      <c r="K162" s="177"/>
      <c r="L162" s="177" t="s">
        <v>240</v>
      </c>
      <c r="M162" s="177"/>
      <c r="N162" s="177" t="s">
        <v>241</v>
      </c>
      <c r="O162" s="177"/>
      <c r="P162" s="177"/>
      <c r="Q162" s="177"/>
      <c r="R162" s="177" t="s">
        <v>242</v>
      </c>
      <c r="S162" s="177"/>
      <c r="T162" s="177"/>
      <c r="U162" s="177"/>
      <c r="V162" s="177" t="s">
        <v>243</v>
      </c>
      <c r="W162" s="177"/>
      <c r="X162" s="177" t="s">
        <v>244</v>
      </c>
      <c r="Y162" s="177"/>
      <c r="Z162" s="177"/>
      <c r="AA162" s="280" t="s">
        <v>245</v>
      </c>
      <c r="AB162" s="280"/>
      <c r="AC162" s="177" t="s">
        <v>246</v>
      </c>
      <c r="AD162" s="177"/>
      <c r="AE162" s="177"/>
    </row>
    <row r="163" spans="1:31">
      <c r="A163" s="160" t="s">
        <v>162</v>
      </c>
      <c r="B163" s="160"/>
      <c r="C163" s="160"/>
      <c r="D163" s="160"/>
      <c r="E163" s="160"/>
      <c r="F163" s="211">
        <f xml:space="preserve"> I142</f>
        <v>0.53</v>
      </c>
      <c r="G163" s="211"/>
      <c r="H163" s="211"/>
      <c r="I163" s="211">
        <f xml:space="preserve"> M142</f>
        <v>1.0425902193634697</v>
      </c>
      <c r="J163" s="211"/>
      <c r="K163" s="211"/>
      <c r="L163" s="269">
        <v>0.35</v>
      </c>
      <c r="M163" s="269"/>
      <c r="N163" s="211">
        <f>F163*L163</f>
        <v>0.1855</v>
      </c>
      <c r="O163" s="211"/>
      <c r="P163" s="211"/>
      <c r="Q163" s="211"/>
      <c r="R163" s="211">
        <f xml:space="preserve"> I163*L163</f>
        <v>0.36490657677721439</v>
      </c>
      <c r="S163" s="211"/>
      <c r="T163" s="211"/>
      <c r="U163" s="211"/>
      <c r="V163" s="269">
        <v>0.2</v>
      </c>
      <c r="W163" s="269"/>
      <c r="X163" s="211">
        <f>N163*V163</f>
        <v>3.7100000000000001E-2</v>
      </c>
      <c r="Y163" s="211"/>
      <c r="Z163" s="211"/>
      <c r="AA163" s="270">
        <v>0.1</v>
      </c>
      <c r="AB163" s="271"/>
      <c r="AC163" s="211">
        <f xml:space="preserve"> R163*V163*(1+AA163)^10</f>
        <v>0.18929473643136044</v>
      </c>
      <c r="AD163" s="211"/>
      <c r="AE163" s="211"/>
    </row>
    <row r="164" spans="1:31">
      <c r="A164" s="160" t="s">
        <v>163</v>
      </c>
      <c r="B164" s="160"/>
      <c r="C164" s="160"/>
      <c r="D164" s="160"/>
      <c r="E164" s="160"/>
      <c r="F164" s="211">
        <f xml:space="preserve"> I150</f>
        <v>1.0649999999999999</v>
      </c>
      <c r="G164" s="211"/>
      <c r="H164" s="211"/>
      <c r="I164" s="211">
        <f xml:space="preserve"> M150</f>
        <v>2.095016195513387</v>
      </c>
      <c r="J164" s="211"/>
      <c r="K164" s="211"/>
      <c r="L164" s="269">
        <v>0.35</v>
      </c>
      <c r="M164" s="269"/>
      <c r="N164" s="202">
        <f>F164*L164</f>
        <v>0.37274999999999997</v>
      </c>
      <c r="O164" s="278"/>
      <c r="P164" s="278"/>
      <c r="Q164" s="203"/>
      <c r="R164" s="211">
        <f t="shared" ref="R164:R165" si="10" xml:space="preserve"> I164*L164</f>
        <v>0.73325566842968537</v>
      </c>
      <c r="S164" s="211"/>
      <c r="T164" s="211"/>
      <c r="U164" s="211"/>
      <c r="V164" s="269">
        <v>0.2</v>
      </c>
      <c r="W164" s="269"/>
      <c r="X164" s="211">
        <f t="shared" ref="X164:X165" si="11">N164*V164</f>
        <v>7.4549999999999991E-2</v>
      </c>
      <c r="Y164" s="211"/>
      <c r="Z164" s="211"/>
      <c r="AA164" s="270">
        <v>0.1</v>
      </c>
      <c r="AB164" s="271"/>
      <c r="AC164" s="211">
        <f t="shared" ref="AC164:AC165" si="12" xml:space="preserve"> R164*V164*(1+AA164)^10</f>
        <v>0.38037527226301671</v>
      </c>
      <c r="AD164" s="211"/>
      <c r="AE164" s="211"/>
    </row>
    <row r="165" spans="1:31">
      <c r="A165" s="160" t="s">
        <v>164</v>
      </c>
      <c r="B165" s="160"/>
      <c r="C165" s="160"/>
      <c r="D165" s="160"/>
      <c r="E165" s="160"/>
      <c r="F165" s="211">
        <f>I158</f>
        <v>1.135</v>
      </c>
      <c r="G165" s="211"/>
      <c r="H165" s="211"/>
      <c r="I165" s="211">
        <f>M158</f>
        <v>2.2327167905236571</v>
      </c>
      <c r="J165" s="211"/>
      <c r="K165" s="211"/>
      <c r="L165" s="269">
        <v>0.35</v>
      </c>
      <c r="M165" s="269"/>
      <c r="N165" s="202">
        <f>F165*L165</f>
        <v>0.39724999999999999</v>
      </c>
      <c r="O165" s="278"/>
      <c r="P165" s="278"/>
      <c r="Q165" s="203"/>
      <c r="R165" s="211">
        <f t="shared" si="10"/>
        <v>0.78145087668327995</v>
      </c>
      <c r="S165" s="211"/>
      <c r="T165" s="211"/>
      <c r="U165" s="211"/>
      <c r="V165" s="269">
        <v>0.2</v>
      </c>
      <c r="W165" s="269"/>
      <c r="X165" s="211">
        <f t="shared" si="11"/>
        <v>7.9450000000000007E-2</v>
      </c>
      <c r="Y165" s="211"/>
      <c r="Z165" s="211"/>
      <c r="AA165" s="270">
        <v>0.1</v>
      </c>
      <c r="AB165" s="271"/>
      <c r="AC165" s="211">
        <f t="shared" si="12"/>
        <v>0.40537646386715881</v>
      </c>
      <c r="AD165" s="211"/>
      <c r="AE165" s="211"/>
    </row>
    <row r="166" spans="1:31">
      <c r="A166" s="272" t="s">
        <v>10</v>
      </c>
      <c r="B166" s="273"/>
      <c r="C166" s="273"/>
      <c r="D166" s="273"/>
      <c r="E166" s="274"/>
      <c r="F166" s="275">
        <f xml:space="preserve"> SUM(F163:H165)</f>
        <v>2.73</v>
      </c>
      <c r="G166" s="275"/>
      <c r="H166" s="275"/>
      <c r="I166" s="275">
        <f xml:space="preserve"> SUM(I163:K165)</f>
        <v>5.3703232054005134</v>
      </c>
      <c r="J166" s="275"/>
      <c r="K166" s="275"/>
      <c r="L166" s="276">
        <f>AVERAGE(L163:M165)</f>
        <v>0.34999999999999992</v>
      </c>
      <c r="M166" s="277"/>
      <c r="N166" s="275">
        <f>SUM(N163:Q165)</f>
        <v>0.9554999999999999</v>
      </c>
      <c r="O166" s="275"/>
      <c r="P166" s="275"/>
      <c r="Q166" s="275"/>
      <c r="R166" s="275">
        <f>SUM(R163:U165)</f>
        <v>1.8796131218901797</v>
      </c>
      <c r="S166" s="275"/>
      <c r="T166" s="275"/>
      <c r="U166" s="275"/>
      <c r="V166" s="276">
        <f>AVERAGE(V163:W165)</f>
        <v>0.20000000000000004</v>
      </c>
      <c r="W166" s="277"/>
      <c r="X166" s="275">
        <f>N166*V166</f>
        <v>0.19110000000000002</v>
      </c>
      <c r="Y166" s="275"/>
      <c r="Z166" s="275"/>
      <c r="AA166" s="276">
        <f xml:space="preserve"> AVERAGE(AA163:AB165)</f>
        <v>0.10000000000000002</v>
      </c>
      <c r="AB166" s="279"/>
      <c r="AC166" s="275">
        <f>R166*V166*(1+AA166)^10*L166</f>
        <v>0.34126626539653754</v>
      </c>
      <c r="AD166" s="275"/>
      <c r="AE166" s="275"/>
    </row>
    <row r="167" spans="1:31">
      <c r="A167" s="263" t="s">
        <v>252</v>
      </c>
      <c r="B167" s="264"/>
      <c r="C167" s="264"/>
      <c r="D167" s="264"/>
      <c r="E167" s="265"/>
      <c r="X167" s="266">
        <f xml:space="preserve"> X166/E14</f>
        <v>7.0000000000000007E-2</v>
      </c>
      <c r="Y167" s="267"/>
      <c r="Z167" s="268"/>
      <c r="AC167" s="266">
        <f xml:space="preserve"> AC166/G14</f>
        <v>6.3546690272450038E-2</v>
      </c>
      <c r="AD167" s="267"/>
      <c r="AE167" s="268"/>
    </row>
    <row r="169" spans="1:31">
      <c r="S169" s="89"/>
    </row>
    <row r="173" spans="1:31" s="75" customFormat="1">
      <c r="A173" s="74" t="s">
        <v>265</v>
      </c>
    </row>
    <row r="174" spans="1:31" s="33" customFormat="1">
      <c r="A174" s="33" t="s">
        <v>266</v>
      </c>
    </row>
    <row r="175" spans="1:31" s="35" customFormat="1">
      <c r="A175" s="35" t="s">
        <v>69</v>
      </c>
    </row>
    <row r="176" spans="1:31">
      <c r="A176" s="198" t="s">
        <v>267</v>
      </c>
      <c r="B176" s="198"/>
      <c r="C176" s="198" t="s">
        <v>268</v>
      </c>
      <c r="D176" s="198"/>
      <c r="E176" s="198" t="s">
        <v>269</v>
      </c>
      <c r="F176" s="198"/>
      <c r="G176" s="198"/>
      <c r="H176" s="198" t="s">
        <v>270</v>
      </c>
      <c r="I176" s="198"/>
      <c r="J176" s="198" t="s">
        <v>271</v>
      </c>
      <c r="K176" s="198"/>
      <c r="L176" s="198"/>
      <c r="M176" s="198" t="s">
        <v>208</v>
      </c>
      <c r="N176" s="198"/>
      <c r="O176" s="198"/>
      <c r="P176" s="198"/>
      <c r="Q176" s="34" t="s">
        <v>4</v>
      </c>
      <c r="R176" s="198" t="s">
        <v>198</v>
      </c>
      <c r="S176" s="198"/>
    </row>
    <row r="177" spans="1:19">
      <c r="A177" s="300" t="s">
        <v>272</v>
      </c>
      <c r="B177" s="300"/>
      <c r="C177" s="287">
        <v>700</v>
      </c>
      <c r="D177" s="287"/>
      <c r="E177" s="288">
        <v>0.15</v>
      </c>
      <c r="F177" s="288"/>
      <c r="G177" s="288"/>
      <c r="H177" s="287">
        <f>C177*E177</f>
        <v>105</v>
      </c>
      <c r="I177" s="287"/>
      <c r="J177" s="281">
        <v>60000</v>
      </c>
      <c r="K177" s="281"/>
      <c r="L177" s="281"/>
      <c r="M177" s="301">
        <f>J177*H177/10000000</f>
        <v>0.63</v>
      </c>
      <c r="N177" s="301"/>
      <c r="O177" s="301"/>
      <c r="P177" s="301"/>
      <c r="Q177" s="90">
        <v>0.06</v>
      </c>
      <c r="R177" s="281">
        <f>M177*(1+Q177)^10</f>
        <v>1.1282340488219984</v>
      </c>
      <c r="S177" s="281"/>
    </row>
    <row r="178" spans="1:19">
      <c r="A178" s="300" t="s">
        <v>273</v>
      </c>
      <c r="B178" s="300"/>
      <c r="C178" s="287">
        <v>2100</v>
      </c>
      <c r="D178" s="287"/>
      <c r="E178" s="288">
        <v>0.15</v>
      </c>
      <c r="F178" s="288"/>
      <c r="G178" s="288"/>
      <c r="H178" s="287">
        <f t="shared" ref="H178:H181" si="13">C178*E178</f>
        <v>315</v>
      </c>
      <c r="I178" s="287"/>
      <c r="J178" s="281">
        <v>50000</v>
      </c>
      <c r="K178" s="281"/>
      <c r="L178" s="281"/>
      <c r="M178" s="301">
        <f t="shared" ref="M178:M181" si="14">J178*H178/10000000</f>
        <v>1.575</v>
      </c>
      <c r="N178" s="301"/>
      <c r="O178" s="301"/>
      <c r="P178" s="301"/>
      <c r="Q178" s="90">
        <v>0.06</v>
      </c>
      <c r="R178" s="281">
        <f t="shared" ref="R178:R181" si="15">M178*(1+Q178)^10</f>
        <v>2.8205851220549958</v>
      </c>
      <c r="S178" s="281"/>
    </row>
    <row r="179" spans="1:19">
      <c r="A179" s="300" t="s">
        <v>274</v>
      </c>
      <c r="B179" s="300"/>
      <c r="C179" s="287">
        <v>15000</v>
      </c>
      <c r="D179" s="287"/>
      <c r="E179" s="288">
        <v>0.15</v>
      </c>
      <c r="F179" s="288"/>
      <c r="G179" s="288"/>
      <c r="H179" s="287">
        <f t="shared" si="13"/>
        <v>2250</v>
      </c>
      <c r="I179" s="287"/>
      <c r="J179" s="281">
        <v>10000</v>
      </c>
      <c r="K179" s="281"/>
      <c r="L179" s="281"/>
      <c r="M179" s="301">
        <f t="shared" si="14"/>
        <v>2.25</v>
      </c>
      <c r="N179" s="301"/>
      <c r="O179" s="301"/>
      <c r="P179" s="301"/>
      <c r="Q179" s="90">
        <v>0.06</v>
      </c>
      <c r="R179" s="281">
        <f t="shared" si="15"/>
        <v>4.0294073172214224</v>
      </c>
      <c r="S179" s="281"/>
    </row>
    <row r="180" spans="1:19">
      <c r="A180" s="300" t="s">
        <v>275</v>
      </c>
      <c r="B180" s="300"/>
      <c r="C180" s="287">
        <v>3750</v>
      </c>
      <c r="D180" s="287"/>
      <c r="E180" s="288">
        <v>0.15</v>
      </c>
      <c r="F180" s="288"/>
      <c r="G180" s="288"/>
      <c r="H180" s="287">
        <f t="shared" si="13"/>
        <v>562.5</v>
      </c>
      <c r="I180" s="287"/>
      <c r="J180" s="281">
        <v>2500</v>
      </c>
      <c r="K180" s="281"/>
      <c r="L180" s="281"/>
      <c r="M180" s="301">
        <f t="shared" si="14"/>
        <v>0.140625</v>
      </c>
      <c r="N180" s="301"/>
      <c r="O180" s="301"/>
      <c r="P180" s="301"/>
      <c r="Q180" s="90">
        <v>0.06</v>
      </c>
      <c r="R180" s="281">
        <f t="shared" si="15"/>
        <v>0.2518379573263389</v>
      </c>
      <c r="S180" s="281"/>
    </row>
    <row r="181" spans="1:19">
      <c r="A181" s="300" t="s">
        <v>276</v>
      </c>
      <c r="B181" s="300"/>
      <c r="C181" s="292">
        <v>1800</v>
      </c>
      <c r="D181" s="293"/>
      <c r="E181" s="288">
        <v>0.15</v>
      </c>
      <c r="F181" s="288"/>
      <c r="G181" s="288"/>
      <c r="H181" s="287">
        <f t="shared" si="13"/>
        <v>270</v>
      </c>
      <c r="I181" s="287"/>
      <c r="J181" s="297">
        <v>1500</v>
      </c>
      <c r="K181" s="298"/>
      <c r="L181" s="299"/>
      <c r="M181" s="301">
        <f t="shared" si="14"/>
        <v>4.0500000000000001E-2</v>
      </c>
      <c r="N181" s="301"/>
      <c r="O181" s="301"/>
      <c r="P181" s="301"/>
      <c r="Q181" s="90">
        <v>0.06</v>
      </c>
      <c r="R181" s="281">
        <f t="shared" si="15"/>
        <v>7.2529331709985614E-2</v>
      </c>
      <c r="S181" s="281"/>
    </row>
    <row r="182" spans="1:19" ht="15" thickBot="1">
      <c r="A182" s="282" t="s">
        <v>10</v>
      </c>
      <c r="B182" s="282"/>
      <c r="M182" s="283">
        <f>SUM(M177:P181)</f>
        <v>4.6361249999999998</v>
      </c>
      <c r="N182" s="284"/>
      <c r="O182" s="284"/>
      <c r="P182" s="284"/>
      <c r="R182" s="283">
        <f>SUM(R177:S181)</f>
        <v>8.3025937771347404</v>
      </c>
      <c r="S182" s="283"/>
    </row>
    <row r="184" spans="1:19" s="33" customFormat="1">
      <c r="A184" s="33" t="s">
        <v>277</v>
      </c>
    </row>
    <row r="185" spans="1:19" s="35" customFormat="1">
      <c r="A185" s="35" t="s">
        <v>69</v>
      </c>
    </row>
    <row r="186" spans="1:19">
      <c r="A186" s="198" t="s">
        <v>267</v>
      </c>
      <c r="B186" s="198"/>
      <c r="C186" s="198" t="s">
        <v>268</v>
      </c>
      <c r="D186" s="198"/>
      <c r="E186" s="198" t="s">
        <v>269</v>
      </c>
      <c r="F186" s="198"/>
      <c r="G186" s="198"/>
      <c r="H186" s="198" t="s">
        <v>270</v>
      </c>
      <c r="I186" s="198"/>
      <c r="J186" s="198" t="s">
        <v>271</v>
      </c>
      <c r="K186" s="198"/>
      <c r="L186" s="198"/>
      <c r="M186" s="198" t="s">
        <v>208</v>
      </c>
      <c r="N186" s="198"/>
      <c r="O186" s="198"/>
      <c r="P186" s="198"/>
      <c r="Q186" s="34" t="s">
        <v>4</v>
      </c>
      <c r="R186" s="198" t="s">
        <v>198</v>
      </c>
      <c r="S186" s="198"/>
    </row>
    <row r="187" spans="1:19">
      <c r="A187" s="300" t="s">
        <v>278</v>
      </c>
      <c r="B187" s="300"/>
      <c r="C187" s="287">
        <v>500000</v>
      </c>
      <c r="D187" s="287"/>
      <c r="E187" s="288">
        <v>0.15</v>
      </c>
      <c r="F187" s="288"/>
      <c r="G187" s="288"/>
      <c r="H187" s="287">
        <f t="shared" ref="H187:H189" si="16">C187*E187</f>
        <v>75000</v>
      </c>
      <c r="I187" s="287"/>
      <c r="J187" s="281">
        <v>500</v>
      </c>
      <c r="K187" s="281"/>
      <c r="L187" s="281"/>
      <c r="M187" s="301">
        <f>J187*H187/1000000000</f>
        <v>3.7499999999999999E-2</v>
      </c>
      <c r="N187" s="301"/>
      <c r="O187" s="301"/>
      <c r="P187" s="301"/>
      <c r="Q187" s="90">
        <v>0.06</v>
      </c>
      <c r="R187" s="281">
        <f t="shared" ref="R187:R189" si="17">M187*(1+Q187)^10</f>
        <v>6.7156788620357039E-2</v>
      </c>
      <c r="S187" s="281"/>
    </row>
    <row r="188" spans="1:19" ht="14.4" customHeight="1">
      <c r="A188" s="285" t="s">
        <v>279</v>
      </c>
      <c r="B188" s="286"/>
      <c r="C188" s="292">
        <v>650000</v>
      </c>
      <c r="D188" s="293"/>
      <c r="E188" s="294">
        <v>0.15</v>
      </c>
      <c r="F188" s="295"/>
      <c r="G188" s="296"/>
      <c r="H188" s="292">
        <f t="shared" si="16"/>
        <v>97500</v>
      </c>
      <c r="I188" s="293"/>
      <c r="J188" s="297">
        <v>200</v>
      </c>
      <c r="K188" s="298"/>
      <c r="L188" s="299"/>
      <c r="M188" s="289">
        <f t="shared" ref="M188:M189" si="18">J188*H188/1000000000</f>
        <v>1.95E-2</v>
      </c>
      <c r="N188" s="290"/>
      <c r="O188" s="290"/>
      <c r="P188" s="291"/>
      <c r="Q188" s="90">
        <v>0.06</v>
      </c>
      <c r="R188" s="297">
        <f t="shared" si="17"/>
        <v>3.4921530082585667E-2</v>
      </c>
      <c r="S188" s="299"/>
    </row>
    <row r="189" spans="1:19">
      <c r="A189" s="300" t="s">
        <v>280</v>
      </c>
      <c r="B189" s="300"/>
      <c r="C189" s="287">
        <v>100000</v>
      </c>
      <c r="D189" s="287"/>
      <c r="E189" s="288">
        <v>0.15</v>
      </c>
      <c r="F189" s="288"/>
      <c r="G189" s="288"/>
      <c r="H189" s="287">
        <f t="shared" si="16"/>
        <v>15000</v>
      </c>
      <c r="I189" s="287"/>
      <c r="J189" s="281">
        <v>5000</v>
      </c>
      <c r="K189" s="281"/>
      <c r="L189" s="281"/>
      <c r="M189" s="301">
        <f t="shared" si="18"/>
        <v>7.4999999999999997E-2</v>
      </c>
      <c r="N189" s="301"/>
      <c r="O189" s="301"/>
      <c r="P189" s="301"/>
      <c r="Q189" s="90">
        <v>0.06</v>
      </c>
      <c r="R189" s="281">
        <f t="shared" si="17"/>
        <v>0.13431357724071408</v>
      </c>
      <c r="S189" s="281"/>
    </row>
    <row r="190" spans="1:19" ht="15" thickBot="1">
      <c r="A190" s="282" t="s">
        <v>10</v>
      </c>
      <c r="B190" s="282"/>
      <c r="M190" s="283">
        <f>SUM(M186:P189)</f>
        <v>0.13200000000000001</v>
      </c>
      <c r="N190" s="284"/>
      <c r="O190" s="284"/>
      <c r="P190" s="284"/>
      <c r="R190" s="283">
        <f>SUM(R186:S189)</f>
        <v>0.23639189594365678</v>
      </c>
      <c r="S190" s="283"/>
    </row>
    <row r="191" spans="1:19" ht="15" thickTop="1">
      <c r="A191" s="22"/>
      <c r="B191" s="22"/>
      <c r="M191" s="80"/>
      <c r="N191" s="91"/>
      <c r="O191" s="91"/>
      <c r="P191" s="91"/>
      <c r="R191" s="80"/>
      <c r="S191" s="80"/>
    </row>
    <row r="192" spans="1:19" s="33" customFormat="1">
      <c r="A192" s="33" t="s">
        <v>281</v>
      </c>
    </row>
    <row r="193" spans="1:31" s="35" customFormat="1">
      <c r="A193" s="35" t="s">
        <v>69</v>
      </c>
    </row>
    <row r="194" spans="1:31">
      <c r="A194" s="198" t="s">
        <v>267</v>
      </c>
      <c r="B194" s="198"/>
      <c r="C194" s="198" t="s">
        <v>268</v>
      </c>
      <c r="D194" s="198"/>
      <c r="E194" s="198" t="s">
        <v>269</v>
      </c>
      <c r="F194" s="198"/>
      <c r="G194" s="198"/>
      <c r="H194" s="198" t="s">
        <v>270</v>
      </c>
      <c r="I194" s="198"/>
      <c r="J194" s="198" t="s">
        <v>271</v>
      </c>
      <c r="K194" s="198"/>
      <c r="L194" s="198"/>
      <c r="M194" s="198" t="s">
        <v>208</v>
      </c>
      <c r="N194" s="198"/>
      <c r="O194" s="198"/>
      <c r="P194" s="198"/>
      <c r="Q194" s="34" t="s">
        <v>4</v>
      </c>
      <c r="R194" s="198" t="s">
        <v>198</v>
      </c>
      <c r="S194" s="198"/>
    </row>
    <row r="195" spans="1:31" ht="14.4" customHeight="1">
      <c r="A195" s="285" t="s">
        <v>282</v>
      </c>
      <c r="B195" s="286"/>
      <c r="C195" s="292">
        <v>750</v>
      </c>
      <c r="D195" s="293"/>
      <c r="E195" s="294">
        <v>0.15</v>
      </c>
      <c r="F195" s="295"/>
      <c r="G195" s="296"/>
      <c r="H195" s="292">
        <f t="shared" ref="H195:H196" si="19">C195*E195</f>
        <v>112.5</v>
      </c>
      <c r="I195" s="293"/>
      <c r="J195" s="297">
        <v>20000</v>
      </c>
      <c r="K195" s="298"/>
      <c r="L195" s="299"/>
      <c r="M195" s="289">
        <f>J195*H195/100000000</f>
        <v>2.2499999999999999E-2</v>
      </c>
      <c r="N195" s="290"/>
      <c r="O195" s="290"/>
      <c r="P195" s="291"/>
      <c r="Q195" s="90">
        <v>0.06</v>
      </c>
      <c r="R195" s="297">
        <f t="shared" ref="R195:R196" si="20">M195*(1+Q195)^10</f>
        <v>4.0294073172214229E-2</v>
      </c>
      <c r="S195" s="299"/>
    </row>
    <row r="196" spans="1:31" ht="14.4" customHeight="1">
      <c r="A196" s="285" t="s">
        <v>283</v>
      </c>
      <c r="B196" s="286"/>
      <c r="C196" s="287">
        <v>1500</v>
      </c>
      <c r="D196" s="287"/>
      <c r="E196" s="288">
        <v>0.15</v>
      </c>
      <c r="F196" s="288"/>
      <c r="G196" s="288"/>
      <c r="H196" s="287">
        <f t="shared" si="19"/>
        <v>225</v>
      </c>
      <c r="I196" s="287"/>
      <c r="J196" s="281">
        <v>1500</v>
      </c>
      <c r="K196" s="281"/>
      <c r="L196" s="281"/>
      <c r="M196" s="289">
        <f>J196*H196/100000000</f>
        <v>3.375E-3</v>
      </c>
      <c r="N196" s="290"/>
      <c r="O196" s="290"/>
      <c r="P196" s="291"/>
      <c r="Q196" s="90">
        <v>0.06</v>
      </c>
      <c r="R196" s="281">
        <f t="shared" si="20"/>
        <v>6.044110975832134E-3</v>
      </c>
      <c r="S196" s="281"/>
    </row>
    <row r="197" spans="1:31" ht="15" thickBot="1">
      <c r="A197" s="282" t="s">
        <v>10</v>
      </c>
      <c r="B197" s="282"/>
      <c r="M197" s="283">
        <f>SUM(M193:P196)</f>
        <v>2.5874999999999999E-2</v>
      </c>
      <c r="N197" s="284"/>
      <c r="O197" s="284"/>
      <c r="P197" s="284"/>
      <c r="R197" s="283">
        <f>SUM(R193:S196)</f>
        <v>4.6338184148046364E-2</v>
      </c>
      <c r="S197" s="283"/>
    </row>
    <row r="198" spans="1:31" ht="15" thickTop="1"/>
    <row r="199" spans="1:31" s="88" customFormat="1">
      <c r="A199" s="87" t="s">
        <v>236</v>
      </c>
    </row>
    <row r="200" spans="1:31">
      <c r="A200" s="158" t="s">
        <v>70</v>
      </c>
      <c r="B200" s="158"/>
      <c r="C200" s="158"/>
      <c r="D200" s="158"/>
      <c r="E200" s="158"/>
      <c r="F200" s="177" t="s">
        <v>238</v>
      </c>
      <c r="G200" s="177"/>
      <c r="H200" s="177"/>
      <c r="I200" s="177" t="s">
        <v>239</v>
      </c>
      <c r="J200" s="177"/>
      <c r="K200" s="177"/>
      <c r="L200" s="177" t="s">
        <v>240</v>
      </c>
      <c r="M200" s="177"/>
      <c r="N200" s="177" t="s">
        <v>241</v>
      </c>
      <c r="O200" s="177"/>
      <c r="P200" s="177"/>
      <c r="Q200" s="177"/>
      <c r="R200" s="177" t="s">
        <v>242</v>
      </c>
      <c r="S200" s="177"/>
      <c r="T200" s="177"/>
      <c r="U200" s="177"/>
      <c r="V200" s="177" t="s">
        <v>243</v>
      </c>
      <c r="W200" s="177"/>
      <c r="X200" s="177" t="s">
        <v>244</v>
      </c>
      <c r="Y200" s="177"/>
      <c r="Z200" s="177"/>
      <c r="AA200" s="280" t="s">
        <v>245</v>
      </c>
      <c r="AB200" s="280"/>
      <c r="AC200" s="177" t="s">
        <v>246</v>
      </c>
      <c r="AD200" s="177"/>
      <c r="AE200" s="177"/>
    </row>
    <row r="201" spans="1:31">
      <c r="A201" s="160" t="s">
        <v>162</v>
      </c>
      <c r="B201" s="160"/>
      <c r="C201" s="160"/>
      <c r="D201" s="160"/>
      <c r="E201" s="160"/>
      <c r="F201" s="211">
        <f>M182</f>
        <v>4.6361249999999998</v>
      </c>
      <c r="G201" s="211"/>
      <c r="H201" s="211"/>
      <c r="I201" s="211">
        <f>R182</f>
        <v>8.3025937771347404</v>
      </c>
      <c r="J201" s="211"/>
      <c r="K201" s="211"/>
      <c r="L201" s="269">
        <v>0.35</v>
      </c>
      <c r="M201" s="269"/>
      <c r="N201" s="211">
        <f>F201*L201</f>
        <v>1.6226437499999999</v>
      </c>
      <c r="O201" s="211"/>
      <c r="P201" s="211"/>
      <c r="Q201" s="211"/>
      <c r="R201" s="211">
        <f xml:space="preserve"> I201*L201</f>
        <v>2.9059078219971588</v>
      </c>
      <c r="S201" s="211"/>
      <c r="T201" s="211"/>
      <c r="U201" s="211"/>
      <c r="V201" s="269">
        <v>0.2</v>
      </c>
      <c r="W201" s="269"/>
      <c r="X201" s="211">
        <f>N201*V201</f>
        <v>0.32452875000000003</v>
      </c>
      <c r="Y201" s="211"/>
      <c r="Z201" s="211"/>
      <c r="AA201" s="270">
        <v>0.1</v>
      </c>
      <c r="AB201" s="271"/>
      <c r="AC201" s="211">
        <f xml:space="preserve"> R201*V201*(1+AA201)^10</f>
        <v>1.50743530061015</v>
      </c>
      <c r="AD201" s="211"/>
      <c r="AE201" s="211"/>
    </row>
    <row r="202" spans="1:31">
      <c r="A202" s="160" t="s">
        <v>163</v>
      </c>
      <c r="B202" s="160"/>
      <c r="C202" s="160"/>
      <c r="D202" s="160"/>
      <c r="E202" s="160"/>
      <c r="F202" s="211">
        <f>M190</f>
        <v>0.13200000000000001</v>
      </c>
      <c r="G202" s="211"/>
      <c r="H202" s="211"/>
      <c r="I202" s="211">
        <f>R190</f>
        <v>0.23639189594365678</v>
      </c>
      <c r="J202" s="211"/>
      <c r="K202" s="211"/>
      <c r="L202" s="269">
        <v>0.35</v>
      </c>
      <c r="M202" s="269"/>
      <c r="N202" s="202">
        <f>F202*L202</f>
        <v>4.6199999999999998E-2</v>
      </c>
      <c r="O202" s="278"/>
      <c r="P202" s="278"/>
      <c r="Q202" s="203"/>
      <c r="R202" s="211">
        <f t="shared" ref="R202:R203" si="21" xml:space="preserve"> I202*L202</f>
        <v>8.2737163580279868E-2</v>
      </c>
      <c r="S202" s="211"/>
      <c r="T202" s="211"/>
      <c r="U202" s="211"/>
      <c r="V202" s="269">
        <v>0.2</v>
      </c>
      <c r="W202" s="269"/>
      <c r="X202" s="211">
        <f t="shared" ref="X202:X203" si="22">N202*V202</f>
        <v>9.2399999999999999E-3</v>
      </c>
      <c r="Y202" s="211"/>
      <c r="Z202" s="211"/>
      <c r="AA202" s="270">
        <v>0.1</v>
      </c>
      <c r="AB202" s="271"/>
      <c r="AC202" s="211">
        <f t="shared" ref="AC202:AC203" si="23" xml:space="preserve"> R202*V202*(1+AA202)^10</f>
        <v>4.2919778841282286E-2</v>
      </c>
      <c r="AD202" s="211"/>
      <c r="AE202" s="211"/>
    </row>
    <row r="203" spans="1:31">
      <c r="A203" s="160" t="s">
        <v>164</v>
      </c>
      <c r="B203" s="160"/>
      <c r="C203" s="160"/>
      <c r="D203" s="160"/>
      <c r="E203" s="160"/>
      <c r="F203" s="211">
        <f>M197</f>
        <v>2.5874999999999999E-2</v>
      </c>
      <c r="G203" s="211"/>
      <c r="H203" s="211"/>
      <c r="I203" s="211">
        <f>R197</f>
        <v>4.6338184148046364E-2</v>
      </c>
      <c r="J203" s="211"/>
      <c r="K203" s="211"/>
      <c r="L203" s="269">
        <v>0.35</v>
      </c>
      <c r="M203" s="269"/>
      <c r="N203" s="202">
        <f>F203*L203</f>
        <v>9.0562499999999983E-3</v>
      </c>
      <c r="O203" s="278"/>
      <c r="P203" s="278"/>
      <c r="Q203" s="203"/>
      <c r="R203" s="211">
        <f t="shared" si="21"/>
        <v>1.6218364451816226E-2</v>
      </c>
      <c r="S203" s="211"/>
      <c r="T203" s="211"/>
      <c r="U203" s="211"/>
      <c r="V203" s="269">
        <v>0.2</v>
      </c>
      <c r="W203" s="269"/>
      <c r="X203" s="211">
        <f t="shared" si="22"/>
        <v>1.8112499999999997E-3</v>
      </c>
      <c r="Y203" s="211"/>
      <c r="Z203" s="211"/>
      <c r="AA203" s="270">
        <v>0.1</v>
      </c>
      <c r="AB203" s="271"/>
      <c r="AC203" s="211">
        <f t="shared" si="23"/>
        <v>8.4132521024104477E-3</v>
      </c>
      <c r="AD203" s="211"/>
      <c r="AE203" s="211"/>
    </row>
    <row r="204" spans="1:31">
      <c r="A204" s="272" t="s">
        <v>10</v>
      </c>
      <c r="B204" s="273"/>
      <c r="C204" s="273"/>
      <c r="D204" s="273"/>
      <c r="E204" s="274"/>
      <c r="F204" s="275">
        <f xml:space="preserve"> SUM(F201:H203)</f>
        <v>4.7939999999999996</v>
      </c>
      <c r="G204" s="275"/>
      <c r="H204" s="275"/>
      <c r="I204" s="275">
        <f xml:space="preserve"> SUM(I201:K203)</f>
        <v>8.5853238572264434</v>
      </c>
      <c r="J204" s="275"/>
      <c r="K204" s="275"/>
      <c r="L204" s="276">
        <f>AVERAGE(L201:M203)</f>
        <v>0.34999999999999992</v>
      </c>
      <c r="M204" s="277"/>
      <c r="N204" s="275">
        <f>SUM(N201:Q203)</f>
        <v>1.6778999999999999</v>
      </c>
      <c r="O204" s="275"/>
      <c r="P204" s="275"/>
      <c r="Q204" s="275"/>
      <c r="R204" s="275">
        <f>SUM(R201:U203)</f>
        <v>3.0048633500292548</v>
      </c>
      <c r="S204" s="275"/>
      <c r="T204" s="275"/>
      <c r="U204" s="275"/>
      <c r="V204" s="276">
        <f>AVERAGE(V201:W203)</f>
        <v>0.20000000000000004</v>
      </c>
      <c r="W204" s="277"/>
      <c r="X204" s="275">
        <f>N204*V204</f>
        <v>0.33558000000000004</v>
      </c>
      <c r="Y204" s="275"/>
      <c r="Z204" s="275"/>
      <c r="AA204" s="276">
        <f xml:space="preserve"> AVERAGE(AA201:AB203)</f>
        <v>0.10000000000000002</v>
      </c>
      <c r="AB204" s="279"/>
      <c r="AC204" s="275">
        <f>R204*V204*(1+AA204)^10*L204</f>
        <v>0.54556891604384483</v>
      </c>
      <c r="AD204" s="275"/>
      <c r="AE204" s="275"/>
    </row>
    <row r="205" spans="1:31">
      <c r="A205" s="263" t="s">
        <v>252</v>
      </c>
      <c r="B205" s="264"/>
      <c r="C205" s="264"/>
      <c r="D205" s="264"/>
      <c r="E205" s="265"/>
      <c r="X205" s="266">
        <f xml:space="preserve"> X204/N204</f>
        <v>0.20000000000000004</v>
      </c>
      <c r="Y205" s="267"/>
      <c r="Z205" s="268"/>
      <c r="AC205" s="266">
        <f xml:space="preserve"> AC204/R204</f>
        <v>0.18156197220700013</v>
      </c>
      <c r="AD205" s="267"/>
      <c r="AE205" s="268"/>
    </row>
    <row r="207" spans="1:31" s="3" customFormat="1">
      <c r="A207" s="2" t="s">
        <v>144</v>
      </c>
    </row>
    <row r="208" spans="1:31">
      <c r="A208" s="52" t="s">
        <v>116</v>
      </c>
      <c r="B208" s="52"/>
      <c r="D208" s="53">
        <f>DATE(2025, 4, 1)</f>
        <v>45748</v>
      </c>
      <c r="E208" s="53">
        <f>EDATE(D208, 12)</f>
        <v>46113</v>
      </c>
      <c r="F208" s="53">
        <f>EDATE(E208, 12)</f>
        <v>46478</v>
      </c>
      <c r="G208" s="53">
        <f t="shared" ref="G208:N208" si="24">EDATE(F208, 12)</f>
        <v>46844</v>
      </c>
      <c r="H208" s="53">
        <f t="shared" si="24"/>
        <v>47209</v>
      </c>
      <c r="I208" s="53">
        <f t="shared" si="24"/>
        <v>47574</v>
      </c>
      <c r="J208" s="53">
        <f t="shared" si="24"/>
        <v>47939</v>
      </c>
      <c r="K208" s="53">
        <f t="shared" si="24"/>
        <v>48305</v>
      </c>
      <c r="L208" s="53">
        <f t="shared" si="24"/>
        <v>48670</v>
      </c>
      <c r="M208" s="53">
        <f>EDATE(L208, 12)</f>
        <v>49035</v>
      </c>
      <c r="N208" s="53">
        <f t="shared" si="24"/>
        <v>49400</v>
      </c>
    </row>
    <row r="209" spans="1:14">
      <c r="A209" s="52" t="s">
        <v>131</v>
      </c>
      <c r="B209" s="52"/>
      <c r="D209" s="54">
        <v>0</v>
      </c>
      <c r="E209" s="54">
        <v>1</v>
      </c>
      <c r="F209" s="54">
        <v>2</v>
      </c>
      <c r="G209" s="54">
        <v>3</v>
      </c>
      <c r="H209" s="54">
        <v>4</v>
      </c>
      <c r="I209" s="54">
        <v>5</v>
      </c>
      <c r="J209" s="54">
        <v>6</v>
      </c>
      <c r="K209" s="54">
        <v>7</v>
      </c>
      <c r="L209" s="54">
        <v>8</v>
      </c>
      <c r="M209" s="54">
        <v>9</v>
      </c>
      <c r="N209" s="54">
        <v>10</v>
      </c>
    </row>
    <row r="211" spans="1:14">
      <c r="A211" s="55" t="s">
        <v>132</v>
      </c>
      <c r="B211" s="55"/>
      <c r="D211" s="56">
        <f>CHOOSE(G26,P73,P72,P71)*1000</f>
        <v>217.828</v>
      </c>
      <c r="E211" s="56">
        <f>D211*(1+E212)</f>
        <v>381.19900000000001</v>
      </c>
      <c r="F211" s="56">
        <f>E211*(1+F212)</f>
        <v>571.79849999999999</v>
      </c>
      <c r="G211" s="56">
        <f t="shared" ref="G211:N211" si="25">F211*(1+G212)</f>
        <v>771.92797500000006</v>
      </c>
      <c r="H211" s="56">
        <f t="shared" si="25"/>
        <v>926.31357000000003</v>
      </c>
      <c r="I211" s="56">
        <f t="shared" si="25"/>
        <v>1065.2606054999999</v>
      </c>
      <c r="J211" s="56">
        <f t="shared" si="25"/>
        <v>1182.4392721049999</v>
      </c>
      <c r="K211" s="56">
        <f t="shared" si="25"/>
        <v>1288.85880659445</v>
      </c>
      <c r="L211" s="56">
        <f t="shared" si="25"/>
        <v>1353.3017469241727</v>
      </c>
      <c r="M211" s="56">
        <f t="shared" si="25"/>
        <v>1393.9007993318978</v>
      </c>
      <c r="N211" s="56">
        <f t="shared" si="25"/>
        <v>1435.7178233118548</v>
      </c>
    </row>
    <row r="212" spans="1:14" s="58" customFormat="1" ht="12">
      <c r="A212" s="164" t="s">
        <v>133</v>
      </c>
      <c r="B212" s="164"/>
      <c r="D212" s="59"/>
      <c r="E212" s="59">
        <v>0.75</v>
      </c>
      <c r="F212" s="59">
        <v>0.5</v>
      </c>
      <c r="G212" s="59">
        <v>0.35</v>
      </c>
      <c r="H212" s="59">
        <v>0.2</v>
      </c>
      <c r="I212" s="59">
        <v>0.15</v>
      </c>
      <c r="J212" s="59">
        <v>0.11</v>
      </c>
      <c r="K212" s="59">
        <v>0.09</v>
      </c>
      <c r="L212" s="59">
        <v>0.05</v>
      </c>
      <c r="M212" s="59">
        <v>0.03</v>
      </c>
      <c r="N212" s="59">
        <v>0.03</v>
      </c>
    </row>
    <row r="213" spans="1:14">
      <c r="A213" s="55"/>
      <c r="B213" s="55"/>
    </row>
    <row r="214" spans="1:14">
      <c r="A214" s="55" t="s">
        <v>134</v>
      </c>
      <c r="B214" s="55"/>
      <c r="D214" s="56">
        <f>D211*D215</f>
        <v>156.83616000000001</v>
      </c>
      <c r="E214" s="56">
        <f t="shared" ref="E214:N214" si="26">E211*E215</f>
        <v>266.83929999999998</v>
      </c>
      <c r="F214" s="56">
        <f t="shared" si="26"/>
        <v>394.54096499999997</v>
      </c>
      <c r="G214" s="56">
        <f t="shared" si="26"/>
        <v>524.91102300000011</v>
      </c>
      <c r="H214" s="56">
        <f t="shared" si="26"/>
        <v>611.3669562</v>
      </c>
      <c r="I214" s="56">
        <f t="shared" si="26"/>
        <v>681.76678751999998</v>
      </c>
      <c r="J214" s="56">
        <f t="shared" si="26"/>
        <v>744.93674142614998</v>
      </c>
      <c r="K214" s="56">
        <f t="shared" si="26"/>
        <v>799.09246008855905</v>
      </c>
      <c r="L214" s="56">
        <f t="shared" si="26"/>
        <v>825.5140656237453</v>
      </c>
      <c r="M214" s="56">
        <f t="shared" si="26"/>
        <v>836.34047959913869</v>
      </c>
      <c r="N214" s="56">
        <f t="shared" si="26"/>
        <v>861.43069398711282</v>
      </c>
    </row>
    <row r="215" spans="1:14" s="58" customFormat="1" ht="12">
      <c r="A215" s="164" t="s">
        <v>135</v>
      </c>
      <c r="B215" s="164"/>
      <c r="D215" s="59">
        <v>0.72</v>
      </c>
      <c r="E215" s="59">
        <v>0.7</v>
      </c>
      <c r="F215" s="59">
        <v>0.69</v>
      </c>
      <c r="G215" s="59">
        <v>0.68</v>
      </c>
      <c r="H215" s="59">
        <v>0.66</v>
      </c>
      <c r="I215" s="59">
        <v>0.64</v>
      </c>
      <c r="J215" s="59">
        <v>0.63</v>
      </c>
      <c r="K215" s="59">
        <v>0.62</v>
      </c>
      <c r="L215" s="59">
        <v>0.61</v>
      </c>
      <c r="M215" s="59">
        <v>0.6</v>
      </c>
      <c r="N215" s="59">
        <v>0.6</v>
      </c>
    </row>
    <row r="217" spans="1:14">
      <c r="A217" s="92" t="s">
        <v>136</v>
      </c>
      <c r="B217" s="92"/>
      <c r="D217" s="56">
        <f xml:space="preserve"> D211-D214</f>
        <v>60.991839999999996</v>
      </c>
      <c r="E217" s="56">
        <f t="shared" ref="E217:N217" si="27" xml:space="preserve"> E211-E214</f>
        <v>114.35970000000003</v>
      </c>
      <c r="F217" s="56">
        <f t="shared" si="27"/>
        <v>177.25753500000002</v>
      </c>
      <c r="G217" s="56">
        <f t="shared" si="27"/>
        <v>247.01695199999995</v>
      </c>
      <c r="H217" s="56">
        <f t="shared" si="27"/>
        <v>314.94661380000002</v>
      </c>
      <c r="I217" s="56">
        <f t="shared" si="27"/>
        <v>383.4938179799999</v>
      </c>
      <c r="J217" s="56">
        <f t="shared" si="27"/>
        <v>437.50253067884989</v>
      </c>
      <c r="K217" s="56">
        <f t="shared" si="27"/>
        <v>489.76634650589097</v>
      </c>
      <c r="L217" s="56">
        <f t="shared" si="27"/>
        <v>527.78768130042738</v>
      </c>
      <c r="M217" s="56">
        <f t="shared" si="27"/>
        <v>557.56031973275913</v>
      </c>
      <c r="N217" s="56">
        <f t="shared" si="27"/>
        <v>574.28712932474195</v>
      </c>
    </row>
    <row r="218" spans="1:14" s="58" customFormat="1" ht="12">
      <c r="A218" s="262" t="s">
        <v>135</v>
      </c>
      <c r="B218" s="262"/>
      <c r="D218" s="59">
        <v>0.28000000000000003</v>
      </c>
      <c r="E218" s="59">
        <v>0.3</v>
      </c>
      <c r="F218" s="59">
        <v>0.31</v>
      </c>
      <c r="G218" s="59">
        <v>0.32</v>
      </c>
      <c r="H218" s="59">
        <v>0.34</v>
      </c>
      <c r="I218" s="59">
        <v>0.36</v>
      </c>
      <c r="J218" s="59">
        <v>0.37</v>
      </c>
      <c r="K218" s="59">
        <v>0.38</v>
      </c>
      <c r="L218" s="59">
        <v>0.39</v>
      </c>
      <c r="M218" s="59">
        <v>0.4</v>
      </c>
      <c r="N218" s="59">
        <v>0.41</v>
      </c>
    </row>
    <row r="220" spans="1:14">
      <c r="A220" s="55" t="s">
        <v>137</v>
      </c>
      <c r="B220" s="55"/>
      <c r="D220" s="56">
        <f>D211*D221</f>
        <v>65.348399999999998</v>
      </c>
      <c r="E220" s="56">
        <f t="shared" ref="E220:N220" si="28">E211*E221</f>
        <v>106.73572000000001</v>
      </c>
      <c r="F220" s="56">
        <f t="shared" si="28"/>
        <v>148.66761</v>
      </c>
      <c r="G220" s="56">
        <f t="shared" si="28"/>
        <v>185.26271400000002</v>
      </c>
      <c r="H220" s="56">
        <f t="shared" si="28"/>
        <v>203.7889854</v>
      </c>
      <c r="I220" s="56">
        <f t="shared" si="28"/>
        <v>213.05212109999999</v>
      </c>
      <c r="J220" s="56">
        <f t="shared" si="28"/>
        <v>212.83906897889997</v>
      </c>
      <c r="K220" s="56">
        <f t="shared" si="28"/>
        <v>206.217409055112</v>
      </c>
      <c r="L220" s="56">
        <f t="shared" si="28"/>
        <v>189.46224456938418</v>
      </c>
      <c r="M220" s="56">
        <f t="shared" si="28"/>
        <v>167.26809591982774</v>
      </c>
      <c r="N220" s="56">
        <f t="shared" si="28"/>
        <v>143.57178233118549</v>
      </c>
    </row>
    <row r="221" spans="1:14" s="58" customFormat="1" ht="12">
      <c r="A221" s="164" t="s">
        <v>135</v>
      </c>
      <c r="B221" s="164"/>
      <c r="D221" s="59">
        <v>0.3</v>
      </c>
      <c r="E221" s="59">
        <v>0.28000000000000003</v>
      </c>
      <c r="F221" s="59">
        <v>0.26</v>
      </c>
      <c r="G221" s="59">
        <v>0.24</v>
      </c>
      <c r="H221" s="59">
        <v>0.22</v>
      </c>
      <c r="I221" s="59">
        <v>0.2</v>
      </c>
      <c r="J221" s="59">
        <v>0.18</v>
      </c>
      <c r="K221" s="59">
        <v>0.16</v>
      </c>
      <c r="L221" s="59">
        <v>0.14000000000000001</v>
      </c>
      <c r="M221" s="59">
        <v>0.12</v>
      </c>
      <c r="N221" s="59">
        <v>0.1</v>
      </c>
    </row>
    <row r="222" spans="1:14">
      <c r="A222" s="93" t="s">
        <v>284</v>
      </c>
      <c r="B222" s="55"/>
      <c r="D222" s="56">
        <f>D211*D223</f>
        <v>7.6239800000000004</v>
      </c>
      <c r="E222" s="56">
        <f t="shared" ref="E222:N222" si="29">E211*E223</f>
        <v>12.960766000000001</v>
      </c>
      <c r="F222" s="56">
        <f t="shared" si="29"/>
        <v>18.869350499999999</v>
      </c>
      <c r="G222" s="56">
        <f t="shared" si="29"/>
        <v>24.701695200000003</v>
      </c>
      <c r="H222" s="56">
        <f t="shared" si="29"/>
        <v>27.789407099999998</v>
      </c>
      <c r="I222" s="56">
        <f t="shared" si="29"/>
        <v>29.827296953999998</v>
      </c>
      <c r="J222" s="56">
        <f t="shared" si="29"/>
        <v>31.925860346834995</v>
      </c>
      <c r="K222" s="56">
        <f t="shared" si="29"/>
        <v>33.510328971455699</v>
      </c>
      <c r="L222" s="56">
        <f t="shared" si="29"/>
        <v>33.832543673104318</v>
      </c>
      <c r="M222" s="56">
        <f t="shared" si="29"/>
        <v>33.45361918396555</v>
      </c>
      <c r="N222" s="56">
        <f t="shared" si="29"/>
        <v>33.021509936172656</v>
      </c>
    </row>
    <row r="223" spans="1:14" s="58" customFormat="1" ht="12">
      <c r="A223" s="164" t="s">
        <v>135</v>
      </c>
      <c r="B223" s="164"/>
      <c r="D223" s="59">
        <v>3.5000000000000003E-2</v>
      </c>
      <c r="E223" s="59">
        <v>3.4000000000000002E-2</v>
      </c>
      <c r="F223" s="59">
        <v>3.3000000000000002E-2</v>
      </c>
      <c r="G223" s="59">
        <v>3.2000000000000001E-2</v>
      </c>
      <c r="H223" s="59">
        <v>0.03</v>
      </c>
      <c r="I223" s="59">
        <v>2.8000000000000001E-2</v>
      </c>
      <c r="J223" s="59">
        <v>2.7E-2</v>
      </c>
      <c r="K223" s="59">
        <v>2.5999999999999999E-2</v>
      </c>
      <c r="L223" s="59">
        <v>2.5000000000000001E-2</v>
      </c>
      <c r="M223" s="59">
        <v>2.4E-2</v>
      </c>
      <c r="N223" s="59">
        <v>2.3E-2</v>
      </c>
    </row>
    <row r="224" spans="1:14">
      <c r="A224" s="55" t="s">
        <v>138</v>
      </c>
      <c r="B224" s="55"/>
      <c r="D224" s="56">
        <f>D211*D225</f>
        <v>21.782800000000002</v>
      </c>
      <c r="E224" s="56">
        <f t="shared" ref="E224:N224" si="30">E211*E225</f>
        <v>38.119900000000001</v>
      </c>
      <c r="F224" s="56">
        <f t="shared" si="30"/>
        <v>57.179850000000002</v>
      </c>
      <c r="G224" s="56">
        <f t="shared" si="30"/>
        <v>77.192797500000012</v>
      </c>
      <c r="H224" s="56">
        <f t="shared" si="30"/>
        <v>92.631357000000008</v>
      </c>
      <c r="I224" s="56">
        <f t="shared" si="30"/>
        <v>106.52606055</v>
      </c>
      <c r="J224" s="56">
        <f t="shared" si="30"/>
        <v>118.24392721049999</v>
      </c>
      <c r="K224" s="56">
        <f t="shared" si="30"/>
        <v>128.88588065944501</v>
      </c>
      <c r="L224" s="56">
        <f t="shared" si="30"/>
        <v>135.33017469241727</v>
      </c>
      <c r="M224" s="56">
        <f t="shared" si="30"/>
        <v>139.39007993318978</v>
      </c>
      <c r="N224" s="56">
        <f t="shared" si="30"/>
        <v>143.57178233118549</v>
      </c>
    </row>
    <row r="225" spans="1:19" s="58" customFormat="1" ht="12">
      <c r="A225" s="164" t="s">
        <v>135</v>
      </c>
      <c r="B225" s="164"/>
      <c r="D225" s="59">
        <v>0.1</v>
      </c>
      <c r="E225" s="59">
        <v>0.1</v>
      </c>
      <c r="F225" s="59">
        <v>0.1</v>
      </c>
      <c r="G225" s="59">
        <v>0.1</v>
      </c>
      <c r="H225" s="59">
        <v>0.1</v>
      </c>
      <c r="I225" s="59">
        <v>0.1</v>
      </c>
      <c r="J225" s="59">
        <v>0.1</v>
      </c>
      <c r="K225" s="59">
        <v>0.1</v>
      </c>
      <c r="L225" s="59">
        <v>0.1</v>
      </c>
      <c r="M225" s="59">
        <v>0.1</v>
      </c>
      <c r="N225" s="59">
        <v>0.1</v>
      </c>
    </row>
    <row r="227" spans="1:19">
      <c r="A227" s="92" t="s">
        <v>285</v>
      </c>
      <c r="B227" s="92"/>
      <c r="D227" s="56">
        <f>D217-SUM(D220,D222,D224)</f>
        <v>-33.763339999999999</v>
      </c>
      <c r="E227" s="56">
        <f t="shared" ref="E227:N227" si="31">E217-SUM(E220,E222,E224)</f>
        <v>-43.456685999999991</v>
      </c>
      <c r="F227" s="56">
        <f t="shared" si="31"/>
        <v>-47.45927549999999</v>
      </c>
      <c r="G227" s="56">
        <f t="shared" si="31"/>
        <v>-40.140254700000128</v>
      </c>
      <c r="H227" s="56">
        <f t="shared" si="31"/>
        <v>-9.2631357000000207</v>
      </c>
      <c r="I227" s="56">
        <f t="shared" si="31"/>
        <v>34.088339375999908</v>
      </c>
      <c r="J227" s="56">
        <f t="shared" si="31"/>
        <v>74.493674142614964</v>
      </c>
      <c r="K227" s="56">
        <f t="shared" si="31"/>
        <v>121.15272781987824</v>
      </c>
      <c r="L227" s="56">
        <f t="shared" si="31"/>
        <v>169.16271836552164</v>
      </c>
      <c r="M227" s="56">
        <f t="shared" si="31"/>
        <v>217.44852469577609</v>
      </c>
      <c r="N227" s="56">
        <f t="shared" si="31"/>
        <v>254.12205472619831</v>
      </c>
    </row>
    <row r="228" spans="1:19" s="58" customFormat="1" ht="12">
      <c r="A228" s="262" t="s">
        <v>135</v>
      </c>
      <c r="B228" s="262"/>
      <c r="D228" s="59">
        <f>D227/D211</f>
        <v>-0.155</v>
      </c>
      <c r="E228" s="59">
        <f t="shared" ref="E228:N228" si="32">E227/E211</f>
        <v>-0.11399999999999998</v>
      </c>
      <c r="F228" s="59">
        <f t="shared" si="32"/>
        <v>-8.2999999999999977E-2</v>
      </c>
      <c r="G228" s="59">
        <f t="shared" si="32"/>
        <v>-5.2000000000000164E-2</v>
      </c>
      <c r="H228" s="59">
        <f t="shared" si="32"/>
        <v>-1.0000000000000023E-2</v>
      </c>
      <c r="I228" s="59">
        <f t="shared" si="32"/>
        <v>3.1999999999999917E-2</v>
      </c>
      <c r="J228" s="59">
        <f t="shared" si="32"/>
        <v>6.2999999999999973E-2</v>
      </c>
      <c r="K228" s="59">
        <f t="shared" si="32"/>
        <v>9.3999999999999945E-2</v>
      </c>
      <c r="L228" s="59">
        <f t="shared" si="32"/>
        <v>0.12500000000000006</v>
      </c>
      <c r="M228" s="59">
        <f t="shared" si="32"/>
        <v>0.15600000000000003</v>
      </c>
      <c r="N228" s="59">
        <f t="shared" si="32"/>
        <v>0.17700000000000002</v>
      </c>
    </row>
    <row r="230" spans="1:19">
      <c r="A230" s="55" t="s">
        <v>139</v>
      </c>
      <c r="B230" s="55"/>
      <c r="D230" s="56">
        <f>D211*D231</f>
        <v>6.53484</v>
      </c>
      <c r="E230" s="56">
        <f t="shared" ref="E230:N230" si="33">E211*E231</f>
        <v>11.435969999999999</v>
      </c>
      <c r="F230" s="56">
        <f t="shared" si="33"/>
        <v>17.153955</v>
      </c>
      <c r="G230" s="56">
        <f t="shared" si="33"/>
        <v>23.157839250000002</v>
      </c>
      <c r="H230" s="56">
        <f t="shared" si="33"/>
        <v>27.789407099999998</v>
      </c>
      <c r="I230" s="56">
        <f t="shared" si="33"/>
        <v>31.957818164999996</v>
      </c>
      <c r="J230" s="56">
        <f t="shared" si="33"/>
        <v>35.473178163149996</v>
      </c>
      <c r="K230" s="56">
        <f t="shared" si="33"/>
        <v>38.665764197833496</v>
      </c>
      <c r="L230" s="56">
        <f t="shared" si="33"/>
        <v>40.599052407725182</v>
      </c>
      <c r="M230" s="56">
        <f t="shared" si="33"/>
        <v>41.817023979956936</v>
      </c>
      <c r="N230" s="56">
        <f t="shared" si="33"/>
        <v>43.071534699355638</v>
      </c>
    </row>
    <row r="231" spans="1:19" s="58" customFormat="1" ht="12">
      <c r="A231" s="164" t="s">
        <v>135</v>
      </c>
      <c r="B231" s="164"/>
      <c r="D231" s="59">
        <v>0.03</v>
      </c>
      <c r="E231" s="59">
        <v>0.03</v>
      </c>
      <c r="F231" s="59">
        <v>0.03</v>
      </c>
      <c r="G231" s="59">
        <v>0.03</v>
      </c>
      <c r="H231" s="59">
        <v>0.03</v>
      </c>
      <c r="I231" s="59">
        <v>0.03</v>
      </c>
      <c r="J231" s="59">
        <v>0.03</v>
      </c>
      <c r="K231" s="59">
        <v>0.03</v>
      </c>
      <c r="L231" s="59">
        <v>0.03</v>
      </c>
      <c r="M231" s="59">
        <v>0.03</v>
      </c>
      <c r="N231" s="59">
        <v>0.03</v>
      </c>
    </row>
    <row r="233" spans="1:19">
      <c r="A233" s="92" t="s">
        <v>140</v>
      </c>
      <c r="B233" s="92"/>
      <c r="D233" s="56">
        <f>D217-SUM(D220,D222,D224)-D230</f>
        <v>-40.298180000000002</v>
      </c>
      <c r="E233" s="56">
        <f t="shared" ref="E233:N233" si="34">E217-SUM(E220,E222,E224)-E230</f>
        <v>-54.892655999999988</v>
      </c>
      <c r="F233" s="56">
        <f t="shared" si="34"/>
        <v>-64.613230499999986</v>
      </c>
      <c r="G233" s="56">
        <f t="shared" si="34"/>
        <v>-63.29809395000013</v>
      </c>
      <c r="H233" s="56">
        <f t="shared" si="34"/>
        <v>-37.052542800000019</v>
      </c>
      <c r="I233" s="56">
        <f t="shared" si="34"/>
        <v>2.1305212109999125</v>
      </c>
      <c r="J233" s="56">
        <f t="shared" si="34"/>
        <v>39.020495979464968</v>
      </c>
      <c r="K233" s="56">
        <f t="shared" si="34"/>
        <v>82.48696362204474</v>
      </c>
      <c r="L233" s="56">
        <f t="shared" si="34"/>
        <v>128.56366595779645</v>
      </c>
      <c r="M233" s="56">
        <f t="shared" si="34"/>
        <v>175.63150071581916</v>
      </c>
      <c r="N233" s="56">
        <f t="shared" si="34"/>
        <v>211.05052002684266</v>
      </c>
    </row>
    <row r="234" spans="1:19" s="58" customFormat="1" ht="12">
      <c r="A234" s="262" t="s">
        <v>135</v>
      </c>
      <c r="B234" s="262"/>
      <c r="D234" s="59">
        <f>D233/D211</f>
        <v>-0.185</v>
      </c>
      <c r="E234" s="59">
        <f t="shared" ref="E234:N234" si="35">E233/E211</f>
        <v>-0.14399999999999996</v>
      </c>
      <c r="F234" s="59">
        <f t="shared" si="35"/>
        <v>-0.11299999999999998</v>
      </c>
      <c r="G234" s="59">
        <f t="shared" si="35"/>
        <v>-8.2000000000000156E-2</v>
      </c>
      <c r="H234" s="59">
        <f t="shared" si="35"/>
        <v>-4.0000000000000022E-2</v>
      </c>
      <c r="I234" s="59">
        <f t="shared" si="35"/>
        <v>1.9999999999999181E-3</v>
      </c>
      <c r="J234" s="59">
        <f t="shared" si="35"/>
        <v>3.2999999999999974E-2</v>
      </c>
      <c r="K234" s="59">
        <f t="shared" si="35"/>
        <v>6.399999999999996E-2</v>
      </c>
      <c r="L234" s="59">
        <f t="shared" si="35"/>
        <v>9.5000000000000029E-2</v>
      </c>
      <c r="M234" s="59">
        <f t="shared" si="35"/>
        <v>0.12600000000000003</v>
      </c>
      <c r="N234" s="59">
        <f t="shared" si="35"/>
        <v>0.14700000000000002</v>
      </c>
    </row>
    <row r="236" spans="1:19">
      <c r="A236" s="55" t="s">
        <v>141</v>
      </c>
      <c r="B236" s="55"/>
      <c r="D236" s="56">
        <f>D211*D237</f>
        <v>4.35656</v>
      </c>
      <c r="E236" s="56">
        <f t="shared" ref="E236:N236" si="36">E211*E237</f>
        <v>7.6239800000000004</v>
      </c>
      <c r="F236" s="56">
        <f t="shared" si="36"/>
        <v>10.864171499999999</v>
      </c>
      <c r="G236" s="56">
        <f t="shared" si="36"/>
        <v>13.894703550000001</v>
      </c>
      <c r="H236" s="56">
        <f t="shared" si="36"/>
        <v>15.747330690000002</v>
      </c>
      <c r="I236" s="56">
        <f t="shared" si="36"/>
        <v>17.044169688</v>
      </c>
      <c r="J236" s="56">
        <f t="shared" si="36"/>
        <v>17.736589081574998</v>
      </c>
      <c r="K236" s="56">
        <f t="shared" si="36"/>
        <v>19.332882098916748</v>
      </c>
      <c r="L236" s="56">
        <f t="shared" si="36"/>
        <v>18.946224456938417</v>
      </c>
      <c r="M236" s="56">
        <f t="shared" si="36"/>
        <v>18.12071039131467</v>
      </c>
      <c r="N236" s="56">
        <f t="shared" si="36"/>
        <v>17.228613879742259</v>
      </c>
      <c r="S236" s="94"/>
    </row>
    <row r="237" spans="1:19" s="58" customFormat="1" ht="12">
      <c r="A237" s="164" t="s">
        <v>135</v>
      </c>
      <c r="B237" s="164"/>
      <c r="D237" s="59">
        <v>0.02</v>
      </c>
      <c r="E237" s="59">
        <v>0.02</v>
      </c>
      <c r="F237" s="59">
        <v>1.9E-2</v>
      </c>
      <c r="G237" s="59">
        <v>1.7999999999999999E-2</v>
      </c>
      <c r="H237" s="59">
        <v>1.7000000000000001E-2</v>
      </c>
      <c r="I237" s="59">
        <v>1.6E-2</v>
      </c>
      <c r="J237" s="59">
        <v>1.4999999999999999E-2</v>
      </c>
      <c r="K237" s="59">
        <v>1.4999999999999999E-2</v>
      </c>
      <c r="L237" s="59">
        <v>1.4E-2</v>
      </c>
      <c r="M237" s="59">
        <v>1.2999999999999999E-2</v>
      </c>
      <c r="N237" s="59">
        <v>1.2E-2</v>
      </c>
    </row>
    <row r="239" spans="1:19">
      <c r="A239" s="55" t="s">
        <v>142</v>
      </c>
      <c r="B239" s="55"/>
      <c r="D239" s="56">
        <f>D211*D240</f>
        <v>-4.35656</v>
      </c>
      <c r="E239" s="56">
        <f>E211*E240</f>
        <v>-7.6239800000000004</v>
      </c>
      <c r="F239" s="56">
        <f t="shared" ref="F239:N239" si="37">F211*F240</f>
        <v>-10.864171499999999</v>
      </c>
      <c r="G239" s="56">
        <f t="shared" si="37"/>
        <v>-14.666631525000001</v>
      </c>
      <c r="H239" s="56">
        <f t="shared" si="37"/>
        <v>-16.67364426</v>
      </c>
      <c r="I239" s="56">
        <f t="shared" si="37"/>
        <v>-18.109430293500001</v>
      </c>
      <c r="J239" s="56">
        <f t="shared" si="37"/>
        <v>-18.919028353679998</v>
      </c>
      <c r="K239" s="56">
        <f t="shared" si="37"/>
        <v>-19.332882098916748</v>
      </c>
      <c r="L239" s="56">
        <f t="shared" si="37"/>
        <v>-20.299526203862591</v>
      </c>
      <c r="M239" s="56">
        <f t="shared" si="37"/>
        <v>-19.514611190646569</v>
      </c>
      <c r="N239" s="56">
        <f t="shared" si="37"/>
        <v>-18.66433170305411</v>
      </c>
    </row>
    <row r="240" spans="1:19" s="58" customFormat="1" ht="12">
      <c r="A240" s="164" t="s">
        <v>135</v>
      </c>
      <c r="B240" s="164"/>
      <c r="D240" s="59">
        <v>-0.02</v>
      </c>
      <c r="E240" s="59">
        <v>-0.02</v>
      </c>
      <c r="F240" s="59">
        <v>-1.9E-2</v>
      </c>
      <c r="G240" s="59">
        <v>-1.9E-2</v>
      </c>
      <c r="H240" s="59">
        <v>-1.7999999999999999E-2</v>
      </c>
      <c r="I240" s="59">
        <v>-1.7000000000000001E-2</v>
      </c>
      <c r="J240" s="59">
        <v>-1.6E-2</v>
      </c>
      <c r="K240" s="59">
        <v>-1.4999999999999999E-2</v>
      </c>
      <c r="L240" s="59">
        <v>-1.4999999999999999E-2</v>
      </c>
      <c r="M240" s="59">
        <v>-1.4E-2</v>
      </c>
      <c r="N240" s="59">
        <v>-1.2999999999999999E-2</v>
      </c>
    </row>
    <row r="242" spans="1:14">
      <c r="A242" s="55" t="s">
        <v>143</v>
      </c>
      <c r="B242" s="55"/>
      <c r="D242" s="56">
        <f xml:space="preserve"> MAX(D233,0)*25%</f>
        <v>0</v>
      </c>
      <c r="E242" s="56">
        <f t="shared" ref="E242:N242" si="38" xml:space="preserve"> MAX(E233,0)*25%</f>
        <v>0</v>
      </c>
      <c r="F242" s="56">
        <f t="shared" si="38"/>
        <v>0</v>
      </c>
      <c r="G242" s="56">
        <f t="shared" si="38"/>
        <v>0</v>
      </c>
      <c r="H242" s="56">
        <f t="shared" si="38"/>
        <v>0</v>
      </c>
      <c r="I242" s="56">
        <f t="shared" si="38"/>
        <v>0.53263030274997814</v>
      </c>
      <c r="J242" s="56">
        <f t="shared" si="38"/>
        <v>9.755123994866242</v>
      </c>
      <c r="K242" s="56">
        <f t="shared" si="38"/>
        <v>20.621740905511185</v>
      </c>
      <c r="L242" s="56">
        <f t="shared" si="38"/>
        <v>32.140916489449111</v>
      </c>
      <c r="M242" s="56">
        <f t="shared" si="38"/>
        <v>43.907875178954789</v>
      </c>
      <c r="N242" s="56">
        <f t="shared" si="38"/>
        <v>52.762630006710665</v>
      </c>
    </row>
    <row r="243" spans="1:14" s="58" customFormat="1" ht="12">
      <c r="A243" s="164" t="s">
        <v>135</v>
      </c>
      <c r="B243" s="164"/>
      <c r="D243" s="59">
        <v>0.25</v>
      </c>
      <c r="E243" s="59">
        <v>0.25</v>
      </c>
      <c r="F243" s="59">
        <v>0.25</v>
      </c>
      <c r="G243" s="59">
        <v>0.25</v>
      </c>
      <c r="H243" s="59">
        <v>0.25</v>
      </c>
      <c r="I243" s="59">
        <v>0.25</v>
      </c>
      <c r="J243" s="59">
        <v>0.25</v>
      </c>
      <c r="K243" s="59">
        <v>0.25</v>
      </c>
      <c r="L243" s="59">
        <v>0.25</v>
      </c>
      <c r="M243" s="59">
        <v>0.25</v>
      </c>
      <c r="N243" s="59">
        <v>0.25</v>
      </c>
    </row>
    <row r="245" spans="1:14">
      <c r="A245" s="60" t="s">
        <v>144</v>
      </c>
      <c r="B245" s="60"/>
      <c r="D245" s="56">
        <f>D233+D230-D236-D239-D242</f>
        <v>-33.763339999999999</v>
      </c>
      <c r="E245" s="56">
        <f t="shared" ref="E245:N245" si="39">E233+E230-E236-E239-E242</f>
        <v>-43.456685999999991</v>
      </c>
      <c r="F245" s="56">
        <f t="shared" si="39"/>
        <v>-47.45927549999999</v>
      </c>
      <c r="G245" s="56">
        <f t="shared" si="39"/>
        <v>-39.368326725000131</v>
      </c>
      <c r="H245" s="56">
        <f t="shared" si="39"/>
        <v>-8.3368221300000229</v>
      </c>
      <c r="I245" s="56">
        <f t="shared" si="39"/>
        <v>34.62096967874993</v>
      </c>
      <c r="J245" s="56">
        <f t="shared" si="39"/>
        <v>65.920989419853726</v>
      </c>
      <c r="K245" s="56">
        <f t="shared" si="39"/>
        <v>100.53098691436705</v>
      </c>
      <c r="L245" s="56">
        <f t="shared" si="39"/>
        <v>138.37510362299673</v>
      </c>
      <c r="M245" s="56">
        <f t="shared" si="39"/>
        <v>174.93455031615321</v>
      </c>
      <c r="N245" s="56">
        <f t="shared" si="39"/>
        <v>202.79514254279951</v>
      </c>
    </row>
    <row r="246" spans="1:14" s="58" customFormat="1" ht="12">
      <c r="A246" s="165" t="s">
        <v>135</v>
      </c>
      <c r="B246" s="165"/>
      <c r="D246" s="59">
        <f t="shared" ref="D246:N246" si="40">D245/D211</f>
        <v>-0.155</v>
      </c>
      <c r="E246" s="59">
        <f t="shared" si="40"/>
        <v>-0.11399999999999998</v>
      </c>
      <c r="F246" s="59">
        <f t="shared" si="40"/>
        <v>-8.2999999999999977E-2</v>
      </c>
      <c r="G246" s="59">
        <f t="shared" si="40"/>
        <v>-5.1000000000000163E-2</v>
      </c>
      <c r="H246" s="59">
        <f t="shared" si="40"/>
        <v>-9.0000000000000253E-3</v>
      </c>
      <c r="I246" s="59">
        <f t="shared" si="40"/>
        <v>3.2499999999999939E-2</v>
      </c>
      <c r="J246" s="59">
        <f t="shared" si="40"/>
        <v>5.5749999999999987E-2</v>
      </c>
      <c r="K246" s="59">
        <f t="shared" si="40"/>
        <v>7.7999999999999958E-2</v>
      </c>
      <c r="L246" s="59">
        <f t="shared" si="40"/>
        <v>0.10225000000000006</v>
      </c>
      <c r="M246" s="59">
        <f t="shared" si="40"/>
        <v>0.12550000000000003</v>
      </c>
      <c r="N246" s="59">
        <f t="shared" si="40"/>
        <v>0.14125000000000001</v>
      </c>
    </row>
    <row r="248" spans="1:14">
      <c r="A248" s="166" t="s">
        <v>145</v>
      </c>
      <c r="B248" s="166"/>
      <c r="D248" s="61">
        <f>D245/(1+$D$252)^(D209-0.5)</f>
        <v>-36.676375106975982</v>
      </c>
      <c r="E248" s="61">
        <f t="shared" ref="E248:N248" si="41">E245/(1+$D$252)^(E209-0.5)</f>
        <v>-40.005122109577414</v>
      </c>
      <c r="F248" s="61">
        <f t="shared" si="41"/>
        <v>-37.025257973850643</v>
      </c>
      <c r="G248" s="61">
        <f t="shared" si="41"/>
        <v>-26.028068322438493</v>
      </c>
      <c r="H248" s="61">
        <f t="shared" si="41"/>
        <v>-4.6710391804974334</v>
      </c>
      <c r="I248" s="61">
        <f t="shared" si="41"/>
        <v>16.438803142287266</v>
      </c>
      <c r="J248" s="61">
        <f t="shared" si="41"/>
        <v>26.526055683248853</v>
      </c>
      <c r="K248" s="61">
        <f t="shared" si="41"/>
        <v>34.282059043700187</v>
      </c>
      <c r="L248" s="61">
        <f t="shared" si="41"/>
        <v>39.989217341148048</v>
      </c>
      <c r="M248" s="61">
        <f t="shared" si="41"/>
        <v>42.842867511528745</v>
      </c>
      <c r="N248" s="61">
        <f t="shared" si="41"/>
        <v>42.089956695816994</v>
      </c>
    </row>
    <row r="249" spans="1:14" s="142" customFormat="1" ht="10.8">
      <c r="A249" s="142" t="s">
        <v>146</v>
      </c>
      <c r="D249" s="143">
        <f t="shared" ref="D249:E249" si="42" xml:space="preserve"> SUM(D248,C249)</f>
        <v>-36.676375106975982</v>
      </c>
      <c r="E249" s="143">
        <f t="shared" si="42"/>
        <v>-76.681497216553396</v>
      </c>
      <c r="F249" s="143">
        <f xml:space="preserve"> SUM(F248,E249)</f>
        <v>-113.70675519040404</v>
      </c>
      <c r="G249" s="143">
        <f t="shared" ref="G249:N249" si="43" xml:space="preserve"> SUM(G248,F249)</f>
        <v>-139.73482351284252</v>
      </c>
      <c r="H249" s="143">
        <f t="shared" si="43"/>
        <v>-144.40586269333997</v>
      </c>
      <c r="I249" s="143">
        <f t="shared" si="43"/>
        <v>-127.9670595510527</v>
      </c>
      <c r="J249" s="143">
        <f t="shared" si="43"/>
        <v>-101.44100386780384</v>
      </c>
      <c r="K249" s="143">
        <f t="shared" si="43"/>
        <v>-67.158944824103656</v>
      </c>
      <c r="L249" s="143">
        <f t="shared" si="43"/>
        <v>-27.169727482955608</v>
      </c>
      <c r="M249" s="143">
        <f t="shared" si="43"/>
        <v>15.673140028573137</v>
      </c>
      <c r="N249" s="143">
        <f t="shared" si="43"/>
        <v>57.763096724390131</v>
      </c>
    </row>
    <row r="250" spans="1:14"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</row>
    <row r="251" spans="1:14" s="3" customFormat="1">
      <c r="A251" s="2" t="s">
        <v>130</v>
      </c>
    </row>
    <row r="252" spans="1:14">
      <c r="A252" s="161" t="s">
        <v>147</v>
      </c>
      <c r="B252" s="162"/>
      <c r="C252" s="163"/>
      <c r="D252" s="63">
        <f>CHOOSE(ASSUMPTIONS!E5,ASSUMPTIONS!D32,ASSUMPTIONS!D33,ASSUMPTIONS!D34)</f>
        <v>0.18</v>
      </c>
    </row>
    <row r="253" spans="1:14">
      <c r="A253" s="161" t="s">
        <v>148</v>
      </c>
      <c r="B253" s="162"/>
      <c r="C253" s="163"/>
      <c r="D253" s="63">
        <f>CHOOSE(ASSUMPTIONS!E5,ASSUMPTIONS!E32,ASSUMPTIONS!E33,ASSUMPTIONS!E34)</f>
        <v>3.5000000000000003E-2</v>
      </c>
    </row>
    <row r="254" spans="1:14">
      <c r="A254" s="160" t="s">
        <v>149</v>
      </c>
      <c r="B254" s="160"/>
      <c r="C254" s="160"/>
      <c r="D254" s="64">
        <f>N245*(1+D253)/(D252-D253)</f>
        <v>1447.5377415986034</v>
      </c>
    </row>
    <row r="255" spans="1:14">
      <c r="A255" s="160" t="s">
        <v>150</v>
      </c>
      <c r="B255" s="160"/>
      <c r="C255" s="160"/>
      <c r="D255" s="64">
        <f xml:space="preserve"> D254/(1+D252)^N209</f>
        <v>276.57302693586212</v>
      </c>
    </row>
    <row r="256" spans="1:14">
      <c r="A256" s="160" t="s">
        <v>732</v>
      </c>
      <c r="B256" s="160"/>
      <c r="C256" s="160"/>
      <c r="D256" s="64">
        <f>SUM(D245:N245)</f>
        <v>544.79329213992003</v>
      </c>
    </row>
    <row r="257" spans="1:4">
      <c r="D257" s="65"/>
    </row>
    <row r="258" spans="1:4">
      <c r="A258" s="161" t="s">
        <v>151</v>
      </c>
      <c r="B258" s="162"/>
      <c r="C258" s="163"/>
      <c r="D258" s="66">
        <f>SUM(D255:D256)</f>
        <v>821.36631907578214</v>
      </c>
    </row>
    <row r="259" spans="1:4">
      <c r="A259" s="161" t="s">
        <v>152</v>
      </c>
      <c r="B259" s="162"/>
      <c r="C259" s="163"/>
      <c r="D259" s="66">
        <f>D258</f>
        <v>821.36631907578214</v>
      </c>
    </row>
    <row r="260" spans="1:4">
      <c r="A260" s="161" t="s">
        <v>153</v>
      </c>
      <c r="B260" s="162"/>
      <c r="C260" s="163"/>
      <c r="D260" s="67">
        <f>-D258/SUM(D248:F248)</f>
        <v>7.2235490116694407</v>
      </c>
    </row>
    <row r="262" spans="1:4">
      <c r="A262" s="160" t="s">
        <v>154</v>
      </c>
      <c r="B262" s="160"/>
      <c r="C262" s="160"/>
      <c r="D262" s="68">
        <f xml:space="preserve"> 6+(-J249/K248)</f>
        <v>8.9590114099767018</v>
      </c>
    </row>
  </sheetData>
  <mergeCells count="642">
    <mergeCell ref="A1:F1"/>
    <mergeCell ref="A3:D3"/>
    <mergeCell ref="E3:F3"/>
    <mergeCell ref="G3:H3"/>
    <mergeCell ref="A4:D4"/>
    <mergeCell ref="E4:F4"/>
    <mergeCell ref="G4:H4"/>
    <mergeCell ref="A7:D7"/>
    <mergeCell ref="E7:F7"/>
    <mergeCell ref="G7:H7"/>
    <mergeCell ref="A8:D8"/>
    <mergeCell ref="E8:F8"/>
    <mergeCell ref="G8:H8"/>
    <mergeCell ref="A5:D5"/>
    <mergeCell ref="E5:F5"/>
    <mergeCell ref="G5:H5"/>
    <mergeCell ref="A6:D6"/>
    <mergeCell ref="E6:F6"/>
    <mergeCell ref="G6:H6"/>
    <mergeCell ref="A11:D11"/>
    <mergeCell ref="E11:F11"/>
    <mergeCell ref="G11:H11"/>
    <mergeCell ref="A12:D12"/>
    <mergeCell ref="E12:F12"/>
    <mergeCell ref="G12:H12"/>
    <mergeCell ref="A9:D9"/>
    <mergeCell ref="E9:F9"/>
    <mergeCell ref="G9:H9"/>
    <mergeCell ref="A10:D10"/>
    <mergeCell ref="E10:F10"/>
    <mergeCell ref="G10:H10"/>
    <mergeCell ref="A15:D15"/>
    <mergeCell ref="E15:F15"/>
    <mergeCell ref="G15:H15"/>
    <mergeCell ref="A16:D16"/>
    <mergeCell ref="E16:F16"/>
    <mergeCell ref="G16:H16"/>
    <mergeCell ref="A13:D13"/>
    <mergeCell ref="E13:F13"/>
    <mergeCell ref="G13:H13"/>
    <mergeCell ref="A14:D14"/>
    <mergeCell ref="E14:F14"/>
    <mergeCell ref="G14:H14"/>
    <mergeCell ref="A19:D19"/>
    <mergeCell ref="E19:F19"/>
    <mergeCell ref="G19:H19"/>
    <mergeCell ref="A20:D20"/>
    <mergeCell ref="E20:F20"/>
    <mergeCell ref="G20:H20"/>
    <mergeCell ref="A17:D17"/>
    <mergeCell ref="E17:F17"/>
    <mergeCell ref="G17:H17"/>
    <mergeCell ref="A18:D18"/>
    <mergeCell ref="E18:F18"/>
    <mergeCell ref="G18:H18"/>
    <mergeCell ref="A23:D23"/>
    <mergeCell ref="E23:F23"/>
    <mergeCell ref="G23:H23"/>
    <mergeCell ref="A26:B26"/>
    <mergeCell ref="E26:F26"/>
    <mergeCell ref="A28:F28"/>
    <mergeCell ref="H28:M28"/>
    <mergeCell ref="A21:D21"/>
    <mergeCell ref="E21:F21"/>
    <mergeCell ref="G21:H21"/>
    <mergeCell ref="A22:D22"/>
    <mergeCell ref="E22:F22"/>
    <mergeCell ref="G22:H22"/>
    <mergeCell ref="A32:D32"/>
    <mergeCell ref="H32:K32"/>
    <mergeCell ref="O32:R32"/>
    <mergeCell ref="A33:D33"/>
    <mergeCell ref="H33:K33"/>
    <mergeCell ref="O33:R33"/>
    <mergeCell ref="O28:T28"/>
    <mergeCell ref="A30:F30"/>
    <mergeCell ref="H30:M30"/>
    <mergeCell ref="O30:T30"/>
    <mergeCell ref="A31:D31"/>
    <mergeCell ref="H31:K31"/>
    <mergeCell ref="O31:R31"/>
    <mergeCell ref="A39:D39"/>
    <mergeCell ref="H39:K39"/>
    <mergeCell ref="O39:R39"/>
    <mergeCell ref="A40:D40"/>
    <mergeCell ref="H40:K40"/>
    <mergeCell ref="O40:R40"/>
    <mergeCell ref="A35:D35"/>
    <mergeCell ref="H35:K35"/>
    <mergeCell ref="O35:R35"/>
    <mergeCell ref="A36:D36"/>
    <mergeCell ref="H36:K36"/>
    <mergeCell ref="O36:R36"/>
    <mergeCell ref="A44:D44"/>
    <mergeCell ref="H44:K44"/>
    <mergeCell ref="O44:R44"/>
    <mergeCell ref="A45:D45"/>
    <mergeCell ref="H45:K45"/>
    <mergeCell ref="O45:R45"/>
    <mergeCell ref="A41:D41"/>
    <mergeCell ref="H41:K41"/>
    <mergeCell ref="O41:R41"/>
    <mergeCell ref="A42:D42"/>
    <mergeCell ref="H42:K42"/>
    <mergeCell ref="O42:R42"/>
    <mergeCell ref="A49:D49"/>
    <mergeCell ref="H49:K49"/>
    <mergeCell ref="O49:R49"/>
    <mergeCell ref="A50:D50"/>
    <mergeCell ref="H50:K50"/>
    <mergeCell ref="O50:R50"/>
    <mergeCell ref="A46:D46"/>
    <mergeCell ref="H46:K46"/>
    <mergeCell ref="O46:R46"/>
    <mergeCell ref="A47:D47"/>
    <mergeCell ref="H47:K47"/>
    <mergeCell ref="O47:R47"/>
    <mergeCell ref="A54:E54"/>
    <mergeCell ref="H54:L54"/>
    <mergeCell ref="O54:S54"/>
    <mergeCell ref="A55:D55"/>
    <mergeCell ref="H55:K55"/>
    <mergeCell ref="O55:R55"/>
    <mergeCell ref="A51:D51"/>
    <mergeCell ref="H51:K51"/>
    <mergeCell ref="O51:R51"/>
    <mergeCell ref="A52:D52"/>
    <mergeCell ref="H52:K52"/>
    <mergeCell ref="O52:R52"/>
    <mergeCell ref="A59:D59"/>
    <mergeCell ref="H59:K59"/>
    <mergeCell ref="O59:R59"/>
    <mergeCell ref="A60:D60"/>
    <mergeCell ref="H60:K60"/>
    <mergeCell ref="O60:R60"/>
    <mergeCell ref="A56:D56"/>
    <mergeCell ref="H56:K56"/>
    <mergeCell ref="O56:R56"/>
    <mergeCell ref="A57:D57"/>
    <mergeCell ref="H57:K57"/>
    <mergeCell ref="O57:R57"/>
    <mergeCell ref="B89:D89"/>
    <mergeCell ref="E89:F89"/>
    <mergeCell ref="G89:I89"/>
    <mergeCell ref="J89:K89"/>
    <mergeCell ref="N89:O89"/>
    <mergeCell ref="P89:Q89"/>
    <mergeCell ref="A61:D61"/>
    <mergeCell ref="H61:K61"/>
    <mergeCell ref="O61:R61"/>
    <mergeCell ref="A62:D62"/>
    <mergeCell ref="H62:K62"/>
    <mergeCell ref="O62:R62"/>
    <mergeCell ref="P90:Q90"/>
    <mergeCell ref="B91:D91"/>
    <mergeCell ref="E91:F91"/>
    <mergeCell ref="G91:I91"/>
    <mergeCell ref="J91:K91"/>
    <mergeCell ref="L91:M91"/>
    <mergeCell ref="N91:O91"/>
    <mergeCell ref="P91:Q91"/>
    <mergeCell ref="B90:D90"/>
    <mergeCell ref="E90:F90"/>
    <mergeCell ref="G90:I90"/>
    <mergeCell ref="J90:K90"/>
    <mergeCell ref="L90:M90"/>
    <mergeCell ref="N90:O90"/>
    <mergeCell ref="P92:Q92"/>
    <mergeCell ref="N93:O93"/>
    <mergeCell ref="P93:Q93"/>
    <mergeCell ref="A98:B98"/>
    <mergeCell ref="C98:F98"/>
    <mergeCell ref="G98:H98"/>
    <mergeCell ref="I98:J98"/>
    <mergeCell ref="K98:M98"/>
    <mergeCell ref="N98:O98"/>
    <mergeCell ref="Q98:R98"/>
    <mergeCell ref="B92:D92"/>
    <mergeCell ref="E92:F92"/>
    <mergeCell ref="G92:I92"/>
    <mergeCell ref="J92:K92"/>
    <mergeCell ref="L92:M92"/>
    <mergeCell ref="N92:O92"/>
    <mergeCell ref="Q99:R99"/>
    <mergeCell ref="A100:B100"/>
    <mergeCell ref="C100:F100"/>
    <mergeCell ref="G100:H100"/>
    <mergeCell ref="I100:J100"/>
    <mergeCell ref="K100:M100"/>
    <mergeCell ref="N100:O100"/>
    <mergeCell ref="Q100:R100"/>
    <mergeCell ref="A99:B99"/>
    <mergeCell ref="C99:F99"/>
    <mergeCell ref="G99:H99"/>
    <mergeCell ref="I99:J99"/>
    <mergeCell ref="K99:M99"/>
    <mergeCell ref="N99:O99"/>
    <mergeCell ref="N103:O103"/>
    <mergeCell ref="Q103:R103"/>
    <mergeCell ref="A107:D107"/>
    <mergeCell ref="E107:G107"/>
    <mergeCell ref="I107:K107"/>
    <mergeCell ref="L107:M107"/>
    <mergeCell ref="O107:P107"/>
    <mergeCell ref="Q101:R101"/>
    <mergeCell ref="A102:B102"/>
    <mergeCell ref="C102:F102"/>
    <mergeCell ref="G102:H102"/>
    <mergeCell ref="I102:J102"/>
    <mergeCell ref="K102:M102"/>
    <mergeCell ref="N102:O102"/>
    <mergeCell ref="Q102:R102"/>
    <mergeCell ref="A101:B101"/>
    <mergeCell ref="C101:F101"/>
    <mergeCell ref="G101:H101"/>
    <mergeCell ref="I101:J101"/>
    <mergeCell ref="K101:M101"/>
    <mergeCell ref="N101:O101"/>
    <mergeCell ref="A108:D108"/>
    <mergeCell ref="E108:G108"/>
    <mergeCell ref="I108:K108"/>
    <mergeCell ref="L108:M108"/>
    <mergeCell ref="O108:P108"/>
    <mergeCell ref="A112:D112"/>
    <mergeCell ref="E112:F112"/>
    <mergeCell ref="G112:I112"/>
    <mergeCell ref="L112:M112"/>
    <mergeCell ref="N112:O112"/>
    <mergeCell ref="P113:Q113"/>
    <mergeCell ref="A114:D114"/>
    <mergeCell ref="E114:F114"/>
    <mergeCell ref="G114:I114"/>
    <mergeCell ref="J114:K114"/>
    <mergeCell ref="L114:M114"/>
    <mergeCell ref="N114:O114"/>
    <mergeCell ref="P114:Q114"/>
    <mergeCell ref="A113:D113"/>
    <mergeCell ref="E113:F113"/>
    <mergeCell ref="G113:I113"/>
    <mergeCell ref="J113:K113"/>
    <mergeCell ref="L113:M113"/>
    <mergeCell ref="N113:O113"/>
    <mergeCell ref="A121:D121"/>
    <mergeCell ref="E121:F121"/>
    <mergeCell ref="G121:H121"/>
    <mergeCell ref="I121:J121"/>
    <mergeCell ref="K121:L121"/>
    <mergeCell ref="M121:N121"/>
    <mergeCell ref="L115:M115"/>
    <mergeCell ref="P115:Q115"/>
    <mergeCell ref="A120:D120"/>
    <mergeCell ref="E120:F120"/>
    <mergeCell ref="G120:H120"/>
    <mergeCell ref="I120:J120"/>
    <mergeCell ref="K120:L120"/>
    <mergeCell ref="M120:N120"/>
    <mergeCell ref="A123:D123"/>
    <mergeCell ref="I123:J123"/>
    <mergeCell ref="M123:N123"/>
    <mergeCell ref="A127:E127"/>
    <mergeCell ref="F127:H127"/>
    <mergeCell ref="I127:K127"/>
    <mergeCell ref="L127:M127"/>
    <mergeCell ref="N127:Q127"/>
    <mergeCell ref="A122:D122"/>
    <mergeCell ref="E122:F122"/>
    <mergeCell ref="G122:H122"/>
    <mergeCell ref="I122:J122"/>
    <mergeCell ref="K122:L122"/>
    <mergeCell ref="M122:N122"/>
    <mergeCell ref="X129:Z129"/>
    <mergeCell ref="AA129:AB129"/>
    <mergeCell ref="R127:U127"/>
    <mergeCell ref="V127:W127"/>
    <mergeCell ref="X127:Z127"/>
    <mergeCell ref="AA127:AB127"/>
    <mergeCell ref="AC127:AE127"/>
    <mergeCell ref="A128:E128"/>
    <mergeCell ref="F128:H128"/>
    <mergeCell ref="I128:K128"/>
    <mergeCell ref="L128:M128"/>
    <mergeCell ref="N128:Q128"/>
    <mergeCell ref="R128:U128"/>
    <mergeCell ref="V128:W128"/>
    <mergeCell ref="X128:Z128"/>
    <mergeCell ref="AA128:AB128"/>
    <mergeCell ref="AC128:AE128"/>
    <mergeCell ref="L131:M131"/>
    <mergeCell ref="N131:Q131"/>
    <mergeCell ref="R131:U131"/>
    <mergeCell ref="V131:W131"/>
    <mergeCell ref="X131:Z131"/>
    <mergeCell ref="AA131:AB131"/>
    <mergeCell ref="AC129:AE129"/>
    <mergeCell ref="A130:E130"/>
    <mergeCell ref="F130:H130"/>
    <mergeCell ref="I130:K130"/>
    <mergeCell ref="L130:M130"/>
    <mergeCell ref="N130:Q130"/>
    <mergeCell ref="R130:U130"/>
    <mergeCell ref="V130:W130"/>
    <mergeCell ref="X130:Z130"/>
    <mergeCell ref="AA130:AB130"/>
    <mergeCell ref="AC130:AE130"/>
    <mergeCell ref="A129:E129"/>
    <mergeCell ref="F129:H129"/>
    <mergeCell ref="I129:K129"/>
    <mergeCell ref="L129:M129"/>
    <mergeCell ref="N129:Q129"/>
    <mergeCell ref="R129:U129"/>
    <mergeCell ref="V129:W129"/>
    <mergeCell ref="AC131:AE131"/>
    <mergeCell ref="A132:E132"/>
    <mergeCell ref="F132:H132"/>
    <mergeCell ref="I132:K132"/>
    <mergeCell ref="L132:M132"/>
    <mergeCell ref="N132:Q132"/>
    <mergeCell ref="AA133:AB133"/>
    <mergeCell ref="AC133:AE133"/>
    <mergeCell ref="A134:E134"/>
    <mergeCell ref="X134:Z134"/>
    <mergeCell ref="AC134:AE134"/>
    <mergeCell ref="R132:U132"/>
    <mergeCell ref="V132:W132"/>
    <mergeCell ref="X132:Z132"/>
    <mergeCell ref="AA132:AB132"/>
    <mergeCell ref="AC132:AE132"/>
    <mergeCell ref="A133:E133"/>
    <mergeCell ref="F133:H133"/>
    <mergeCell ref="I133:K133"/>
    <mergeCell ref="L133:M133"/>
    <mergeCell ref="N133:Q133"/>
    <mergeCell ref="A131:E131"/>
    <mergeCell ref="F131:H131"/>
    <mergeCell ref="I131:K131"/>
    <mergeCell ref="A139:D139"/>
    <mergeCell ref="E139:F139"/>
    <mergeCell ref="G139:H139"/>
    <mergeCell ref="I139:J139"/>
    <mergeCell ref="K139:L139"/>
    <mergeCell ref="M139:N139"/>
    <mergeCell ref="R133:U133"/>
    <mergeCell ref="V133:W133"/>
    <mergeCell ref="X133:Z133"/>
    <mergeCell ref="A141:D141"/>
    <mergeCell ref="E141:F141"/>
    <mergeCell ref="G141:H141"/>
    <mergeCell ref="I141:J141"/>
    <mergeCell ref="K141:L141"/>
    <mergeCell ref="M141:N141"/>
    <mergeCell ref="A140:D140"/>
    <mergeCell ref="E140:F140"/>
    <mergeCell ref="G140:H140"/>
    <mergeCell ref="I140:J140"/>
    <mergeCell ref="K140:L140"/>
    <mergeCell ref="M140:N140"/>
    <mergeCell ref="A147:D147"/>
    <mergeCell ref="E147:F147"/>
    <mergeCell ref="G147:H147"/>
    <mergeCell ref="I147:J147"/>
    <mergeCell ref="K147:L147"/>
    <mergeCell ref="M147:N147"/>
    <mergeCell ref="A142:D142"/>
    <mergeCell ref="I142:J142"/>
    <mergeCell ref="M142:N142"/>
    <mergeCell ref="A146:D146"/>
    <mergeCell ref="E146:F146"/>
    <mergeCell ref="G146:H146"/>
    <mergeCell ref="I146:J146"/>
    <mergeCell ref="K146:L146"/>
    <mergeCell ref="M146:N146"/>
    <mergeCell ref="A149:D149"/>
    <mergeCell ref="E149:F149"/>
    <mergeCell ref="G149:H149"/>
    <mergeCell ref="I149:J149"/>
    <mergeCell ref="K149:L149"/>
    <mergeCell ref="M149:N149"/>
    <mergeCell ref="A148:D148"/>
    <mergeCell ref="E148:F148"/>
    <mergeCell ref="G148:H148"/>
    <mergeCell ref="I148:J148"/>
    <mergeCell ref="K148:L148"/>
    <mergeCell ref="M148:N148"/>
    <mergeCell ref="A150:D150"/>
    <mergeCell ref="I150:J150"/>
    <mergeCell ref="M150:N150"/>
    <mergeCell ref="A154:D154"/>
    <mergeCell ref="E154:F154"/>
    <mergeCell ref="G154:H154"/>
    <mergeCell ref="I154:J154"/>
    <mergeCell ref="K154:L154"/>
    <mergeCell ref="M154:N154"/>
    <mergeCell ref="A156:D156"/>
    <mergeCell ref="E156:F156"/>
    <mergeCell ref="G156:H156"/>
    <mergeCell ref="I156:J156"/>
    <mergeCell ref="K156:L156"/>
    <mergeCell ref="M156:N156"/>
    <mergeCell ref="A155:D155"/>
    <mergeCell ref="E155:F155"/>
    <mergeCell ref="G155:H155"/>
    <mergeCell ref="I155:J155"/>
    <mergeCell ref="K155:L155"/>
    <mergeCell ref="M155:N155"/>
    <mergeCell ref="A158:D158"/>
    <mergeCell ref="I158:J158"/>
    <mergeCell ref="M158:N158"/>
    <mergeCell ref="A162:E162"/>
    <mergeCell ref="F162:H162"/>
    <mergeCell ref="I162:K162"/>
    <mergeCell ref="L162:M162"/>
    <mergeCell ref="N162:Q162"/>
    <mergeCell ref="A157:D157"/>
    <mergeCell ref="E157:F157"/>
    <mergeCell ref="G157:H157"/>
    <mergeCell ref="I157:J157"/>
    <mergeCell ref="K157:L157"/>
    <mergeCell ref="M157:N157"/>
    <mergeCell ref="R162:U162"/>
    <mergeCell ref="V162:W162"/>
    <mergeCell ref="X162:Z162"/>
    <mergeCell ref="AA162:AB162"/>
    <mergeCell ref="AC162:AE162"/>
    <mergeCell ref="A163:E163"/>
    <mergeCell ref="F163:H163"/>
    <mergeCell ref="I163:K163"/>
    <mergeCell ref="L163:M163"/>
    <mergeCell ref="N163:Q163"/>
    <mergeCell ref="R163:U163"/>
    <mergeCell ref="V163:W163"/>
    <mergeCell ref="X163:Z163"/>
    <mergeCell ref="AA163:AB163"/>
    <mergeCell ref="AC163:AE163"/>
    <mergeCell ref="AC164:AE164"/>
    <mergeCell ref="A165:E165"/>
    <mergeCell ref="F165:H165"/>
    <mergeCell ref="I165:K165"/>
    <mergeCell ref="L165:M165"/>
    <mergeCell ref="N165:Q165"/>
    <mergeCell ref="R166:U166"/>
    <mergeCell ref="V166:W166"/>
    <mergeCell ref="X166:Z166"/>
    <mergeCell ref="AA166:AB166"/>
    <mergeCell ref="AC166:AE166"/>
    <mergeCell ref="A164:E164"/>
    <mergeCell ref="F164:H164"/>
    <mergeCell ref="I164:K164"/>
    <mergeCell ref="L164:M164"/>
    <mergeCell ref="N164:Q164"/>
    <mergeCell ref="R164:U164"/>
    <mergeCell ref="V164:W164"/>
    <mergeCell ref="X164:Z164"/>
    <mergeCell ref="AA164:AB164"/>
    <mergeCell ref="A167:E167"/>
    <mergeCell ref="X167:Z167"/>
    <mergeCell ref="AC167:AE167"/>
    <mergeCell ref="R165:U165"/>
    <mergeCell ref="V165:W165"/>
    <mergeCell ref="X165:Z165"/>
    <mergeCell ref="AA165:AB165"/>
    <mergeCell ref="AC165:AE165"/>
    <mergeCell ref="A166:E166"/>
    <mergeCell ref="F166:H166"/>
    <mergeCell ref="I166:K166"/>
    <mergeCell ref="L166:M166"/>
    <mergeCell ref="N166:Q166"/>
    <mergeCell ref="R176:S176"/>
    <mergeCell ref="A177:B177"/>
    <mergeCell ref="C177:D177"/>
    <mergeCell ref="E177:G177"/>
    <mergeCell ref="H177:I177"/>
    <mergeCell ref="J177:L177"/>
    <mergeCell ref="M177:P177"/>
    <mergeCell ref="R177:S177"/>
    <mergeCell ref="A176:B176"/>
    <mergeCell ref="C176:D176"/>
    <mergeCell ref="E176:G176"/>
    <mergeCell ref="H176:I176"/>
    <mergeCell ref="J176:L176"/>
    <mergeCell ref="M176:P176"/>
    <mergeCell ref="R178:S178"/>
    <mergeCell ref="A179:B179"/>
    <mergeCell ref="C179:D179"/>
    <mergeCell ref="E179:G179"/>
    <mergeCell ref="H179:I179"/>
    <mergeCell ref="J179:L179"/>
    <mergeCell ref="M179:P179"/>
    <mergeCell ref="R179:S179"/>
    <mergeCell ref="A178:B178"/>
    <mergeCell ref="C178:D178"/>
    <mergeCell ref="E178:G178"/>
    <mergeCell ref="H178:I178"/>
    <mergeCell ref="J178:L178"/>
    <mergeCell ref="M178:P178"/>
    <mergeCell ref="R180:S180"/>
    <mergeCell ref="A181:B181"/>
    <mergeCell ref="C181:D181"/>
    <mergeCell ref="E181:G181"/>
    <mergeCell ref="H181:I181"/>
    <mergeCell ref="J181:L181"/>
    <mergeCell ref="M181:P181"/>
    <mergeCell ref="R181:S181"/>
    <mergeCell ref="A180:B180"/>
    <mergeCell ref="C180:D180"/>
    <mergeCell ref="E180:G180"/>
    <mergeCell ref="H180:I180"/>
    <mergeCell ref="J180:L180"/>
    <mergeCell ref="M180:P180"/>
    <mergeCell ref="A182:B182"/>
    <mergeCell ref="M182:P182"/>
    <mergeCell ref="R182:S182"/>
    <mergeCell ref="A186:B186"/>
    <mergeCell ref="C186:D186"/>
    <mergeCell ref="E186:G186"/>
    <mergeCell ref="H186:I186"/>
    <mergeCell ref="J186:L186"/>
    <mergeCell ref="M186:P186"/>
    <mergeCell ref="R186:S186"/>
    <mergeCell ref="R187:S187"/>
    <mergeCell ref="A188:B188"/>
    <mergeCell ref="C188:D188"/>
    <mergeCell ref="E188:G188"/>
    <mergeCell ref="H188:I188"/>
    <mergeCell ref="J188:L188"/>
    <mergeCell ref="M188:P188"/>
    <mergeCell ref="R188:S188"/>
    <mergeCell ref="A187:B187"/>
    <mergeCell ref="C187:D187"/>
    <mergeCell ref="E187:G187"/>
    <mergeCell ref="H187:I187"/>
    <mergeCell ref="J187:L187"/>
    <mergeCell ref="M187:P187"/>
    <mergeCell ref="R194:S194"/>
    <mergeCell ref="A195:B195"/>
    <mergeCell ref="C195:D195"/>
    <mergeCell ref="E195:G195"/>
    <mergeCell ref="H195:I195"/>
    <mergeCell ref="J195:L195"/>
    <mergeCell ref="M195:P195"/>
    <mergeCell ref="R195:S195"/>
    <mergeCell ref="R189:S189"/>
    <mergeCell ref="A190:B190"/>
    <mergeCell ref="M190:P190"/>
    <mergeCell ref="R190:S190"/>
    <mergeCell ref="A194:B194"/>
    <mergeCell ref="C194:D194"/>
    <mergeCell ref="E194:G194"/>
    <mergeCell ref="H194:I194"/>
    <mergeCell ref="J194:L194"/>
    <mergeCell ref="M194:P194"/>
    <mergeCell ref="A189:B189"/>
    <mergeCell ref="C189:D189"/>
    <mergeCell ref="E189:G189"/>
    <mergeCell ref="H189:I189"/>
    <mergeCell ref="J189:L189"/>
    <mergeCell ref="M189:P189"/>
    <mergeCell ref="R196:S196"/>
    <mergeCell ref="A197:B197"/>
    <mergeCell ref="M197:P197"/>
    <mergeCell ref="R197:S197"/>
    <mergeCell ref="A200:E200"/>
    <mergeCell ref="F200:H200"/>
    <mergeCell ref="I200:K200"/>
    <mergeCell ref="L200:M200"/>
    <mergeCell ref="N200:Q200"/>
    <mergeCell ref="R200:U200"/>
    <mergeCell ref="A196:B196"/>
    <mergeCell ref="C196:D196"/>
    <mergeCell ref="E196:G196"/>
    <mergeCell ref="H196:I196"/>
    <mergeCell ref="J196:L196"/>
    <mergeCell ref="M196:P196"/>
    <mergeCell ref="V200:W200"/>
    <mergeCell ref="X200:Z200"/>
    <mergeCell ref="AA200:AB200"/>
    <mergeCell ref="AC200:AE200"/>
    <mergeCell ref="A201:E201"/>
    <mergeCell ref="F201:H201"/>
    <mergeCell ref="I201:K201"/>
    <mergeCell ref="L201:M201"/>
    <mergeCell ref="N201:Q201"/>
    <mergeCell ref="R201:U201"/>
    <mergeCell ref="V201:W201"/>
    <mergeCell ref="X201:Z201"/>
    <mergeCell ref="AA201:AB201"/>
    <mergeCell ref="AC201:AE201"/>
    <mergeCell ref="AC202:AE202"/>
    <mergeCell ref="A203:E203"/>
    <mergeCell ref="F203:H203"/>
    <mergeCell ref="I203:K203"/>
    <mergeCell ref="L203:M203"/>
    <mergeCell ref="N203:Q203"/>
    <mergeCell ref="R203:U203"/>
    <mergeCell ref="V204:W204"/>
    <mergeCell ref="X204:Z204"/>
    <mergeCell ref="AA204:AB204"/>
    <mergeCell ref="AC204:AE204"/>
    <mergeCell ref="A202:E202"/>
    <mergeCell ref="F202:H202"/>
    <mergeCell ref="I202:K202"/>
    <mergeCell ref="L202:M202"/>
    <mergeCell ref="N202:Q202"/>
    <mergeCell ref="R202:U202"/>
    <mergeCell ref="V202:W202"/>
    <mergeCell ref="X202:Z202"/>
    <mergeCell ref="AA202:AB202"/>
    <mergeCell ref="A205:E205"/>
    <mergeCell ref="X205:Z205"/>
    <mergeCell ref="AC205:AE205"/>
    <mergeCell ref="V203:W203"/>
    <mergeCell ref="X203:Z203"/>
    <mergeCell ref="AA203:AB203"/>
    <mergeCell ref="AC203:AE203"/>
    <mergeCell ref="A204:E204"/>
    <mergeCell ref="F204:H204"/>
    <mergeCell ref="I204:K204"/>
    <mergeCell ref="L204:M204"/>
    <mergeCell ref="N204:Q204"/>
    <mergeCell ref="R204:U204"/>
    <mergeCell ref="A228:B228"/>
    <mergeCell ref="A231:B231"/>
    <mergeCell ref="A234:B234"/>
    <mergeCell ref="A237:B237"/>
    <mergeCell ref="A240:B240"/>
    <mergeCell ref="A243:B243"/>
    <mergeCell ref="A212:B212"/>
    <mergeCell ref="A215:B215"/>
    <mergeCell ref="A218:B218"/>
    <mergeCell ref="A221:B221"/>
    <mergeCell ref="A223:B223"/>
    <mergeCell ref="A225:B225"/>
    <mergeCell ref="A256:C256"/>
    <mergeCell ref="A258:C258"/>
    <mergeCell ref="A259:C259"/>
    <mergeCell ref="A260:C260"/>
    <mergeCell ref="A262:C262"/>
    <mergeCell ref="A246:B246"/>
    <mergeCell ref="A248:B248"/>
    <mergeCell ref="A252:C252"/>
    <mergeCell ref="A253:C253"/>
    <mergeCell ref="A254:C254"/>
    <mergeCell ref="A255:C255"/>
  </mergeCells>
  <dataValidations count="1">
    <dataValidation type="list" allowBlank="1" showInputMessage="1" showErrorMessage="1" sqref="G26" xr:uid="{3E32EE42-5D83-4D8B-A5B5-CB2C0CBABF27}">
      <formula1>"1,2,3"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F5C5F-29BB-4B1F-A12B-E0C890171EAE}">
  <sheetPr codeName="Sheet3"/>
  <dimension ref="A1:AC122"/>
  <sheetViews>
    <sheetView showGridLines="0" zoomScale="85" workbookViewId="0">
      <selection activeCell="G7" sqref="G7"/>
    </sheetView>
  </sheetViews>
  <sheetFormatPr defaultRowHeight="14.4"/>
  <cols>
    <col min="2" max="2" width="9" bestFit="1" customWidth="1"/>
    <col min="4" max="14" width="9.44140625" bestFit="1" customWidth="1"/>
    <col min="15" max="15" width="9" bestFit="1" customWidth="1"/>
    <col min="17" max="17" width="9" bestFit="1" customWidth="1"/>
    <col min="19" max="19" width="9" bestFit="1" customWidth="1"/>
    <col min="21" max="21" width="9.33203125" bestFit="1" customWidth="1"/>
  </cols>
  <sheetData>
    <row r="1" spans="1:9" s="1" customFormat="1" ht="21">
      <c r="A1" s="256" t="s">
        <v>719</v>
      </c>
      <c r="B1" s="256"/>
      <c r="C1" s="256"/>
      <c r="D1" s="256"/>
      <c r="E1" s="256"/>
      <c r="F1" s="256"/>
    </row>
    <row r="2" spans="1:9" s="3" customFormat="1">
      <c r="A2" s="2" t="s">
        <v>0</v>
      </c>
    </row>
    <row r="3" spans="1:9">
      <c r="A3" s="362" t="s">
        <v>1</v>
      </c>
      <c r="B3" s="362"/>
      <c r="C3" s="363" t="s">
        <v>2</v>
      </c>
      <c r="D3" s="363"/>
      <c r="E3" s="363" t="s">
        <v>3</v>
      </c>
      <c r="F3" s="363"/>
    </row>
    <row r="4" spans="1:9">
      <c r="A4" s="342" t="s">
        <v>697</v>
      </c>
      <c r="B4" s="344"/>
      <c r="C4" s="176">
        <f>M65</f>
        <v>13.463855421686748</v>
      </c>
      <c r="D4" s="176"/>
      <c r="E4" s="176">
        <f>O65</f>
        <v>23.466433707641578</v>
      </c>
      <c r="F4" s="176"/>
    </row>
    <row r="5" spans="1:9" ht="15" thickBot="1">
      <c r="A5" s="242" t="s">
        <v>698</v>
      </c>
      <c r="B5" s="242"/>
      <c r="C5" s="168">
        <f>E18</f>
        <v>3.5342620481927704E-2</v>
      </c>
      <c r="D5" s="168"/>
      <c r="E5" s="168">
        <f>F18</f>
        <v>0.15977294942340861</v>
      </c>
      <c r="F5" s="168"/>
      <c r="H5" s="137" t="s">
        <v>699</v>
      </c>
      <c r="I5" s="138">
        <f>(E5/C5)^0.1-1</f>
        <v>0.16284130682477649</v>
      </c>
    </row>
    <row r="6" spans="1:9" ht="15" thickTop="1"/>
    <row r="7" spans="1:9" s="7" customFormat="1">
      <c r="A7" s="248" t="s">
        <v>12</v>
      </c>
      <c r="B7" s="249"/>
      <c r="C7" s="10">
        <f>ASSUMPTIONS!B5</f>
        <v>0.1</v>
      </c>
      <c r="E7" s="248" t="s">
        <v>13</v>
      </c>
      <c r="F7" s="249"/>
      <c r="G7" s="11">
        <f>ASSUMPTIONS!E5</f>
        <v>2</v>
      </c>
      <c r="H7" s="8"/>
    </row>
    <row r="8" spans="1:9" s="7" customFormat="1">
      <c r="A8" s="9"/>
      <c r="B8" s="9"/>
      <c r="C8" s="139"/>
      <c r="E8" s="9"/>
      <c r="F8" s="9"/>
      <c r="G8" s="114"/>
      <c r="H8" s="8"/>
    </row>
    <row r="9" spans="1:9" s="3" customFormat="1">
      <c r="A9" s="2" t="s">
        <v>11</v>
      </c>
    </row>
    <row r="10" spans="1:9">
      <c r="A10" s="244" t="s">
        <v>288</v>
      </c>
      <c r="B10" s="244"/>
      <c r="C10" s="244"/>
      <c r="D10" s="244"/>
      <c r="E10" s="244"/>
      <c r="F10" s="244"/>
      <c r="G10" s="14"/>
    </row>
    <row r="11" spans="1:9">
      <c r="E11" s="14"/>
      <c r="F11" s="14"/>
      <c r="G11" s="14"/>
    </row>
    <row r="12" spans="1:9" s="7" customFormat="1">
      <c r="A12" s="15" t="s">
        <v>17</v>
      </c>
      <c r="B12" s="15"/>
      <c r="C12" s="15"/>
      <c r="D12" s="15"/>
      <c r="E12" s="15"/>
      <c r="F12" s="15"/>
    </row>
    <row r="13" spans="1:9" ht="14.4" customHeight="1">
      <c r="A13" s="245" t="s">
        <v>18</v>
      </c>
      <c r="B13" s="245"/>
      <c r="C13" s="245"/>
      <c r="D13" s="245"/>
      <c r="E13" s="16">
        <v>45849</v>
      </c>
      <c r="F13" s="17">
        <f>EDATE(E13,120)</f>
        <v>49501</v>
      </c>
    </row>
    <row r="14" spans="1:9" ht="14.4" customHeight="1">
      <c r="A14" s="239" t="s">
        <v>19</v>
      </c>
      <c r="B14" s="239"/>
      <c r="C14" s="239"/>
      <c r="D14" s="239"/>
      <c r="E14" s="19">
        <f xml:space="preserve"> CHOOSE($G$7,E22,E23,E24)</f>
        <v>13.463855421686748</v>
      </c>
      <c r="F14" s="19">
        <f xml:space="preserve"> CHOOSE($G$7,F22,F23,F24)</f>
        <v>23.466433707641578</v>
      </c>
    </row>
    <row r="15" spans="1:9" ht="14.4" customHeight="1">
      <c r="A15" s="239" t="s">
        <v>290</v>
      </c>
      <c r="B15" s="239"/>
      <c r="C15" s="239"/>
      <c r="D15" s="239"/>
      <c r="E15" s="20">
        <f>CHOOSE($G$7,E27,E28,E29)</f>
        <v>0.34999999999999992</v>
      </c>
      <c r="F15" s="20">
        <f>CHOOSE($G$7,F27,F28,F29)</f>
        <v>0.34999999999999992</v>
      </c>
    </row>
    <row r="16" spans="1:9" ht="14.4" customHeight="1">
      <c r="A16" s="18" t="s">
        <v>613</v>
      </c>
      <c r="B16" s="18"/>
      <c r="C16" s="18"/>
      <c r="D16" s="18"/>
      <c r="E16" s="20">
        <f>L23</f>
        <v>0.25</v>
      </c>
      <c r="F16" s="20">
        <f>M23</f>
        <v>0.25</v>
      </c>
    </row>
    <row r="17" spans="1:20" ht="14.4" customHeight="1">
      <c r="A17" s="239" t="s">
        <v>21</v>
      </c>
      <c r="B17" s="239"/>
      <c r="C17" s="239"/>
      <c r="D17" s="239"/>
      <c r="E17" s="20">
        <f>S23</f>
        <v>0.03</v>
      </c>
      <c r="F17" s="20">
        <f xml:space="preserve"> CHOOSE($G$7,T22,T23,T24)</f>
        <v>0.03</v>
      </c>
    </row>
    <row r="18" spans="1:20" ht="15" thickBot="1">
      <c r="A18" s="242" t="s">
        <v>25</v>
      </c>
      <c r="B18" s="242"/>
      <c r="C18" s="242"/>
      <c r="D18" s="242"/>
      <c r="E18" s="21">
        <f xml:space="preserve"> PRODUCT(E14:E17)</f>
        <v>3.5342620481927704E-2</v>
      </c>
      <c r="F18" s="21">
        <f xml:space="preserve"> PRODUCT(F14:F17)*(1+M28)^10</f>
        <v>0.15977294942340861</v>
      </c>
      <c r="G18" s="14"/>
    </row>
    <row r="19" spans="1:20" ht="15" thickTop="1">
      <c r="E19" s="14"/>
      <c r="F19" s="14"/>
      <c r="G19" s="14"/>
    </row>
    <row r="20" spans="1:20" s="7" customFormat="1">
      <c r="A20" s="329" t="s">
        <v>26</v>
      </c>
      <c r="B20" s="329"/>
      <c r="C20" s="329"/>
      <c r="D20" s="329"/>
      <c r="E20" s="329"/>
      <c r="F20" s="329"/>
      <c r="G20" s="329"/>
      <c r="H20" s="329"/>
      <c r="I20" s="329"/>
      <c r="J20" s="329"/>
      <c r="K20" s="329"/>
      <c r="L20" s="329"/>
      <c r="M20" s="329"/>
      <c r="N20" s="329"/>
      <c r="O20" s="329"/>
      <c r="P20" s="329"/>
      <c r="Q20" s="329"/>
      <c r="R20" s="329"/>
      <c r="S20" s="329"/>
      <c r="T20" s="329"/>
    </row>
    <row r="21" spans="1:20">
      <c r="A21" s="240" t="s">
        <v>27</v>
      </c>
      <c r="B21" s="240"/>
      <c r="C21" s="240"/>
      <c r="D21" s="240"/>
      <c r="E21" s="14"/>
      <c r="F21" s="14"/>
      <c r="G21" s="14"/>
      <c r="H21" s="240" t="s">
        <v>700</v>
      </c>
      <c r="I21" s="240"/>
      <c r="J21" s="240"/>
      <c r="K21" s="240"/>
      <c r="L21" s="240"/>
      <c r="M21" s="14"/>
      <c r="O21" s="240" t="s">
        <v>36</v>
      </c>
      <c r="P21" s="240"/>
      <c r="Q21" s="240"/>
      <c r="R21" s="240"/>
      <c r="S21" s="14"/>
      <c r="T21" s="14"/>
    </row>
    <row r="22" spans="1:20">
      <c r="A22" s="239" t="s">
        <v>30</v>
      </c>
      <c r="B22" s="239"/>
      <c r="C22" s="239"/>
      <c r="D22" s="239"/>
      <c r="E22" s="19">
        <f>E23*(1+$C$7)</f>
        <v>14.810240963855424</v>
      </c>
      <c r="F22" s="23">
        <f>F23*(1+$C$7)</f>
        <v>25.813077078405737</v>
      </c>
      <c r="G22" s="14"/>
      <c r="H22" s="239" t="s">
        <v>30</v>
      </c>
      <c r="I22" s="239"/>
      <c r="J22" s="239"/>
      <c r="K22" s="239"/>
      <c r="L22" s="20">
        <f xml:space="preserve"> L23*(1+$C$7)</f>
        <v>0.27500000000000002</v>
      </c>
      <c r="M22" s="20">
        <f xml:space="preserve"> M23*(1+$C$7)</f>
        <v>0.27500000000000002</v>
      </c>
      <c r="O22" s="239" t="s">
        <v>30</v>
      </c>
      <c r="P22" s="239"/>
      <c r="Q22" s="239"/>
      <c r="R22" s="239"/>
      <c r="S22" s="20">
        <f xml:space="preserve"> S23*(1+$C$7)</f>
        <v>3.3000000000000002E-2</v>
      </c>
      <c r="T22" s="20">
        <f xml:space="preserve"> T23*(1+$C$7)</f>
        <v>3.3000000000000002E-2</v>
      </c>
    </row>
    <row r="23" spans="1:20">
      <c r="A23" s="239" t="s">
        <v>31</v>
      </c>
      <c r="B23" s="239"/>
      <c r="C23" s="239"/>
      <c r="D23" s="239"/>
      <c r="E23" s="19">
        <f>M65</f>
        <v>13.463855421686748</v>
      </c>
      <c r="F23" s="23">
        <f>O65</f>
        <v>23.466433707641578</v>
      </c>
      <c r="G23" s="14"/>
      <c r="H23" s="239" t="s">
        <v>31</v>
      </c>
      <c r="I23" s="239"/>
      <c r="J23" s="239"/>
      <c r="K23" s="239"/>
      <c r="L23" s="20">
        <f>S65</f>
        <v>0.25</v>
      </c>
      <c r="M23" s="24">
        <f>S65</f>
        <v>0.25</v>
      </c>
      <c r="O23" s="239" t="s">
        <v>31</v>
      </c>
      <c r="P23" s="239"/>
      <c r="Q23" s="239"/>
      <c r="R23" s="239"/>
      <c r="S23" s="20">
        <f>X65</f>
        <v>0.03</v>
      </c>
      <c r="T23" s="24">
        <f>X65</f>
        <v>0.03</v>
      </c>
    </row>
    <row r="24" spans="1:20">
      <c r="A24" s="239" t="s">
        <v>32</v>
      </c>
      <c r="B24" s="239"/>
      <c r="C24" s="239"/>
      <c r="D24" s="239"/>
      <c r="E24" s="19">
        <f>E23*(1-$C$7)</f>
        <v>12.117469879518074</v>
      </c>
      <c r="F24" s="23">
        <f>F23*(1-$C$7)</f>
        <v>21.119790336877422</v>
      </c>
      <c r="G24" s="14"/>
      <c r="H24" s="239" t="s">
        <v>32</v>
      </c>
      <c r="I24" s="239"/>
      <c r="J24" s="239"/>
      <c r="K24" s="239"/>
      <c r="L24" s="20">
        <f xml:space="preserve"> L23*(1-$C$7)</f>
        <v>0.22500000000000001</v>
      </c>
      <c r="M24" s="20">
        <f xml:space="preserve"> M23*(1-$C$7)</f>
        <v>0.22500000000000001</v>
      </c>
      <c r="O24" s="239" t="s">
        <v>32</v>
      </c>
      <c r="P24" s="239"/>
      <c r="Q24" s="239"/>
      <c r="R24" s="239"/>
      <c r="S24" s="20">
        <f xml:space="preserve"> S23*(1-$C$7)</f>
        <v>2.7E-2</v>
      </c>
      <c r="T24" s="20">
        <f xml:space="preserve"> T23*(1-$C$7)</f>
        <v>2.7E-2</v>
      </c>
    </row>
    <row r="25" spans="1:20">
      <c r="E25" s="14"/>
      <c r="F25" s="14"/>
      <c r="G25" s="14"/>
      <c r="L25" s="14"/>
      <c r="M25" s="14"/>
    </row>
    <row r="26" spans="1:20">
      <c r="A26" s="240" t="s">
        <v>292</v>
      </c>
      <c r="B26" s="240"/>
      <c r="C26" s="240"/>
      <c r="D26" s="240"/>
      <c r="E26" s="14"/>
      <c r="F26" s="14"/>
      <c r="G26" s="14"/>
      <c r="H26" s="240" t="s">
        <v>701</v>
      </c>
      <c r="I26" s="240"/>
      <c r="J26" s="240"/>
      <c r="K26" s="240"/>
      <c r="L26" s="14"/>
      <c r="M26" s="14"/>
    </row>
    <row r="27" spans="1:20">
      <c r="A27" s="239" t="s">
        <v>30</v>
      </c>
      <c r="B27" s="239"/>
      <c r="C27" s="239"/>
      <c r="D27" s="239"/>
      <c r="E27" s="20">
        <f>E28*(1+$C$7)</f>
        <v>0.38499999999999995</v>
      </c>
      <c r="F27" s="24">
        <f xml:space="preserve"> F28*(1+$C$7)</f>
        <v>0.38499999999999995</v>
      </c>
      <c r="G27" s="14"/>
      <c r="H27" s="239" t="s">
        <v>30</v>
      </c>
      <c r="I27" s="239"/>
      <c r="J27" s="239"/>
      <c r="K27" s="239"/>
      <c r="L27" s="20" t="s">
        <v>702</v>
      </c>
      <c r="M27" s="20">
        <f xml:space="preserve"> M28*(1+$C$7)</f>
        <v>0.11000000000000003</v>
      </c>
    </row>
    <row r="28" spans="1:20">
      <c r="A28" s="239" t="s">
        <v>31</v>
      </c>
      <c r="B28" s="239"/>
      <c r="C28" s="239"/>
      <c r="D28" s="239"/>
      <c r="E28" s="20">
        <f>Q65</f>
        <v>0.34999999999999992</v>
      </c>
      <c r="F28" s="24">
        <f>Q65</f>
        <v>0.34999999999999992</v>
      </c>
      <c r="G28" s="14"/>
      <c r="H28" s="239" t="s">
        <v>31</v>
      </c>
      <c r="I28" s="239"/>
      <c r="J28" s="239"/>
      <c r="K28" s="239"/>
      <c r="L28" s="20" t="s">
        <v>702</v>
      </c>
      <c r="M28" s="24">
        <f>U65</f>
        <v>0.10000000000000002</v>
      </c>
    </row>
    <row r="29" spans="1:20">
      <c r="A29" s="239" t="s">
        <v>32</v>
      </c>
      <c r="B29" s="239"/>
      <c r="C29" s="239"/>
      <c r="D29" s="239"/>
      <c r="E29" s="20">
        <f xml:space="preserve"> E28*(1-$C$7)</f>
        <v>0.31499999999999995</v>
      </c>
      <c r="F29" s="24">
        <f xml:space="preserve"> F28*(1-$C$7)</f>
        <v>0.31499999999999995</v>
      </c>
      <c r="H29" s="239" t="s">
        <v>32</v>
      </c>
      <c r="I29" s="239"/>
      <c r="J29" s="239"/>
      <c r="K29" s="239"/>
      <c r="L29" s="20" t="s">
        <v>702</v>
      </c>
      <c r="M29" s="20">
        <f xml:space="preserve"> M28*(1-$C$7)</f>
        <v>9.0000000000000024E-2</v>
      </c>
    </row>
    <row r="30" spans="1:20">
      <c r="A30" s="25"/>
      <c r="B30" s="25"/>
      <c r="C30" s="25"/>
      <c r="D30" s="25"/>
      <c r="E30" s="13"/>
      <c r="F30" s="13"/>
    </row>
    <row r="31" spans="1:20" s="3" customFormat="1">
      <c r="A31" s="2" t="s">
        <v>39</v>
      </c>
    </row>
    <row r="32" spans="1:20" ht="15" thickBot="1"/>
    <row r="33" spans="14:15" ht="28.8">
      <c r="N33" s="26" t="s">
        <v>40</v>
      </c>
      <c r="O33" s="72" t="s">
        <v>185</v>
      </c>
    </row>
    <row r="34" spans="14:15" ht="15" thickBot="1">
      <c r="N34" s="28" t="s">
        <v>44</v>
      </c>
      <c r="O34" s="73">
        <v>10000</v>
      </c>
    </row>
    <row r="35" spans="14:15" s="7" customFormat="1" ht="15" thickBot="1">
      <c r="N35" s="28" t="s">
        <v>45</v>
      </c>
      <c r="O35" s="99">
        <v>3.5318000000000002E-2</v>
      </c>
    </row>
    <row r="36" spans="14:15" s="7" customFormat="1" ht="15" thickBot="1">
      <c r="N36" s="28" t="s">
        <v>46</v>
      </c>
      <c r="O36" s="99">
        <v>2.8939999999999999E-3</v>
      </c>
    </row>
    <row r="37" spans="14:15" ht="15" thickBot="1">
      <c r="N37" s="28" t="s">
        <v>47</v>
      </c>
      <c r="O37" s="99">
        <v>2.6616999999999998E-2</v>
      </c>
    </row>
    <row r="38" spans="14:15" ht="15" thickBot="1">
      <c r="N38" s="32">
        <v>0.05</v>
      </c>
      <c r="O38" s="99">
        <v>3.0766000000000002E-2</v>
      </c>
    </row>
    <row r="39" spans="14:15" ht="15" thickBot="1">
      <c r="N39" s="32">
        <v>0.5</v>
      </c>
      <c r="O39" s="99">
        <v>3.5231999999999999E-2</v>
      </c>
    </row>
    <row r="40" spans="14:15" ht="15" thickBot="1">
      <c r="N40" s="32">
        <v>0.95</v>
      </c>
      <c r="O40" s="99">
        <v>4.0300000000000002E-2</v>
      </c>
    </row>
    <row r="41" spans="14:15" ht="15" thickBot="1">
      <c r="N41" s="28" t="s">
        <v>48</v>
      </c>
      <c r="O41" s="99">
        <v>4.8021000000000001E-2</v>
      </c>
    </row>
    <row r="42" spans="14:15" s="7" customFormat="1"/>
    <row r="43" spans="14:15" s="7" customFormat="1"/>
    <row r="46" spans="14:15" s="7" customFormat="1"/>
    <row r="47" spans="14:15" s="7" customFormat="1"/>
    <row r="48" spans="14:15" s="7" customFormat="1"/>
    <row r="49" spans="1:29" s="7" customFormat="1"/>
    <row r="50" spans="1:29" s="7" customFormat="1"/>
    <row r="51" spans="1:29" s="7" customFormat="1"/>
    <row r="52" spans="1:29" s="7" customFormat="1"/>
    <row r="53" spans="1:29" s="7" customFormat="1"/>
    <row r="54" spans="1:29" s="103" customFormat="1">
      <c r="A54" s="102" t="s">
        <v>297</v>
      </c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</row>
    <row r="55" spans="1:29" s="140" customFormat="1">
      <c r="A55" s="140" t="s">
        <v>703</v>
      </c>
    </row>
    <row r="56" spans="1:29" s="140" customFormat="1">
      <c r="A56" s="140" t="s">
        <v>704</v>
      </c>
    </row>
    <row r="57" spans="1:29" s="140" customFormat="1">
      <c r="A57" s="140" t="s">
        <v>705</v>
      </c>
    </row>
    <row r="58" spans="1:29" s="140" customFormat="1"/>
    <row r="59" spans="1:29" s="3" customFormat="1">
      <c r="A59" s="360" t="s">
        <v>49</v>
      </c>
      <c r="B59" s="360"/>
    </row>
    <row r="60" spans="1:29" s="33" customFormat="1">
      <c r="A60" s="33" t="s">
        <v>706</v>
      </c>
    </row>
    <row r="61" spans="1:29">
      <c r="A61" s="361" t="s">
        <v>191</v>
      </c>
      <c r="B61" s="361"/>
      <c r="C61" s="327" t="s">
        <v>707</v>
      </c>
      <c r="D61" s="327"/>
      <c r="E61" s="327" t="s">
        <v>708</v>
      </c>
      <c r="F61" s="327"/>
      <c r="G61" s="327"/>
      <c r="H61" s="327"/>
      <c r="I61" s="327" t="s">
        <v>196</v>
      </c>
      <c r="J61" s="327"/>
      <c r="K61" s="327" t="s">
        <v>709</v>
      </c>
      <c r="L61" s="327"/>
      <c r="M61" s="327" t="s">
        <v>208</v>
      </c>
      <c r="N61" s="327"/>
      <c r="O61" s="327" t="s">
        <v>209</v>
      </c>
      <c r="P61" s="327"/>
      <c r="Q61" s="328" t="s">
        <v>710</v>
      </c>
      <c r="R61" s="328"/>
      <c r="S61" s="328" t="s">
        <v>711</v>
      </c>
      <c r="T61" s="328"/>
      <c r="U61" s="327" t="s">
        <v>712</v>
      </c>
      <c r="V61" s="327"/>
      <c r="W61" s="327"/>
      <c r="X61" s="359" t="s">
        <v>76</v>
      </c>
      <c r="Y61" s="359"/>
      <c r="Z61" s="327" t="s">
        <v>713</v>
      </c>
      <c r="AA61" s="327"/>
      <c r="AB61" s="327" t="s">
        <v>714</v>
      </c>
      <c r="AC61" s="327"/>
    </row>
    <row r="62" spans="1:29">
      <c r="A62" s="49" t="s">
        <v>715</v>
      </c>
      <c r="B62" s="122"/>
      <c r="C62" s="357">
        <v>1500</v>
      </c>
      <c r="D62" s="357"/>
      <c r="E62" s="358">
        <v>4.5</v>
      </c>
      <c r="F62" s="358"/>
      <c r="G62" s="358"/>
      <c r="H62" s="358"/>
      <c r="I62" s="169">
        <v>0.05</v>
      </c>
      <c r="J62" s="169"/>
      <c r="K62" s="169">
        <v>0.08</v>
      </c>
      <c r="L62" s="169"/>
      <c r="M62" s="176">
        <f xml:space="preserve"> C62*E62/83/100</f>
        <v>0.81325301204819278</v>
      </c>
      <c r="N62" s="176"/>
      <c r="O62" s="176">
        <f>M62*(1+I62)^10*((1+K62)^10)</f>
        <v>2.8599354170835833</v>
      </c>
      <c r="P62" s="176"/>
      <c r="Q62" s="353">
        <v>0.35</v>
      </c>
      <c r="R62" s="354"/>
      <c r="S62" s="353">
        <v>0.25</v>
      </c>
      <c r="T62" s="355"/>
      <c r="U62" s="269">
        <v>0.1</v>
      </c>
      <c r="V62" s="269"/>
      <c r="W62" s="269"/>
      <c r="X62" s="270">
        <v>0.03</v>
      </c>
      <c r="Y62" s="271"/>
      <c r="Z62" s="211">
        <f>M62*S62*Q62*X62</f>
        <v>2.1347891566265058E-3</v>
      </c>
      <c r="AA62" s="211"/>
      <c r="AB62" s="211">
        <f>O62*Q62*S62*X62*(1+U62)^10</f>
        <v>1.9472081801637932E-2</v>
      </c>
      <c r="AC62" s="211"/>
    </row>
    <row r="63" spans="1:29">
      <c r="A63" s="49" t="s">
        <v>716</v>
      </c>
      <c r="B63" s="122"/>
      <c r="C63" s="357">
        <v>45000</v>
      </c>
      <c r="D63" s="357"/>
      <c r="E63" s="358">
        <v>1.5</v>
      </c>
      <c r="F63" s="358"/>
      <c r="G63" s="358"/>
      <c r="H63" s="358"/>
      <c r="I63" s="169">
        <v>0.05</v>
      </c>
      <c r="J63" s="169"/>
      <c r="K63" s="169">
        <v>0.08</v>
      </c>
      <c r="L63" s="169"/>
      <c r="M63" s="176">
        <f xml:space="preserve"> C63*E63/83/100</f>
        <v>8.1325301204819276</v>
      </c>
      <c r="N63" s="176"/>
      <c r="O63" s="176">
        <f>M63*(1+I63)^10</f>
        <v>13.247034615358711</v>
      </c>
      <c r="P63" s="176"/>
      <c r="Q63" s="353">
        <v>0.35</v>
      </c>
      <c r="R63" s="354"/>
      <c r="S63" s="353">
        <v>0.25</v>
      </c>
      <c r="T63" s="355"/>
      <c r="U63" s="269">
        <v>0.1</v>
      </c>
      <c r="V63" s="269"/>
      <c r="W63" s="269"/>
      <c r="X63" s="270">
        <v>0.03</v>
      </c>
      <c r="Y63" s="271"/>
      <c r="Z63" s="211">
        <f t="shared" ref="Z63:Z64" si="0">M63*S63*Q63*X63</f>
        <v>2.134789156626506E-2</v>
      </c>
      <c r="AA63" s="211"/>
      <c r="AB63" s="211">
        <f t="shared" ref="AB63:AB64" si="1">O63*Q63*S63*X63*(1+U63)^10</f>
        <v>9.0193414899709737E-2</v>
      </c>
      <c r="AC63" s="211"/>
    </row>
    <row r="64" spans="1:29">
      <c r="A64" s="356" t="s">
        <v>717</v>
      </c>
      <c r="B64" s="356"/>
      <c r="C64" s="357">
        <v>25000</v>
      </c>
      <c r="D64" s="357"/>
      <c r="E64" s="358">
        <v>1.5</v>
      </c>
      <c r="F64" s="358"/>
      <c r="G64" s="358"/>
      <c r="H64" s="358"/>
      <c r="I64" s="169">
        <v>0.05</v>
      </c>
      <c r="J64" s="169"/>
      <c r="K64" s="169">
        <v>0.08</v>
      </c>
      <c r="L64" s="169"/>
      <c r="M64" s="176">
        <f xml:space="preserve"> C64*E64/83/100</f>
        <v>4.5180722891566267</v>
      </c>
      <c r="N64" s="176"/>
      <c r="O64" s="176">
        <f>M64*(1+I64)^10</f>
        <v>7.3594636751992848</v>
      </c>
      <c r="P64" s="176"/>
      <c r="Q64" s="353">
        <v>0.35</v>
      </c>
      <c r="R64" s="354"/>
      <c r="S64" s="353">
        <v>0.25</v>
      </c>
      <c r="T64" s="355"/>
      <c r="U64" s="269">
        <v>0.1</v>
      </c>
      <c r="V64" s="269"/>
      <c r="W64" s="269"/>
      <c r="X64" s="270">
        <v>0.03</v>
      </c>
      <c r="Y64" s="271"/>
      <c r="Z64" s="211">
        <f t="shared" si="0"/>
        <v>1.1859939759036143E-2</v>
      </c>
      <c r="AA64" s="211"/>
      <c r="AB64" s="211">
        <f t="shared" si="1"/>
        <v>5.0107452722060977E-2</v>
      </c>
      <c r="AC64" s="211"/>
    </row>
    <row r="65" spans="1:29" ht="15" thickBot="1">
      <c r="A65" s="141" t="s">
        <v>10</v>
      </c>
      <c r="B65" s="141"/>
      <c r="M65" s="168">
        <f>SUM(M62:M64)</f>
        <v>13.463855421686748</v>
      </c>
      <c r="N65" s="168"/>
      <c r="O65" s="168">
        <f>SUM(O62:O64)</f>
        <v>23.466433707641578</v>
      </c>
      <c r="P65" s="168"/>
      <c r="Q65" s="348">
        <f>AVERAGE(Q62:R64)</f>
        <v>0.34999999999999992</v>
      </c>
      <c r="R65" s="349"/>
      <c r="S65" s="348">
        <f>AVERAGE(S62:T64)</f>
        <v>0.25</v>
      </c>
      <c r="T65" s="348"/>
      <c r="U65" s="350">
        <f xml:space="preserve"> AVERAGE(U62:W64)</f>
        <v>0.10000000000000002</v>
      </c>
      <c r="V65" s="351"/>
      <c r="W65" s="351"/>
      <c r="X65" s="350">
        <f>AVERAGE(X62:Y64)</f>
        <v>0.03</v>
      </c>
      <c r="Y65" s="351"/>
      <c r="Z65" s="352">
        <f>SUM(Z62:AA64)</f>
        <v>3.5342620481927711E-2</v>
      </c>
      <c r="AA65" s="352"/>
      <c r="AB65" s="168">
        <f>SUM(AB62:AC64)</f>
        <v>0.15977294942340864</v>
      </c>
      <c r="AC65" s="214"/>
    </row>
    <row r="66" spans="1:29" ht="15" thickTop="1"/>
    <row r="67" spans="1:29" s="3" customFormat="1">
      <c r="A67" s="2" t="s">
        <v>144</v>
      </c>
    </row>
    <row r="68" spans="1:29">
      <c r="A68" s="52" t="s">
        <v>116</v>
      </c>
      <c r="B68" s="52"/>
      <c r="D68" s="53">
        <f>DATE(2025, 4, 1)</f>
        <v>45748</v>
      </c>
      <c r="E68" s="53">
        <f>EDATE(D68, 12)</f>
        <v>46113</v>
      </c>
      <c r="F68" s="53">
        <f t="shared" ref="F68:N68" si="2">EDATE(E68, 12)</f>
        <v>46478</v>
      </c>
      <c r="G68" s="53">
        <f t="shared" si="2"/>
        <v>46844</v>
      </c>
      <c r="H68" s="53">
        <f t="shared" si="2"/>
        <v>47209</v>
      </c>
      <c r="I68" s="53">
        <f t="shared" si="2"/>
        <v>47574</v>
      </c>
      <c r="J68" s="53">
        <f t="shared" si="2"/>
        <v>47939</v>
      </c>
      <c r="K68" s="53">
        <f t="shared" si="2"/>
        <v>48305</v>
      </c>
      <c r="L68" s="53">
        <f t="shared" si="2"/>
        <v>48670</v>
      </c>
      <c r="M68" s="53">
        <f>EDATE(L68, 12)</f>
        <v>49035</v>
      </c>
      <c r="N68" s="53">
        <f t="shared" si="2"/>
        <v>49400</v>
      </c>
    </row>
    <row r="69" spans="1:29">
      <c r="A69" s="52" t="s">
        <v>131</v>
      </c>
      <c r="B69" s="52"/>
      <c r="D69" s="54">
        <v>0</v>
      </c>
      <c r="E69" s="54">
        <v>1</v>
      </c>
      <c r="F69" s="54">
        <v>2</v>
      </c>
      <c r="G69" s="54">
        <v>3</v>
      </c>
      <c r="H69" s="54">
        <v>4</v>
      </c>
      <c r="I69" s="54">
        <v>5</v>
      </c>
      <c r="J69" s="54">
        <v>6</v>
      </c>
      <c r="K69" s="54">
        <v>7</v>
      </c>
      <c r="L69" s="54">
        <v>8</v>
      </c>
      <c r="M69" s="54">
        <v>9</v>
      </c>
      <c r="N69" s="54">
        <v>10</v>
      </c>
    </row>
    <row r="71" spans="1:29">
      <c r="A71" s="55" t="s">
        <v>132</v>
      </c>
      <c r="B71" s="55"/>
      <c r="D71" s="56">
        <f>O35*1000</f>
        <v>35.318000000000005</v>
      </c>
      <c r="E71" s="56">
        <f>D71*(1+E72)</f>
        <v>61.806500000000007</v>
      </c>
      <c r="F71" s="56">
        <f t="shared" ref="F71:N71" si="3">E71*(1+F72)</f>
        <v>92.709750000000014</v>
      </c>
      <c r="G71" s="56">
        <f t="shared" si="3"/>
        <v>125.15816250000003</v>
      </c>
      <c r="H71" s="56">
        <f t="shared" si="3"/>
        <v>150.18979500000003</v>
      </c>
      <c r="I71" s="56">
        <f t="shared" si="3"/>
        <v>172.71826425000003</v>
      </c>
      <c r="J71" s="56">
        <f t="shared" si="3"/>
        <v>191.71727331750006</v>
      </c>
      <c r="K71" s="56">
        <f t="shared" si="3"/>
        <v>208.97182791607509</v>
      </c>
      <c r="L71" s="56">
        <f t="shared" si="3"/>
        <v>219.42041931187885</v>
      </c>
      <c r="M71" s="56">
        <f t="shared" si="3"/>
        <v>226.00303189123522</v>
      </c>
      <c r="N71" s="56">
        <f t="shared" si="3"/>
        <v>232.78312284797229</v>
      </c>
    </row>
    <row r="72" spans="1:29" s="58" customFormat="1" ht="12">
      <c r="A72" s="164" t="s">
        <v>133</v>
      </c>
      <c r="B72" s="164"/>
      <c r="D72" s="59"/>
      <c r="E72" s="59">
        <v>0.75</v>
      </c>
      <c r="F72" s="59">
        <v>0.5</v>
      </c>
      <c r="G72" s="59">
        <v>0.35</v>
      </c>
      <c r="H72" s="59">
        <v>0.2</v>
      </c>
      <c r="I72" s="59">
        <v>0.15</v>
      </c>
      <c r="J72" s="59">
        <v>0.11</v>
      </c>
      <c r="K72" s="59">
        <v>0.09</v>
      </c>
      <c r="L72" s="59">
        <v>0.05</v>
      </c>
      <c r="M72" s="59">
        <v>0.03</v>
      </c>
      <c r="N72" s="59">
        <v>0.03</v>
      </c>
    </row>
    <row r="73" spans="1:29">
      <c r="A73" s="55"/>
      <c r="B73" s="55"/>
    </row>
    <row r="74" spans="1:29">
      <c r="A74" s="55" t="s">
        <v>134</v>
      </c>
      <c r="B74" s="55"/>
      <c r="D74" s="56">
        <f>D71*D75</f>
        <v>21.190800000000003</v>
      </c>
      <c r="E74" s="56">
        <f t="shared" ref="E74:N74" si="4">E71*E75</f>
        <v>36.156802500000005</v>
      </c>
      <c r="F74" s="56">
        <f t="shared" si="4"/>
        <v>52.844557500000001</v>
      </c>
      <c r="G74" s="56">
        <f t="shared" si="4"/>
        <v>69.46278018750003</v>
      </c>
      <c r="H74" s="56">
        <f t="shared" si="4"/>
        <v>81.102489300000016</v>
      </c>
      <c r="I74" s="56">
        <f t="shared" si="4"/>
        <v>90.677088731250024</v>
      </c>
      <c r="J74" s="56">
        <f t="shared" si="4"/>
        <v>97.775809391925037</v>
      </c>
      <c r="K74" s="56">
        <f t="shared" si="4"/>
        <v>103.44105481845716</v>
      </c>
      <c r="L74" s="56">
        <f t="shared" si="4"/>
        <v>105.32180126970184</v>
      </c>
      <c r="M74" s="56">
        <f t="shared" si="4"/>
        <v>105.09140982942438</v>
      </c>
      <c r="N74" s="56">
        <f t="shared" si="4"/>
        <v>104.75240528158753</v>
      </c>
    </row>
    <row r="75" spans="1:29" s="58" customFormat="1">
      <c r="A75" s="164" t="s">
        <v>135</v>
      </c>
      <c r="B75" s="164"/>
      <c r="D75" s="94">
        <v>0.6</v>
      </c>
      <c r="E75" s="94">
        <v>0.58499999999999996</v>
      </c>
      <c r="F75" s="94">
        <v>0.56999999999999995</v>
      </c>
      <c r="G75" s="94">
        <v>0.55500000000000005</v>
      </c>
      <c r="H75" s="94">
        <v>0.54</v>
      </c>
      <c r="I75" s="94">
        <v>0.52500000000000002</v>
      </c>
      <c r="J75" s="94">
        <v>0.51</v>
      </c>
      <c r="K75" s="94">
        <v>0.495</v>
      </c>
      <c r="L75" s="94">
        <v>0.48</v>
      </c>
      <c r="M75" s="94">
        <v>0.46500000000000002</v>
      </c>
      <c r="N75" s="94">
        <v>0.45</v>
      </c>
    </row>
    <row r="77" spans="1:29">
      <c r="A77" s="92" t="s">
        <v>136</v>
      </c>
      <c r="B77" s="92"/>
      <c r="D77" s="56">
        <f xml:space="preserve"> D71-D74</f>
        <v>14.127200000000002</v>
      </c>
      <c r="E77" s="56">
        <f t="shared" ref="E77:N77" si="5" xml:space="preserve"> E71-E74</f>
        <v>25.649697500000002</v>
      </c>
      <c r="F77" s="56">
        <f t="shared" si="5"/>
        <v>39.865192500000013</v>
      </c>
      <c r="G77" s="56">
        <f t="shared" si="5"/>
        <v>55.695382312500001</v>
      </c>
      <c r="H77" s="56">
        <f t="shared" si="5"/>
        <v>69.087305700000016</v>
      </c>
      <c r="I77" s="56">
        <f t="shared" si="5"/>
        <v>82.041175518750009</v>
      </c>
      <c r="J77" s="56">
        <f t="shared" si="5"/>
        <v>93.941463925575022</v>
      </c>
      <c r="K77" s="56">
        <f t="shared" si="5"/>
        <v>105.53077309761792</v>
      </c>
      <c r="L77" s="56">
        <f t="shared" si="5"/>
        <v>114.09861804217701</v>
      </c>
      <c r="M77" s="56">
        <f t="shared" si="5"/>
        <v>120.91162206181085</v>
      </c>
      <c r="N77" s="56">
        <f t="shared" si="5"/>
        <v>128.03071756638477</v>
      </c>
    </row>
    <row r="78" spans="1:29" s="58" customFormat="1" ht="12">
      <c r="A78" s="262" t="s">
        <v>135</v>
      </c>
      <c r="B78" s="262"/>
      <c r="D78" s="59">
        <v>0.28000000000000003</v>
      </c>
      <c r="E78" s="59">
        <v>0.3</v>
      </c>
      <c r="F78" s="59">
        <v>0.31</v>
      </c>
      <c r="G78" s="59">
        <v>0.32</v>
      </c>
      <c r="H78" s="59">
        <v>0.34</v>
      </c>
      <c r="I78" s="59">
        <v>0.36</v>
      </c>
      <c r="J78" s="59">
        <v>0.37</v>
      </c>
      <c r="K78" s="59">
        <v>0.38</v>
      </c>
      <c r="L78" s="59">
        <v>0.39</v>
      </c>
      <c r="M78" s="59">
        <v>0.4</v>
      </c>
      <c r="N78" s="59">
        <v>0.41</v>
      </c>
    </row>
    <row r="80" spans="1:29">
      <c r="A80" s="55" t="s">
        <v>137</v>
      </c>
      <c r="B80" s="55"/>
      <c r="D80" s="56">
        <f>D71*D81</f>
        <v>5.2977000000000007</v>
      </c>
      <c r="E80" s="56">
        <f t="shared" ref="E80:N80" si="6">E71*E81</f>
        <v>8.961942500000001</v>
      </c>
      <c r="F80" s="56">
        <f t="shared" si="6"/>
        <v>12.979365000000003</v>
      </c>
      <c r="G80" s="56">
        <f t="shared" si="6"/>
        <v>16.896351937500004</v>
      </c>
      <c r="H80" s="56">
        <f t="shared" si="6"/>
        <v>19.524673350000004</v>
      </c>
      <c r="I80" s="56">
        <f t="shared" si="6"/>
        <v>21.589783031250004</v>
      </c>
      <c r="J80" s="56">
        <f t="shared" si="6"/>
        <v>23.006072798100007</v>
      </c>
      <c r="K80" s="56">
        <f t="shared" si="6"/>
        <v>24.031760210348637</v>
      </c>
      <c r="L80" s="56">
        <f t="shared" si="6"/>
        <v>24.136246124306673</v>
      </c>
      <c r="M80" s="56">
        <f t="shared" si="6"/>
        <v>23.730318348579697</v>
      </c>
      <c r="N80" s="56">
        <f t="shared" si="6"/>
        <v>23.278312284797231</v>
      </c>
    </row>
    <row r="81" spans="1:19" s="58" customFormat="1" ht="12">
      <c r="A81" s="164" t="s">
        <v>135</v>
      </c>
      <c r="B81" s="164"/>
      <c r="D81" s="59">
        <v>0.15</v>
      </c>
      <c r="E81" s="59">
        <v>0.14499999999999999</v>
      </c>
      <c r="F81" s="59">
        <v>0.14000000000000001</v>
      </c>
      <c r="G81" s="59">
        <v>0.13500000000000001</v>
      </c>
      <c r="H81" s="59">
        <v>0.13</v>
      </c>
      <c r="I81" s="59">
        <v>0.125</v>
      </c>
      <c r="J81" s="59">
        <v>0.12</v>
      </c>
      <c r="K81" s="59">
        <v>0.115</v>
      </c>
      <c r="L81" s="59">
        <v>0.11</v>
      </c>
      <c r="M81" s="59">
        <v>0.105</v>
      </c>
      <c r="N81" s="59">
        <v>0.1</v>
      </c>
    </row>
    <row r="82" spans="1:19">
      <c r="A82" s="55" t="s">
        <v>718</v>
      </c>
      <c r="B82" s="55"/>
      <c r="D82" s="56">
        <f>D71*D83</f>
        <v>8.8295000000000012</v>
      </c>
      <c r="E82" s="56">
        <f t="shared" ref="E82:N82" si="7">E71*E83</f>
        <v>14.83356</v>
      </c>
      <c r="F82" s="56">
        <f t="shared" si="7"/>
        <v>21.323242500000003</v>
      </c>
      <c r="G82" s="56">
        <f t="shared" si="7"/>
        <v>27.534795750000008</v>
      </c>
      <c r="H82" s="56">
        <f t="shared" si="7"/>
        <v>31.539856950000004</v>
      </c>
      <c r="I82" s="56">
        <f t="shared" si="7"/>
        <v>34.543652850000008</v>
      </c>
      <c r="J82" s="56">
        <f t="shared" si="7"/>
        <v>36.426281930325011</v>
      </c>
      <c r="K82" s="56">
        <f t="shared" si="7"/>
        <v>37.614929024893513</v>
      </c>
      <c r="L82" s="56">
        <f t="shared" si="7"/>
        <v>37.301471283019403</v>
      </c>
      <c r="M82" s="56">
        <f t="shared" si="7"/>
        <v>36.16048510259764</v>
      </c>
      <c r="N82" s="56">
        <f t="shared" si="7"/>
        <v>34.917468427195843</v>
      </c>
    </row>
    <row r="83" spans="1:19" s="58" customFormat="1" ht="12">
      <c r="A83" s="164" t="s">
        <v>135</v>
      </c>
      <c r="B83" s="164"/>
      <c r="D83" s="59">
        <v>0.25</v>
      </c>
      <c r="E83" s="59">
        <v>0.24</v>
      </c>
      <c r="F83" s="59">
        <v>0.23</v>
      </c>
      <c r="G83" s="59">
        <v>0.22</v>
      </c>
      <c r="H83" s="59">
        <v>0.21</v>
      </c>
      <c r="I83" s="59">
        <v>0.2</v>
      </c>
      <c r="J83" s="59">
        <v>0.19</v>
      </c>
      <c r="K83" s="59">
        <v>0.18</v>
      </c>
      <c r="L83" s="59">
        <v>0.17</v>
      </c>
      <c r="M83" s="59">
        <v>0.16</v>
      </c>
      <c r="N83" s="59">
        <v>0.15</v>
      </c>
    </row>
    <row r="84" spans="1:19">
      <c r="A84" s="55" t="s">
        <v>138</v>
      </c>
      <c r="B84" s="55"/>
      <c r="D84" s="56">
        <f>D71*D85</f>
        <v>3.5318000000000005</v>
      </c>
      <c r="E84" s="56">
        <f t="shared" ref="E84:N84" si="8">E71*E85</f>
        <v>6.1806500000000009</v>
      </c>
      <c r="F84" s="56">
        <f t="shared" si="8"/>
        <v>9.2709750000000017</v>
      </c>
      <c r="G84" s="56">
        <f t="shared" si="8"/>
        <v>12.515816250000004</v>
      </c>
      <c r="H84" s="56">
        <f t="shared" si="8"/>
        <v>15.018979500000004</v>
      </c>
      <c r="I84" s="56">
        <f t="shared" si="8"/>
        <v>17.271826425000004</v>
      </c>
      <c r="J84" s="56">
        <f t="shared" si="8"/>
        <v>19.171727331750006</v>
      </c>
      <c r="K84" s="56">
        <f t="shared" si="8"/>
        <v>20.897182791607509</v>
      </c>
      <c r="L84" s="56">
        <f t="shared" si="8"/>
        <v>21.942041931187887</v>
      </c>
      <c r="M84" s="56">
        <f t="shared" si="8"/>
        <v>22.600303189123522</v>
      </c>
      <c r="N84" s="56">
        <f t="shared" si="8"/>
        <v>23.278312284797231</v>
      </c>
    </row>
    <row r="85" spans="1:19" s="58" customFormat="1" ht="12">
      <c r="A85" s="164" t="s">
        <v>135</v>
      </c>
      <c r="B85" s="164"/>
      <c r="D85" s="59">
        <v>0.1</v>
      </c>
      <c r="E85" s="59">
        <v>0.1</v>
      </c>
      <c r="F85" s="59">
        <v>0.1</v>
      </c>
      <c r="G85" s="59">
        <v>0.1</v>
      </c>
      <c r="H85" s="59">
        <v>0.1</v>
      </c>
      <c r="I85" s="59">
        <v>0.1</v>
      </c>
      <c r="J85" s="59">
        <v>0.1</v>
      </c>
      <c r="K85" s="59">
        <v>0.1</v>
      </c>
      <c r="L85" s="59">
        <v>0.1</v>
      </c>
      <c r="M85" s="59">
        <v>0.1</v>
      </c>
      <c r="N85" s="59">
        <v>0.1</v>
      </c>
    </row>
    <row r="87" spans="1:19">
      <c r="A87" s="92" t="s">
        <v>285</v>
      </c>
      <c r="B87" s="92"/>
      <c r="D87" s="56">
        <f>D77-SUM(D80,D82,D84)</f>
        <v>-3.5318000000000005</v>
      </c>
      <c r="E87" s="56">
        <f t="shared" ref="E87:N87" si="9">E77-SUM(E80,E82,E84)</f>
        <v>-4.3264549999999993</v>
      </c>
      <c r="F87" s="56">
        <f t="shared" si="9"/>
        <v>-3.7083899999999943</v>
      </c>
      <c r="G87" s="56">
        <f t="shared" si="9"/>
        <v>-1.2515816250000142</v>
      </c>
      <c r="H87" s="56">
        <f t="shared" si="9"/>
        <v>3.0037959000000001</v>
      </c>
      <c r="I87" s="56">
        <f t="shared" si="9"/>
        <v>8.6359132125000002</v>
      </c>
      <c r="J87" s="56">
        <f t="shared" si="9"/>
        <v>15.337381865400005</v>
      </c>
      <c r="K87" s="56">
        <f t="shared" si="9"/>
        <v>22.986901070768269</v>
      </c>
      <c r="L87" s="56">
        <f t="shared" si="9"/>
        <v>30.718858703663045</v>
      </c>
      <c r="M87" s="56">
        <f t="shared" si="9"/>
        <v>38.42051542150999</v>
      </c>
      <c r="N87" s="56">
        <f t="shared" si="9"/>
        <v>46.556624569594462</v>
      </c>
    </row>
    <row r="88" spans="1:19" s="58" customFormat="1" ht="12">
      <c r="A88" s="262" t="s">
        <v>135</v>
      </c>
      <c r="B88" s="262"/>
      <c r="D88" s="59">
        <f>D87/D71</f>
        <v>-0.1</v>
      </c>
      <c r="E88" s="59">
        <f t="shared" ref="E88:N88" si="10">E87/E71</f>
        <v>-6.9999999999999979E-2</v>
      </c>
      <c r="F88" s="59">
        <f t="shared" si="10"/>
        <v>-3.9999999999999931E-2</v>
      </c>
      <c r="G88" s="59">
        <f t="shared" si="10"/>
        <v>-1.0000000000000111E-2</v>
      </c>
      <c r="H88" s="59">
        <f t="shared" si="10"/>
        <v>1.9999999999999997E-2</v>
      </c>
      <c r="I88" s="59">
        <f t="shared" si="10"/>
        <v>4.9999999999999989E-2</v>
      </c>
      <c r="J88" s="59">
        <f t="shared" si="10"/>
        <v>0.08</v>
      </c>
      <c r="K88" s="59">
        <f t="shared" si="10"/>
        <v>0.11000000000000004</v>
      </c>
      <c r="L88" s="59">
        <f t="shared" si="10"/>
        <v>0.14000000000000004</v>
      </c>
      <c r="M88" s="59">
        <f t="shared" si="10"/>
        <v>0.17</v>
      </c>
      <c r="N88" s="59">
        <f t="shared" si="10"/>
        <v>0.2</v>
      </c>
    </row>
    <row r="90" spans="1:19">
      <c r="A90" s="55" t="s">
        <v>139</v>
      </c>
      <c r="B90" s="55"/>
      <c r="D90" s="56">
        <f>D71*D91</f>
        <v>0</v>
      </c>
      <c r="E90" s="56">
        <f t="shared" ref="E90:N90" si="11">E71*E91</f>
        <v>0</v>
      </c>
      <c r="F90" s="56">
        <f t="shared" si="11"/>
        <v>0</v>
      </c>
      <c r="G90" s="56">
        <f t="shared" si="11"/>
        <v>0</v>
      </c>
      <c r="H90" s="56">
        <f t="shared" si="11"/>
        <v>0</v>
      </c>
      <c r="I90" s="56">
        <f t="shared" si="11"/>
        <v>0</v>
      </c>
      <c r="J90" s="56">
        <f t="shared" si="11"/>
        <v>0</v>
      </c>
      <c r="K90" s="56">
        <f t="shared" si="11"/>
        <v>0</v>
      </c>
      <c r="L90" s="56">
        <f t="shared" si="11"/>
        <v>0</v>
      </c>
      <c r="M90" s="56">
        <f t="shared" si="11"/>
        <v>0</v>
      </c>
      <c r="N90" s="56">
        <f t="shared" si="11"/>
        <v>0</v>
      </c>
    </row>
    <row r="91" spans="1:19" s="58" customFormat="1" ht="12">
      <c r="A91" s="164" t="s">
        <v>135</v>
      </c>
      <c r="B91" s="164"/>
      <c r="D91" s="59">
        <v>0</v>
      </c>
      <c r="E91" s="59">
        <v>0</v>
      </c>
      <c r="F91" s="59">
        <v>0</v>
      </c>
      <c r="G91" s="59">
        <v>0</v>
      </c>
      <c r="H91" s="59">
        <v>0</v>
      </c>
      <c r="I91" s="59">
        <v>0</v>
      </c>
      <c r="J91" s="59">
        <v>0</v>
      </c>
      <c r="K91" s="59">
        <v>0</v>
      </c>
      <c r="L91" s="59">
        <v>0</v>
      </c>
      <c r="M91" s="59">
        <v>0</v>
      </c>
      <c r="N91" s="59">
        <v>0</v>
      </c>
    </row>
    <row r="93" spans="1:19">
      <c r="A93" s="92" t="s">
        <v>140</v>
      </c>
      <c r="B93" s="92"/>
      <c r="D93" s="56">
        <f>D77-SUM(D80,D82,D84)-D90</f>
        <v>-3.5318000000000005</v>
      </c>
      <c r="E93" s="56">
        <f t="shared" ref="E93:N93" si="12">E77-SUM(E80,E82,E84)-E90</f>
        <v>-4.3264549999999993</v>
      </c>
      <c r="F93" s="56">
        <f t="shared" si="12"/>
        <v>-3.7083899999999943</v>
      </c>
      <c r="G93" s="56">
        <f t="shared" si="12"/>
        <v>-1.2515816250000142</v>
      </c>
      <c r="H93" s="56">
        <f t="shared" si="12"/>
        <v>3.0037959000000001</v>
      </c>
      <c r="I93" s="56">
        <f t="shared" si="12"/>
        <v>8.6359132125000002</v>
      </c>
      <c r="J93" s="56">
        <f t="shared" si="12"/>
        <v>15.337381865400005</v>
      </c>
      <c r="K93" s="56">
        <f t="shared" si="12"/>
        <v>22.986901070768269</v>
      </c>
      <c r="L93" s="56">
        <f t="shared" si="12"/>
        <v>30.718858703663045</v>
      </c>
      <c r="M93" s="56">
        <f t="shared" si="12"/>
        <v>38.42051542150999</v>
      </c>
      <c r="N93" s="56">
        <f t="shared" si="12"/>
        <v>46.556624569594462</v>
      </c>
    </row>
    <row r="94" spans="1:19" s="58" customFormat="1" ht="12">
      <c r="A94" s="262" t="s">
        <v>135</v>
      </c>
      <c r="B94" s="262"/>
      <c r="D94" s="59">
        <f>D93/D71</f>
        <v>-0.1</v>
      </c>
      <c r="E94" s="59">
        <f t="shared" ref="E94:N94" si="13">E93/E71</f>
        <v>-6.9999999999999979E-2</v>
      </c>
      <c r="F94" s="59">
        <f t="shared" si="13"/>
        <v>-3.9999999999999931E-2</v>
      </c>
      <c r="G94" s="59">
        <f t="shared" si="13"/>
        <v>-1.0000000000000111E-2</v>
      </c>
      <c r="H94" s="59">
        <f t="shared" si="13"/>
        <v>1.9999999999999997E-2</v>
      </c>
      <c r="I94" s="59">
        <f t="shared" si="13"/>
        <v>4.9999999999999989E-2</v>
      </c>
      <c r="J94" s="59">
        <f t="shared" si="13"/>
        <v>0.08</v>
      </c>
      <c r="K94" s="59">
        <f t="shared" si="13"/>
        <v>0.11000000000000004</v>
      </c>
      <c r="L94" s="59">
        <f t="shared" si="13"/>
        <v>0.14000000000000004</v>
      </c>
      <c r="M94" s="59">
        <f t="shared" si="13"/>
        <v>0.17</v>
      </c>
      <c r="N94" s="59">
        <f t="shared" si="13"/>
        <v>0.2</v>
      </c>
    </row>
    <row r="96" spans="1:19">
      <c r="A96" s="55" t="s">
        <v>141</v>
      </c>
      <c r="B96" s="55"/>
      <c r="D96" s="56">
        <f>D71*D97</f>
        <v>0.7063600000000001</v>
      </c>
      <c r="E96" s="56">
        <f t="shared" ref="E96:N96" si="14">E71*E97</f>
        <v>1.1743235000000001</v>
      </c>
      <c r="F96" s="56">
        <f t="shared" si="14"/>
        <v>1.6687755000000002</v>
      </c>
      <c r="G96" s="56">
        <f t="shared" si="14"/>
        <v>2.1276887625000005</v>
      </c>
      <c r="H96" s="56">
        <f t="shared" si="14"/>
        <v>2.4030367200000007</v>
      </c>
      <c r="I96" s="56">
        <f t="shared" si="14"/>
        <v>2.5907739637500002</v>
      </c>
      <c r="J96" s="56">
        <f t="shared" si="14"/>
        <v>2.684041826445001</v>
      </c>
      <c r="K96" s="56">
        <f t="shared" si="14"/>
        <v>2.7166337629089758</v>
      </c>
      <c r="L96" s="56">
        <f t="shared" si="14"/>
        <v>2.633045031742546</v>
      </c>
      <c r="M96" s="56">
        <f t="shared" si="14"/>
        <v>2.4860333508035874</v>
      </c>
      <c r="N96" s="56">
        <f t="shared" si="14"/>
        <v>2.3278312284797229</v>
      </c>
      <c r="S96" s="94"/>
    </row>
    <row r="97" spans="1:14" s="58" customFormat="1" ht="12">
      <c r="A97" s="164" t="s">
        <v>135</v>
      </c>
      <c r="B97" s="164"/>
      <c r="D97" s="59">
        <v>0.02</v>
      </c>
      <c r="E97" s="59">
        <v>1.9E-2</v>
      </c>
      <c r="F97" s="59">
        <v>1.7999999999999999E-2</v>
      </c>
      <c r="G97" s="59">
        <v>1.7000000000000001E-2</v>
      </c>
      <c r="H97" s="59">
        <v>1.6E-2</v>
      </c>
      <c r="I97" s="59">
        <v>1.4999999999999999E-2</v>
      </c>
      <c r="J97" s="59">
        <v>1.4E-2</v>
      </c>
      <c r="K97" s="59">
        <v>1.2999999999999999E-2</v>
      </c>
      <c r="L97" s="59">
        <v>1.2E-2</v>
      </c>
      <c r="M97" s="59">
        <v>1.0999999999999999E-2</v>
      </c>
      <c r="N97" s="59">
        <v>0.01</v>
      </c>
    </row>
    <row r="99" spans="1:14">
      <c r="A99" s="55" t="s">
        <v>142</v>
      </c>
      <c r="B99" s="55"/>
      <c r="D99" s="56">
        <f>D71*D100</f>
        <v>-0.88295000000000012</v>
      </c>
      <c r="E99" s="56">
        <f>E71*E100</f>
        <v>-1.4524527500000002</v>
      </c>
      <c r="F99" s="56">
        <f t="shared" ref="F99:N99" si="15">F71*F100</f>
        <v>-2.0396145000000003</v>
      </c>
      <c r="G99" s="56">
        <f t="shared" si="15"/>
        <v>-2.565742331250001</v>
      </c>
      <c r="H99" s="56">
        <f t="shared" si="15"/>
        <v>-2.8536061050000003</v>
      </c>
      <c r="I99" s="56">
        <f t="shared" si="15"/>
        <v>-3.0225696243750009</v>
      </c>
      <c r="J99" s="56">
        <f t="shared" si="15"/>
        <v>-3.0674763730800012</v>
      </c>
      <c r="K99" s="56">
        <f t="shared" si="15"/>
        <v>-3.0300915047830888</v>
      </c>
      <c r="L99" s="56">
        <f t="shared" si="15"/>
        <v>-2.8524654510544249</v>
      </c>
      <c r="M99" s="56">
        <f t="shared" si="15"/>
        <v>-2.5990348667492049</v>
      </c>
      <c r="N99" s="56">
        <f t="shared" si="15"/>
        <v>-2.3278312284797229</v>
      </c>
    </row>
    <row r="100" spans="1:14" s="58" customFormat="1" ht="12">
      <c r="A100" s="164" t="s">
        <v>135</v>
      </c>
      <c r="B100" s="164"/>
      <c r="D100" s="59">
        <v>-2.5000000000000001E-2</v>
      </c>
      <c r="E100" s="59">
        <v>-2.35E-2</v>
      </c>
      <c r="F100" s="59">
        <v>-2.1999999999999999E-2</v>
      </c>
      <c r="G100" s="59">
        <v>-2.0500000000000001E-2</v>
      </c>
      <c r="H100" s="59">
        <v>-1.9E-2</v>
      </c>
      <c r="I100" s="59">
        <v>-1.7500000000000002E-2</v>
      </c>
      <c r="J100" s="59">
        <v>-1.6E-2</v>
      </c>
      <c r="K100" s="59">
        <v>-1.4500000000000001E-2</v>
      </c>
      <c r="L100" s="59">
        <v>-1.2999999999999999E-2</v>
      </c>
      <c r="M100" s="59">
        <v>-1.15E-2</v>
      </c>
      <c r="N100" s="59">
        <v>-0.01</v>
      </c>
    </row>
    <row r="102" spans="1:14">
      <c r="A102" s="55" t="s">
        <v>143</v>
      </c>
      <c r="B102" s="55"/>
      <c r="D102" s="56">
        <f xml:space="preserve"> MAX(D93,0)*25%</f>
        <v>0</v>
      </c>
      <c r="E102" s="56">
        <f t="shared" ref="E102:N102" si="16" xml:space="preserve"> MAX(E93,0)*25%</f>
        <v>0</v>
      </c>
      <c r="F102" s="56">
        <f t="shared" si="16"/>
        <v>0</v>
      </c>
      <c r="G102" s="56">
        <f t="shared" si="16"/>
        <v>0</v>
      </c>
      <c r="H102" s="56">
        <f t="shared" si="16"/>
        <v>0.75094897500000002</v>
      </c>
      <c r="I102" s="56">
        <f t="shared" si="16"/>
        <v>2.1589783031250001</v>
      </c>
      <c r="J102" s="56">
        <f t="shared" si="16"/>
        <v>3.8343454663500012</v>
      </c>
      <c r="K102" s="56">
        <f t="shared" si="16"/>
        <v>5.7467252676920673</v>
      </c>
      <c r="L102" s="56">
        <f t="shared" si="16"/>
        <v>7.6797146759157613</v>
      </c>
      <c r="M102" s="56">
        <f t="shared" si="16"/>
        <v>9.6051288553774974</v>
      </c>
      <c r="N102" s="56">
        <f t="shared" si="16"/>
        <v>11.639156142398615</v>
      </c>
    </row>
    <row r="103" spans="1:14" s="58" customFormat="1" ht="12">
      <c r="A103" s="164" t="s">
        <v>135</v>
      </c>
      <c r="B103" s="164"/>
      <c r="D103" s="59">
        <v>0.25</v>
      </c>
      <c r="E103" s="59">
        <v>0.25</v>
      </c>
      <c r="F103" s="59">
        <v>0.25</v>
      </c>
      <c r="G103" s="59">
        <v>0.25</v>
      </c>
      <c r="H103" s="59">
        <v>0.25</v>
      </c>
      <c r="I103" s="59">
        <v>0.25</v>
      </c>
      <c r="J103" s="59">
        <v>0.25</v>
      </c>
      <c r="K103" s="59">
        <v>0.25</v>
      </c>
      <c r="L103" s="59">
        <v>0.25</v>
      </c>
      <c r="M103" s="59">
        <v>0.25</v>
      </c>
      <c r="N103" s="59">
        <v>0.25</v>
      </c>
    </row>
    <row r="105" spans="1:14">
      <c r="A105" s="60" t="s">
        <v>144</v>
      </c>
      <c r="B105" s="60"/>
      <c r="D105" s="56">
        <f>D93+D90-D96-D99-D102</f>
        <v>-3.3552100000000005</v>
      </c>
      <c r="E105" s="56">
        <f t="shared" ref="E105:N105" si="17">E93+E90-E96-E99-E102</f>
        <v>-4.0483257499999992</v>
      </c>
      <c r="F105" s="56">
        <f t="shared" si="17"/>
        <v>-3.3375509999999946</v>
      </c>
      <c r="G105" s="56">
        <f t="shared" si="17"/>
        <v>-0.81352805625001379</v>
      </c>
      <c r="H105" s="56">
        <f t="shared" si="17"/>
        <v>2.7034163099999997</v>
      </c>
      <c r="I105" s="56">
        <f t="shared" si="17"/>
        <v>6.9087305700000012</v>
      </c>
      <c r="J105" s="56">
        <f t="shared" si="17"/>
        <v>11.886470945685005</v>
      </c>
      <c r="K105" s="56">
        <f t="shared" si="17"/>
        <v>17.553633544950312</v>
      </c>
      <c r="L105" s="56">
        <f t="shared" si="17"/>
        <v>23.258564447059161</v>
      </c>
      <c r="M105" s="56">
        <f t="shared" si="17"/>
        <v>28.928388082078111</v>
      </c>
      <c r="N105" s="56">
        <f t="shared" si="17"/>
        <v>34.917468427195843</v>
      </c>
    </row>
    <row r="106" spans="1:14" s="58" customFormat="1" ht="12">
      <c r="A106" s="165" t="s">
        <v>135</v>
      </c>
      <c r="B106" s="165"/>
      <c r="D106" s="59">
        <f t="shared" ref="D106:N106" si="18">D105/D71</f>
        <v>-9.5000000000000001E-2</v>
      </c>
      <c r="E106" s="59">
        <f t="shared" si="18"/>
        <v>-6.5499999999999975E-2</v>
      </c>
      <c r="F106" s="59">
        <f t="shared" si="18"/>
        <v>-3.5999999999999935E-2</v>
      </c>
      <c r="G106" s="59">
        <f t="shared" si="18"/>
        <v>-6.5000000000001081E-3</v>
      </c>
      <c r="H106" s="59">
        <f t="shared" si="18"/>
        <v>1.7999999999999995E-2</v>
      </c>
      <c r="I106" s="59">
        <f t="shared" si="18"/>
        <v>0.04</v>
      </c>
      <c r="J106" s="59">
        <f t="shared" si="18"/>
        <v>6.2000000000000006E-2</v>
      </c>
      <c r="K106" s="59">
        <f t="shared" si="18"/>
        <v>8.4000000000000019E-2</v>
      </c>
      <c r="L106" s="59">
        <f t="shared" si="18"/>
        <v>0.10600000000000001</v>
      </c>
      <c r="M106" s="59">
        <f t="shared" si="18"/>
        <v>0.128</v>
      </c>
      <c r="N106" s="59">
        <f t="shared" si="18"/>
        <v>0.15</v>
      </c>
    </row>
    <row r="108" spans="1:14">
      <c r="A108" s="166" t="s">
        <v>145</v>
      </c>
      <c r="B108" s="166"/>
      <c r="D108" s="61">
        <f>D105/(1+$D$112)^(D69-0.5)</f>
        <v>-3.6446909731879877</v>
      </c>
      <c r="E108" s="61">
        <f t="shared" ref="E108:N108" si="19">E105/(1+$D$112)^(E69-0.5)</f>
        <v>-3.7267859304341928</v>
      </c>
      <c r="F108" s="61">
        <f t="shared" si="19"/>
        <v>-2.6037836750348835</v>
      </c>
      <c r="G108" s="61">
        <f t="shared" si="19"/>
        <v>-0.53785785660149554</v>
      </c>
      <c r="H108" s="61">
        <f t="shared" si="19"/>
        <v>1.5146974840406915</v>
      </c>
      <c r="I108" s="61">
        <f t="shared" si="19"/>
        <v>3.2804182799374693</v>
      </c>
      <c r="J108" s="61">
        <f t="shared" si="19"/>
        <v>4.7830166530783194</v>
      </c>
      <c r="K108" s="61">
        <f t="shared" si="19"/>
        <v>5.9859623394730868</v>
      </c>
      <c r="L108" s="61">
        <f t="shared" si="19"/>
        <v>6.7215255083066445</v>
      </c>
      <c r="M108" s="61">
        <f t="shared" si="19"/>
        <v>7.0847931165266074</v>
      </c>
      <c r="N108" s="61">
        <f t="shared" si="19"/>
        <v>7.2470904164682262</v>
      </c>
    </row>
    <row r="109" spans="1:14" s="142" customFormat="1" ht="10.8">
      <c r="A109" s="142" t="s">
        <v>146</v>
      </c>
      <c r="D109" s="143">
        <f>SUM(C108:D108)</f>
        <v>-3.6446909731879877</v>
      </c>
      <c r="E109" s="143">
        <f>SUM(D108:E108)</f>
        <v>-7.371476903622181</v>
      </c>
      <c r="F109" s="143">
        <f xml:space="preserve"> SUM(F108,E109)</f>
        <v>-9.9752605786570641</v>
      </c>
      <c r="G109" s="143">
        <f t="shared" ref="G109:N109" si="20" xml:space="preserve"> SUM(G108,F109)</f>
        <v>-10.51311843525856</v>
      </c>
      <c r="H109" s="143">
        <f t="shared" si="20"/>
        <v>-8.9984209512178683</v>
      </c>
      <c r="I109" s="143">
        <f t="shared" si="20"/>
        <v>-5.7180026712803986</v>
      </c>
      <c r="J109" s="143">
        <f t="shared" si="20"/>
        <v>-0.93498601820207927</v>
      </c>
      <c r="K109" s="143">
        <f t="shared" si="20"/>
        <v>5.0509763212710075</v>
      </c>
      <c r="L109" s="143">
        <f t="shared" si="20"/>
        <v>11.772501829577653</v>
      </c>
      <c r="M109" s="143">
        <f t="shared" si="20"/>
        <v>18.857294946104261</v>
      </c>
      <c r="N109" s="143">
        <f t="shared" si="20"/>
        <v>26.104385362572486</v>
      </c>
    </row>
    <row r="110" spans="1:14"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</row>
    <row r="111" spans="1:14" s="3" customFormat="1">
      <c r="A111" s="2" t="s">
        <v>130</v>
      </c>
    </row>
    <row r="112" spans="1:14">
      <c r="A112" s="161" t="s">
        <v>147</v>
      </c>
      <c r="B112" s="162"/>
      <c r="C112" s="163"/>
      <c r="D112" s="63">
        <f>CHOOSE(ASSUMPTIONS!E5,ASSUMPTIONS!D32,ASSUMPTIONS!D33,ASSUMPTIONS!D34)</f>
        <v>0.18</v>
      </c>
    </row>
    <row r="113" spans="1:4">
      <c r="A113" s="161" t="s">
        <v>148</v>
      </c>
      <c r="B113" s="162"/>
      <c r="C113" s="163"/>
      <c r="D113" s="63">
        <f>CHOOSE(ASSUMPTIONS!E5,ASSUMPTIONS!E32,ASSUMPTIONS!E33,ASSUMPTIONS!E34)</f>
        <v>3.5000000000000003E-2</v>
      </c>
    </row>
    <row r="114" spans="1:4">
      <c r="A114" s="160" t="s">
        <v>149</v>
      </c>
      <c r="B114" s="160"/>
      <c r="C114" s="160"/>
      <c r="D114" s="64">
        <f>N105*(1+D113)/(D112-D113)</f>
        <v>249.2384815320531</v>
      </c>
    </row>
    <row r="115" spans="1:4">
      <c r="A115" s="160" t="s">
        <v>150</v>
      </c>
      <c r="B115" s="160"/>
      <c r="C115" s="160"/>
      <c r="D115" s="64">
        <f xml:space="preserve"> D114/(1+D112)^N69</f>
        <v>47.620617608278323</v>
      </c>
    </row>
    <row r="116" spans="1:4">
      <c r="A116" s="160" t="s">
        <v>732</v>
      </c>
      <c r="B116" s="160"/>
      <c r="C116" s="160"/>
      <c r="D116" s="64">
        <f>SUM(D105:N105)</f>
        <v>114.60205752071843</v>
      </c>
    </row>
    <row r="117" spans="1:4">
      <c r="D117" s="65"/>
    </row>
    <row r="118" spans="1:4">
      <c r="A118" s="161" t="s">
        <v>151</v>
      </c>
      <c r="B118" s="162"/>
      <c r="C118" s="163"/>
      <c r="D118" s="66">
        <f>SUM(D115:D116)</f>
        <v>162.22267512899674</v>
      </c>
    </row>
    <row r="119" spans="1:4">
      <c r="A119" s="161" t="s">
        <v>152</v>
      </c>
      <c r="B119" s="162"/>
      <c r="C119" s="163"/>
      <c r="D119" s="66">
        <f>D118</f>
        <v>162.22267512899674</v>
      </c>
    </row>
    <row r="120" spans="1:4">
      <c r="A120" s="161" t="s">
        <v>153</v>
      </c>
      <c r="B120" s="162"/>
      <c r="C120" s="163"/>
      <c r="D120" s="67">
        <f>-D118/SUM(D108:F108)</f>
        <v>16.262499996850831</v>
      </c>
    </row>
    <row r="122" spans="1:4">
      <c r="A122" s="160" t="s">
        <v>154</v>
      </c>
      <c r="B122" s="160"/>
      <c r="C122" s="160"/>
      <c r="D122" s="68">
        <f xml:space="preserve"> 4+(-H109/I108)</f>
        <v>6.7430712132811905</v>
      </c>
    </row>
  </sheetData>
  <mergeCells count="121">
    <mergeCell ref="A1:F1"/>
    <mergeCell ref="A3:B3"/>
    <mergeCell ref="C3:D3"/>
    <mergeCell ref="E3:F3"/>
    <mergeCell ref="A4:B4"/>
    <mergeCell ref="C4:D4"/>
    <mergeCell ref="E4:F4"/>
    <mergeCell ref="A13:D13"/>
    <mergeCell ref="A14:D14"/>
    <mergeCell ref="A15:D15"/>
    <mergeCell ref="A17:D17"/>
    <mergeCell ref="A18:D18"/>
    <mergeCell ref="A20:T20"/>
    <mergeCell ref="A5:B5"/>
    <mergeCell ref="C5:D5"/>
    <mergeCell ref="E5:F5"/>
    <mergeCell ref="A7:B7"/>
    <mergeCell ref="E7:F7"/>
    <mergeCell ref="A10:F10"/>
    <mergeCell ref="A23:D23"/>
    <mergeCell ref="H23:K23"/>
    <mergeCell ref="O23:R23"/>
    <mergeCell ref="A24:D24"/>
    <mergeCell ref="H24:K24"/>
    <mergeCell ref="O24:R24"/>
    <mergeCell ref="A21:D21"/>
    <mergeCell ref="H21:L21"/>
    <mergeCell ref="O21:R21"/>
    <mergeCell ref="A22:D22"/>
    <mergeCell ref="H22:K22"/>
    <mergeCell ref="O22:R22"/>
    <mergeCell ref="A29:D29"/>
    <mergeCell ref="H29:K29"/>
    <mergeCell ref="A59:B59"/>
    <mergeCell ref="A61:B61"/>
    <mergeCell ref="C61:D61"/>
    <mergeCell ref="E61:H61"/>
    <mergeCell ref="I61:J61"/>
    <mergeCell ref="K61:L61"/>
    <mergeCell ref="A26:D26"/>
    <mergeCell ref="H26:K26"/>
    <mergeCell ref="A27:D27"/>
    <mergeCell ref="H27:K27"/>
    <mergeCell ref="A28:D28"/>
    <mergeCell ref="H28:K28"/>
    <mergeCell ref="Z61:AA61"/>
    <mergeCell ref="AB61:AC61"/>
    <mergeCell ref="C62:D62"/>
    <mergeCell ref="E62:H62"/>
    <mergeCell ref="I62:J62"/>
    <mergeCell ref="K62:L62"/>
    <mergeCell ref="M62:N62"/>
    <mergeCell ref="O62:P62"/>
    <mergeCell ref="Q62:R62"/>
    <mergeCell ref="S62:T62"/>
    <mergeCell ref="M61:N61"/>
    <mergeCell ref="O61:P61"/>
    <mergeCell ref="Q61:R61"/>
    <mergeCell ref="S61:T61"/>
    <mergeCell ref="U61:W61"/>
    <mergeCell ref="X61:Y61"/>
    <mergeCell ref="X63:Y63"/>
    <mergeCell ref="Z63:AA63"/>
    <mergeCell ref="AB63:AC63"/>
    <mergeCell ref="U62:W62"/>
    <mergeCell ref="X62:Y62"/>
    <mergeCell ref="Z62:AA62"/>
    <mergeCell ref="AB62:AC62"/>
    <mergeCell ref="C63:D63"/>
    <mergeCell ref="E63:H63"/>
    <mergeCell ref="I63:J63"/>
    <mergeCell ref="K63:L63"/>
    <mergeCell ref="M63:N63"/>
    <mergeCell ref="O63:P63"/>
    <mergeCell ref="A64:B64"/>
    <mergeCell ref="C64:D64"/>
    <mergeCell ref="E64:H64"/>
    <mergeCell ref="I64:J64"/>
    <mergeCell ref="K64:L64"/>
    <mergeCell ref="M64:N64"/>
    <mergeCell ref="Q63:R63"/>
    <mergeCell ref="S63:T63"/>
    <mergeCell ref="U63:W63"/>
    <mergeCell ref="AB64:AC64"/>
    <mergeCell ref="M65:N65"/>
    <mergeCell ref="O65:P65"/>
    <mergeCell ref="Q65:R65"/>
    <mergeCell ref="S65:T65"/>
    <mergeCell ref="U65:W65"/>
    <mergeCell ref="X65:Y65"/>
    <mergeCell ref="Z65:AA65"/>
    <mergeCell ref="AB65:AC65"/>
    <mergeCell ref="O64:P64"/>
    <mergeCell ref="Q64:R64"/>
    <mergeCell ref="S64:T64"/>
    <mergeCell ref="U64:W64"/>
    <mergeCell ref="X64:Y64"/>
    <mergeCell ref="Z64:AA64"/>
    <mergeCell ref="A88:B88"/>
    <mergeCell ref="A91:B91"/>
    <mergeCell ref="A94:B94"/>
    <mergeCell ref="A97:B97"/>
    <mergeCell ref="A100:B100"/>
    <mergeCell ref="A103:B103"/>
    <mergeCell ref="A72:B72"/>
    <mergeCell ref="A75:B75"/>
    <mergeCell ref="A78:B78"/>
    <mergeCell ref="A81:B81"/>
    <mergeCell ref="A83:B83"/>
    <mergeCell ref="A85:B85"/>
    <mergeCell ref="A116:C116"/>
    <mergeCell ref="A118:C118"/>
    <mergeCell ref="A119:C119"/>
    <mergeCell ref="A120:C120"/>
    <mergeCell ref="A122:C122"/>
    <mergeCell ref="A106:B106"/>
    <mergeCell ref="A108:B108"/>
    <mergeCell ref="A112:C112"/>
    <mergeCell ref="A113:C113"/>
    <mergeCell ref="A114:C114"/>
    <mergeCell ref="A115:C115"/>
  </mergeCells>
  <dataValidations count="1">
    <dataValidation type="list" allowBlank="1" showInputMessage="1" showErrorMessage="1" sqref="G7:G8" xr:uid="{2F8C0015-8768-4AEF-AA12-3C75FEACA3A2}">
      <formula1>"1,2,3"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60B34-3770-4B1A-AFE5-EA7473CABA71}">
  <sheetPr codeName="Sheet4"/>
  <dimension ref="A1:XFD218"/>
  <sheetViews>
    <sheetView showGridLines="0" zoomScale="91" zoomScaleNormal="145" workbookViewId="0">
      <selection activeCell="G18" sqref="G18"/>
    </sheetView>
  </sheetViews>
  <sheetFormatPr defaultRowHeight="14.4"/>
  <cols>
    <col min="5" max="5" width="9.109375" bestFit="1" customWidth="1"/>
    <col min="8" max="8" width="10.6640625" bestFit="1" customWidth="1"/>
    <col min="10" max="10" width="11" bestFit="1" customWidth="1"/>
  </cols>
  <sheetData>
    <row r="1" spans="1:9" s="1" customFormat="1" ht="21">
      <c r="A1" s="256" t="s">
        <v>722</v>
      </c>
      <c r="B1" s="256"/>
      <c r="C1" s="256"/>
      <c r="D1" s="256"/>
      <c r="E1" s="256"/>
      <c r="F1" s="256"/>
    </row>
    <row r="2" spans="1:9" s="3" customFormat="1">
      <c r="A2" s="2" t="s">
        <v>0</v>
      </c>
    </row>
    <row r="3" spans="1:9">
      <c r="A3" s="257" t="s">
        <v>1</v>
      </c>
      <c r="B3" s="258"/>
      <c r="C3" s="258"/>
      <c r="D3" s="259"/>
      <c r="E3" s="260" t="s">
        <v>2</v>
      </c>
      <c r="F3" s="260"/>
      <c r="G3" s="260" t="s">
        <v>3</v>
      </c>
      <c r="H3" s="261"/>
      <c r="I3" s="4" t="s">
        <v>4</v>
      </c>
    </row>
    <row r="4" spans="1:9">
      <c r="A4" s="245" t="s">
        <v>286</v>
      </c>
      <c r="B4" s="245"/>
      <c r="C4" s="245"/>
      <c r="D4" s="245"/>
      <c r="E4" s="253">
        <f>E23</f>
        <v>0.1518002046542333</v>
      </c>
      <c r="F4" s="253"/>
      <c r="G4" s="254">
        <f>F23</f>
        <v>0.32772525641914924</v>
      </c>
      <c r="H4" s="255"/>
      <c r="I4" s="5">
        <f>(G4/E4)^0.1-1</f>
        <v>8.0000000000000071E-2</v>
      </c>
    </row>
    <row r="5" spans="1:9" ht="15" thickBot="1">
      <c r="A5" s="246" t="s">
        <v>6</v>
      </c>
      <c r="B5" s="246"/>
      <c r="C5" s="246"/>
      <c r="D5" s="246"/>
      <c r="E5" s="168">
        <f>E27</f>
        <v>1.2751217190955595E-3</v>
      </c>
      <c r="F5" s="168"/>
      <c r="G5" s="168">
        <f>F27</f>
        <v>6.1660947603702585E-3</v>
      </c>
      <c r="H5" s="250"/>
      <c r="I5" s="5">
        <f>(G5/E5)^0.1-1</f>
        <v>0.17070063832526472</v>
      </c>
    </row>
    <row r="6" spans="1:9" s="7" customFormat="1" ht="15" thickTop="1">
      <c r="A6" s="6" t="s">
        <v>7</v>
      </c>
      <c r="B6" s="6"/>
      <c r="C6" s="6"/>
      <c r="D6" s="6"/>
      <c r="E6" s="247">
        <f xml:space="preserve"> E5/E4</f>
        <v>8.3999999999999977E-3</v>
      </c>
      <c r="F6" s="247"/>
      <c r="G6" s="247">
        <f xml:space="preserve"> G5/G4</f>
        <v>1.881482931081771E-2</v>
      </c>
      <c r="H6" s="247"/>
      <c r="I6" s="5"/>
    </row>
    <row r="7" spans="1:9" s="7" customFormat="1">
      <c r="A7" s="6"/>
      <c r="B7" s="6"/>
      <c r="C7" s="6"/>
      <c r="D7" s="6"/>
      <c r="E7" s="8"/>
      <c r="F7" s="8"/>
      <c r="G7" s="8"/>
      <c r="H7" s="8"/>
      <c r="I7" s="5"/>
    </row>
    <row r="8" spans="1:9">
      <c r="A8" s="245" t="s">
        <v>287</v>
      </c>
      <c r="B8" s="245"/>
      <c r="C8" s="245"/>
      <c r="D8" s="245"/>
      <c r="E8" s="253">
        <f>L23</f>
        <v>10.15122289156626</v>
      </c>
      <c r="F8" s="253"/>
      <c r="G8" s="254">
        <f>M23</f>
        <v>31.528157430273811</v>
      </c>
      <c r="H8" s="255"/>
      <c r="I8" s="5">
        <f>(G8/E8)^0.1-1</f>
        <v>0.12000000000000011</v>
      </c>
    </row>
    <row r="9" spans="1:9" ht="15" thickBot="1">
      <c r="A9" s="246" t="s">
        <v>6</v>
      </c>
      <c r="B9" s="246"/>
      <c r="C9" s="246"/>
      <c r="D9" s="246"/>
      <c r="E9" s="168">
        <f>L27</f>
        <v>4.8725869879518054E-2</v>
      </c>
      <c r="F9" s="168"/>
      <c r="G9" s="168">
        <f>M27</f>
        <v>0.33896965744868052</v>
      </c>
      <c r="H9" s="250"/>
      <c r="I9" s="5">
        <f>(G9/E9)^0.1-1</f>
        <v>0.21405992122620043</v>
      </c>
    </row>
    <row r="10" spans="1:9" s="7" customFormat="1" ht="15" thickTop="1">
      <c r="A10" s="6" t="s">
        <v>7</v>
      </c>
      <c r="B10" s="6"/>
      <c r="C10" s="6"/>
      <c r="D10" s="6"/>
      <c r="E10" s="247">
        <f xml:space="preserve"> E9/E8</f>
        <v>4.8000000000000004E-3</v>
      </c>
      <c r="F10" s="247"/>
      <c r="G10" s="247">
        <f xml:space="preserve"> G9/G8</f>
        <v>1.0751331034752978E-2</v>
      </c>
      <c r="H10" s="247"/>
      <c r="I10" s="5"/>
    </row>
    <row r="11" spans="1:9">
      <c r="I11" s="5"/>
    </row>
    <row r="12" spans="1:9">
      <c r="A12" s="245" t="s">
        <v>10</v>
      </c>
      <c r="B12" s="245"/>
      <c r="C12" s="245"/>
      <c r="D12" s="245"/>
      <c r="E12" s="251">
        <f xml:space="preserve"> SUM(E4,E8)</f>
        <v>10.303023096220493</v>
      </c>
      <c r="F12" s="251"/>
      <c r="G12" s="254">
        <f xml:space="preserve"> SUM(G4,G8)</f>
        <v>31.855882686692961</v>
      </c>
      <c r="H12" s="255"/>
      <c r="I12" s="5">
        <f t="shared" ref="I12" si="0">(G12/E12)^0.1-1</f>
        <v>0.11949587324812638</v>
      </c>
    </row>
    <row r="13" spans="1:9" ht="15" thickBot="1">
      <c r="A13" s="246" t="s">
        <v>6</v>
      </c>
      <c r="B13" s="246"/>
      <c r="C13" s="246"/>
      <c r="D13" s="246"/>
      <c r="E13" s="168">
        <f xml:space="preserve"> SUM(E9,E5)</f>
        <v>5.0000991598613612E-2</v>
      </c>
      <c r="F13" s="168"/>
      <c r="G13" s="168">
        <f xml:space="preserve"> SUM(G9,G5)</f>
        <v>0.34513575220905079</v>
      </c>
      <c r="H13" s="250"/>
      <c r="I13" s="5">
        <f>(G13/E13)^0.1-1</f>
        <v>0.21311265502201593</v>
      </c>
    </row>
    <row r="14" spans="1:9" s="7" customFormat="1" ht="15" thickTop="1">
      <c r="A14" s="6" t="s">
        <v>7</v>
      </c>
      <c r="B14" s="6"/>
      <c r="C14" s="6"/>
      <c r="D14" s="6"/>
      <c r="E14" s="247">
        <f xml:space="preserve"> E13/E12</f>
        <v>4.8530408144921771E-3</v>
      </c>
      <c r="F14" s="247"/>
      <c r="G14" s="247">
        <f xml:space="preserve"> G13/G12</f>
        <v>1.0834286263655254E-2</v>
      </c>
      <c r="H14" s="247"/>
      <c r="I14" s="5"/>
    </row>
    <row r="15" spans="1:9" s="7" customFormat="1">
      <c r="A15" s="6"/>
      <c r="B15" s="6"/>
      <c r="C15" s="6"/>
      <c r="D15" s="6"/>
      <c r="E15" s="8"/>
      <c r="F15" s="8"/>
      <c r="G15" s="8"/>
      <c r="H15" s="8"/>
      <c r="I15" s="95"/>
    </row>
    <row r="16" spans="1:9" s="3" customFormat="1">
      <c r="A16" s="2" t="s">
        <v>11</v>
      </c>
    </row>
    <row r="17" spans="1:13" s="7" customFormat="1">
      <c r="A17" s="248" t="s">
        <v>12</v>
      </c>
      <c r="B17" s="249"/>
      <c r="C17" s="10">
        <f>ASSUMPTIONS!B5</f>
        <v>0.1</v>
      </c>
      <c r="E17" s="248" t="s">
        <v>13</v>
      </c>
      <c r="F17" s="249"/>
      <c r="G17" s="11">
        <f>ASSUMPTIONS!E5</f>
        <v>2</v>
      </c>
      <c r="H17" s="8"/>
    </row>
    <row r="18" spans="1:13">
      <c r="E18" s="12"/>
      <c r="F18" s="12"/>
      <c r="G18" s="12"/>
      <c r="H18" s="12"/>
      <c r="I18" s="13"/>
    </row>
    <row r="19" spans="1:13">
      <c r="A19" s="244" t="s">
        <v>288</v>
      </c>
      <c r="B19" s="244"/>
      <c r="C19" s="244"/>
      <c r="D19" s="244"/>
      <c r="E19" s="244"/>
      <c r="F19" s="244"/>
      <c r="G19" s="14"/>
      <c r="H19" s="244" t="s">
        <v>289</v>
      </c>
      <c r="I19" s="244"/>
      <c r="J19" s="244"/>
      <c r="K19" s="244"/>
      <c r="L19" s="244"/>
      <c r="M19" s="244"/>
    </row>
    <row r="20" spans="1:13">
      <c r="E20" s="14"/>
      <c r="F20" s="14"/>
      <c r="G20" s="14"/>
      <c r="L20" s="14"/>
      <c r="M20" s="14"/>
    </row>
    <row r="21" spans="1:13" s="7" customFormat="1">
      <c r="A21" s="15" t="s">
        <v>17</v>
      </c>
      <c r="B21" s="15"/>
      <c r="C21" s="15"/>
      <c r="D21" s="15"/>
      <c r="E21" s="15"/>
      <c r="F21" s="15"/>
      <c r="H21" s="15" t="s">
        <v>17</v>
      </c>
      <c r="I21" s="15"/>
      <c r="J21" s="15"/>
      <c r="K21" s="15"/>
      <c r="L21" s="15"/>
      <c r="M21" s="15"/>
    </row>
    <row r="22" spans="1:13" ht="14.4" customHeight="1">
      <c r="A22" s="245" t="s">
        <v>18</v>
      </c>
      <c r="B22" s="245"/>
      <c r="C22" s="245"/>
      <c r="D22" s="245"/>
      <c r="E22" s="16">
        <v>45849</v>
      </c>
      <c r="F22" s="17">
        <f>EDATE(E22,120)</f>
        <v>49501</v>
      </c>
      <c r="H22" s="245" t="s">
        <v>18</v>
      </c>
      <c r="I22" s="245"/>
      <c r="J22" s="245"/>
      <c r="K22" s="245"/>
      <c r="L22" s="16">
        <v>45849</v>
      </c>
      <c r="M22" s="17">
        <f>EDATE(L22,120)</f>
        <v>49501</v>
      </c>
    </row>
    <row r="23" spans="1:13" ht="14.4" customHeight="1">
      <c r="A23" s="239" t="s">
        <v>19</v>
      </c>
      <c r="B23" s="239"/>
      <c r="C23" s="239"/>
      <c r="D23" s="239"/>
      <c r="E23" s="19">
        <f xml:space="preserve"> CHOOSE($G$17,E31,E32,E33)</f>
        <v>0.1518002046542333</v>
      </c>
      <c r="F23" s="23">
        <f xml:space="preserve"> CHOOSE($G$17,F31,F32,F33)</f>
        <v>0.32772525641914924</v>
      </c>
      <c r="H23" s="239" t="s">
        <v>19</v>
      </c>
      <c r="I23" s="239"/>
      <c r="J23" s="239"/>
      <c r="K23" s="239"/>
      <c r="L23" s="19">
        <f xml:space="preserve"> CHOOSE($G$17,L31,L32,L33)</f>
        <v>10.15122289156626</v>
      </c>
      <c r="M23" s="23">
        <f xml:space="preserve"> CHOOSE($G$17,M31,M32,M33)</f>
        <v>31.528157430273811</v>
      </c>
    </row>
    <row r="24" spans="1:13" ht="14.4" customHeight="1">
      <c r="A24" s="239" t="s">
        <v>290</v>
      </c>
      <c r="B24" s="239"/>
      <c r="C24" s="239"/>
      <c r="D24" s="239"/>
      <c r="E24" s="20">
        <f>CHOOSE($G$17,E36,E37,E38)</f>
        <v>0.35</v>
      </c>
      <c r="F24" s="24">
        <f>CHOOSE($G$17,F36,F37,F38)</f>
        <v>0.47037073277044261</v>
      </c>
      <c r="H24" s="239" t="s">
        <v>290</v>
      </c>
      <c r="I24" s="239"/>
      <c r="J24" s="239"/>
      <c r="K24" s="239"/>
      <c r="L24" s="20">
        <f>CHOOSE($G$17,L36,L37,L38)</f>
        <v>0.2</v>
      </c>
      <c r="M24" s="24">
        <f>CHOOSE($G$17,M36,M37,M38)</f>
        <v>0.26878327586882439</v>
      </c>
    </row>
    <row r="25" spans="1:13" ht="14.4" customHeight="1">
      <c r="A25" s="239" t="s">
        <v>291</v>
      </c>
      <c r="B25" s="239"/>
      <c r="C25" s="239"/>
      <c r="D25" s="239"/>
      <c r="E25" s="20">
        <f xml:space="preserve"> CHOOSE($G$17,E41,E42,E43)</f>
        <v>0.8</v>
      </c>
      <c r="F25" s="24">
        <f xml:space="preserve"> CHOOSE($G$17,F41,F42,F43)</f>
        <v>0.8</v>
      </c>
      <c r="H25" s="239" t="s">
        <v>291</v>
      </c>
      <c r="I25" s="239"/>
      <c r="J25" s="239"/>
      <c r="K25" s="239"/>
      <c r="L25" s="20">
        <f xml:space="preserve"> CHOOSE($G$17,L41,L42,L43)</f>
        <v>0.8</v>
      </c>
      <c r="M25" s="24">
        <f xml:space="preserve"> CHOOSE($G$17,M41,M42,M43)</f>
        <v>0.8</v>
      </c>
    </row>
    <row r="26" spans="1:13" ht="14.4" customHeight="1">
      <c r="A26" s="239" t="s">
        <v>21</v>
      </c>
      <c r="B26" s="239"/>
      <c r="C26" s="239"/>
      <c r="D26" s="239"/>
      <c r="E26" s="20">
        <f xml:space="preserve"> CHOOSE($G$17,E46,E47,E48)</f>
        <v>0.03</v>
      </c>
      <c r="F26" s="24">
        <f xml:space="preserve"> CHOOSE($G$17,F46,F47,F48)</f>
        <v>0.05</v>
      </c>
      <c r="H26" s="239" t="s">
        <v>21</v>
      </c>
      <c r="I26" s="239"/>
      <c r="J26" s="239"/>
      <c r="K26" s="239"/>
      <c r="L26" s="20">
        <f xml:space="preserve"> CHOOSE($G$17,L46,L47,L48)</f>
        <v>0.03</v>
      </c>
      <c r="M26" s="24">
        <f xml:space="preserve"> CHOOSE($G$17,M46,M47,M48)</f>
        <v>0.05</v>
      </c>
    </row>
    <row r="27" spans="1:13" ht="15" thickBot="1">
      <c r="A27" s="242" t="s">
        <v>25</v>
      </c>
      <c r="B27" s="242"/>
      <c r="C27" s="242"/>
      <c r="D27" s="242"/>
      <c r="E27" s="21">
        <f xml:space="preserve"> PRODUCT(E23:E26)</f>
        <v>1.2751217190955595E-3</v>
      </c>
      <c r="F27" s="21">
        <f xml:space="preserve"> PRODUCT(F23:F26)</f>
        <v>6.1660947603702585E-3</v>
      </c>
      <c r="G27" s="14"/>
      <c r="H27" s="242" t="s">
        <v>25</v>
      </c>
      <c r="I27" s="242"/>
      <c r="J27" s="242"/>
      <c r="K27" s="242"/>
      <c r="L27" s="21">
        <f xml:space="preserve"> PRODUCT(L23:L26)</f>
        <v>4.8725869879518054E-2</v>
      </c>
      <c r="M27" s="21">
        <f xml:space="preserve"> PRODUCT(M23:M26)</f>
        <v>0.33896965744868052</v>
      </c>
    </row>
    <row r="28" spans="1:13" ht="15" thickTop="1">
      <c r="E28" s="14"/>
      <c r="F28" s="14"/>
      <c r="G28" s="14"/>
      <c r="L28" s="14"/>
      <c r="M28" s="14"/>
    </row>
    <row r="29" spans="1:13" s="7" customFormat="1">
      <c r="A29" s="15" t="s">
        <v>26</v>
      </c>
      <c r="B29" s="15"/>
      <c r="C29" s="15"/>
      <c r="D29" s="15"/>
      <c r="E29" s="15"/>
      <c r="F29" s="15"/>
      <c r="H29" s="15" t="s">
        <v>26</v>
      </c>
      <c r="I29" s="15"/>
      <c r="J29" s="15"/>
      <c r="K29" s="15"/>
      <c r="L29" s="15"/>
      <c r="M29" s="15"/>
    </row>
    <row r="30" spans="1:13">
      <c r="A30" s="240" t="s">
        <v>27</v>
      </c>
      <c r="B30" s="240"/>
      <c r="C30" s="240"/>
      <c r="D30" s="240"/>
      <c r="E30" s="14"/>
      <c r="F30" s="14"/>
      <c r="G30" s="14"/>
      <c r="H30" s="240" t="s">
        <v>27</v>
      </c>
      <c r="I30" s="240"/>
      <c r="J30" s="240"/>
      <c r="K30" s="240"/>
      <c r="L30" s="14"/>
      <c r="M30" s="14"/>
    </row>
    <row r="31" spans="1:13">
      <c r="A31" s="239" t="s">
        <v>30</v>
      </c>
      <c r="B31" s="239"/>
      <c r="C31" s="239"/>
      <c r="D31" s="239"/>
      <c r="E31" s="19">
        <f>E32*(1+$C$17)</f>
        <v>0.16698022511965666</v>
      </c>
      <c r="F31" s="23">
        <f>F32*(1+$C$17)</f>
        <v>0.3604977820610642</v>
      </c>
      <c r="G31" s="14"/>
      <c r="H31" s="239" t="s">
        <v>30</v>
      </c>
      <c r="I31" s="239"/>
      <c r="J31" s="239"/>
      <c r="K31" s="239"/>
      <c r="L31" s="19">
        <f>L32*(1+$C$17)</f>
        <v>11.166345180722887</v>
      </c>
      <c r="M31" s="23">
        <f>M32*(1+$C$17)</f>
        <v>34.680973173301197</v>
      </c>
    </row>
    <row r="32" spans="1:13">
      <c r="A32" s="239" t="s">
        <v>31</v>
      </c>
      <c r="B32" s="239"/>
      <c r="C32" s="239"/>
      <c r="D32" s="239"/>
      <c r="E32" s="19">
        <f>A126</f>
        <v>0.1518002046542333</v>
      </c>
      <c r="F32" s="23">
        <f>C126</f>
        <v>0.32772525641914924</v>
      </c>
      <c r="G32" s="14"/>
      <c r="H32" s="239" t="s">
        <v>31</v>
      </c>
      <c r="I32" s="239"/>
      <c r="J32" s="239"/>
      <c r="K32" s="239"/>
      <c r="L32" s="19">
        <f xml:space="preserve"> A157</f>
        <v>10.15122289156626</v>
      </c>
      <c r="M32" s="23">
        <f xml:space="preserve"> C157</f>
        <v>31.528157430273811</v>
      </c>
    </row>
    <row r="33" spans="1:13">
      <c r="A33" s="239" t="s">
        <v>32</v>
      </c>
      <c r="B33" s="239"/>
      <c r="C33" s="239"/>
      <c r="D33" s="239"/>
      <c r="E33" s="19">
        <f>E32*(1-$C$17)</f>
        <v>0.13662018418880997</v>
      </c>
      <c r="F33" s="23">
        <f>F32*(1-$C$17)</f>
        <v>0.29495273077723433</v>
      </c>
      <c r="G33" s="14"/>
      <c r="H33" s="239" t="s">
        <v>32</v>
      </c>
      <c r="I33" s="239"/>
      <c r="J33" s="239"/>
      <c r="K33" s="239"/>
      <c r="L33" s="19">
        <f>L32*(1-$C$17)</f>
        <v>9.1361006024096341</v>
      </c>
      <c r="M33" s="23">
        <f>M32*(1-$C$17)</f>
        <v>28.375341687246429</v>
      </c>
    </row>
    <row r="34" spans="1:13">
      <c r="E34" s="14"/>
      <c r="F34" s="14"/>
      <c r="G34" s="14"/>
      <c r="L34" s="14"/>
      <c r="M34" s="14"/>
    </row>
    <row r="35" spans="1:13">
      <c r="A35" s="240" t="s">
        <v>292</v>
      </c>
      <c r="B35" s="240"/>
      <c r="C35" s="240"/>
      <c r="D35" s="240"/>
      <c r="E35" s="14"/>
      <c r="F35" s="14"/>
      <c r="G35" s="14"/>
      <c r="H35" s="240" t="s">
        <v>292</v>
      </c>
      <c r="I35" s="240"/>
      <c r="J35" s="240"/>
      <c r="K35" s="240"/>
      <c r="L35" s="14"/>
      <c r="M35" s="14"/>
    </row>
    <row r="36" spans="1:13">
      <c r="A36" s="239" t="s">
        <v>30</v>
      </c>
      <c r="B36" s="239"/>
      <c r="C36" s="239"/>
      <c r="D36" s="239"/>
      <c r="E36" s="20">
        <f>E37*(1+$C$17)</f>
        <v>0.38500000000000001</v>
      </c>
      <c r="F36" s="24">
        <f xml:space="preserve"> F37*(1+$C$17)</f>
        <v>0.51740780604748693</v>
      </c>
      <c r="G36" s="14"/>
      <c r="H36" s="239" t="s">
        <v>30</v>
      </c>
      <c r="I36" s="239"/>
      <c r="J36" s="239"/>
      <c r="K36" s="239"/>
      <c r="L36" s="20">
        <f>L37*(1+$C$17)</f>
        <v>0.22000000000000003</v>
      </c>
      <c r="M36" s="24">
        <f xml:space="preserve"> M37*(1+$C$17)</f>
        <v>0.29566160345570686</v>
      </c>
    </row>
    <row r="37" spans="1:13">
      <c r="A37" s="239" t="s">
        <v>31</v>
      </c>
      <c r="B37" s="239"/>
      <c r="C37" s="239"/>
      <c r="D37" s="239"/>
      <c r="E37" s="20">
        <f>E126</f>
        <v>0.35</v>
      </c>
      <c r="F37" s="24">
        <f>I126</f>
        <v>0.47037073277044261</v>
      </c>
      <c r="G37" s="14"/>
      <c r="H37" s="239" t="s">
        <v>31</v>
      </c>
      <c r="I37" s="239"/>
      <c r="J37" s="239"/>
      <c r="K37" s="239"/>
      <c r="L37" s="20">
        <f xml:space="preserve"> E157</f>
        <v>0.2</v>
      </c>
      <c r="M37" s="24">
        <f xml:space="preserve"> I157</f>
        <v>0.26878327586882439</v>
      </c>
    </row>
    <row r="38" spans="1:13">
      <c r="A38" s="239" t="s">
        <v>32</v>
      </c>
      <c r="B38" s="239"/>
      <c r="C38" s="239"/>
      <c r="D38" s="239"/>
      <c r="E38" s="20">
        <f xml:space="preserve"> E37*(1-$C$17)</f>
        <v>0.315</v>
      </c>
      <c r="F38" s="24">
        <f xml:space="preserve"> F37*(1-$C$17)</f>
        <v>0.42333365949339835</v>
      </c>
      <c r="H38" s="239" t="s">
        <v>32</v>
      </c>
      <c r="I38" s="239"/>
      <c r="J38" s="239"/>
      <c r="K38" s="239"/>
      <c r="L38" s="20">
        <f xml:space="preserve"> L37*(1-$C$17)</f>
        <v>0.18000000000000002</v>
      </c>
      <c r="M38" s="24">
        <f xml:space="preserve"> M37*(1-$C$17)</f>
        <v>0.24190494828194195</v>
      </c>
    </row>
    <row r="39" spans="1:13">
      <c r="A39" s="25"/>
      <c r="B39" s="25"/>
      <c r="C39" s="25"/>
      <c r="D39" s="25"/>
      <c r="E39" s="13"/>
      <c r="F39" s="13"/>
      <c r="H39" s="25"/>
      <c r="I39" s="25"/>
      <c r="J39" s="25"/>
      <c r="K39" s="25"/>
      <c r="L39" s="13"/>
      <c r="M39" s="13"/>
    </row>
    <row r="40" spans="1:13">
      <c r="A40" s="240" t="s">
        <v>293</v>
      </c>
      <c r="B40" s="240"/>
      <c r="C40" s="240"/>
      <c r="D40" s="240"/>
      <c r="E40" s="240"/>
      <c r="F40" s="14"/>
      <c r="G40" s="14"/>
      <c r="H40" s="240" t="s">
        <v>293</v>
      </c>
      <c r="I40" s="240"/>
      <c r="J40" s="240"/>
      <c r="K40" s="240"/>
      <c r="L40" s="240"/>
      <c r="M40" s="14"/>
    </row>
    <row r="41" spans="1:13">
      <c r="A41" s="239" t="s">
        <v>30</v>
      </c>
      <c r="B41" s="239"/>
      <c r="C41" s="239"/>
      <c r="D41" s="239"/>
      <c r="E41" s="20">
        <f xml:space="preserve"> E42*(1+$C$17)</f>
        <v>0.88000000000000012</v>
      </c>
      <c r="F41" s="24">
        <f xml:space="preserve"> F42*(1+$C$17)</f>
        <v>0.88000000000000012</v>
      </c>
      <c r="G41" s="14"/>
      <c r="H41" s="239" t="s">
        <v>30</v>
      </c>
      <c r="I41" s="239"/>
      <c r="J41" s="239"/>
      <c r="K41" s="239"/>
      <c r="L41" s="20">
        <f xml:space="preserve"> L42*(1+$C$17)</f>
        <v>0.88000000000000012</v>
      </c>
      <c r="M41" s="24">
        <f xml:space="preserve"> M42*(1+$C$17)</f>
        <v>0.88000000000000012</v>
      </c>
    </row>
    <row r="42" spans="1:13">
      <c r="A42" s="239" t="s">
        <v>31</v>
      </c>
      <c r="B42" s="239"/>
      <c r="C42" s="239"/>
      <c r="D42" s="239"/>
      <c r="E42" s="20">
        <f>P126</f>
        <v>0.8</v>
      </c>
      <c r="F42" s="24">
        <f>P126</f>
        <v>0.8</v>
      </c>
      <c r="G42" s="14"/>
      <c r="H42" s="239" t="s">
        <v>31</v>
      </c>
      <c r="I42" s="239"/>
      <c r="J42" s="239"/>
      <c r="K42" s="239"/>
      <c r="L42" s="20">
        <f xml:space="preserve"> P157</f>
        <v>0.8</v>
      </c>
      <c r="M42" s="20">
        <f xml:space="preserve"> P157</f>
        <v>0.8</v>
      </c>
    </row>
    <row r="43" spans="1:13">
      <c r="A43" s="239" t="s">
        <v>32</v>
      </c>
      <c r="B43" s="239"/>
      <c r="C43" s="239"/>
      <c r="D43" s="239"/>
      <c r="E43" s="20">
        <f xml:space="preserve"> E42*(1-$C$17)</f>
        <v>0.72000000000000008</v>
      </c>
      <c r="F43" s="24">
        <f xml:space="preserve"> F42*(1-$C$17)</f>
        <v>0.72000000000000008</v>
      </c>
      <c r="H43" s="239" t="s">
        <v>32</v>
      </c>
      <c r="I43" s="239"/>
      <c r="J43" s="239"/>
      <c r="K43" s="239"/>
      <c r="L43" s="20">
        <f xml:space="preserve"> L42*(1-$C$17)</f>
        <v>0.72000000000000008</v>
      </c>
      <c r="M43" s="24">
        <f xml:space="preserve"> M42*(1-$C$17)</f>
        <v>0.72000000000000008</v>
      </c>
    </row>
    <row r="44" spans="1:13">
      <c r="E44" s="14"/>
      <c r="F44" s="14"/>
      <c r="G44" s="14"/>
      <c r="L44" s="14"/>
      <c r="M44" s="14"/>
    </row>
    <row r="45" spans="1:13">
      <c r="A45" s="240" t="s">
        <v>36</v>
      </c>
      <c r="B45" s="240"/>
      <c r="C45" s="240"/>
      <c r="D45" s="240"/>
      <c r="E45" s="14"/>
      <c r="F45" s="14"/>
      <c r="G45" s="14"/>
      <c r="H45" s="240" t="s">
        <v>36</v>
      </c>
      <c r="I45" s="240"/>
      <c r="J45" s="240"/>
      <c r="K45" s="240"/>
      <c r="L45" s="14"/>
      <c r="M45" s="14"/>
    </row>
    <row r="46" spans="1:13">
      <c r="A46" s="239" t="s">
        <v>30</v>
      </c>
      <c r="B46" s="239"/>
      <c r="C46" s="239"/>
      <c r="D46" s="239"/>
      <c r="E46" s="20">
        <f xml:space="preserve"> E47*(1+$C$17)</f>
        <v>3.3000000000000002E-2</v>
      </c>
      <c r="F46" s="24">
        <f xml:space="preserve"> F47*(1+$C$17)</f>
        <v>5.5000000000000007E-2</v>
      </c>
      <c r="G46" s="14"/>
      <c r="H46" s="239" t="s">
        <v>30</v>
      </c>
      <c r="I46" s="239"/>
      <c r="J46" s="239"/>
      <c r="K46" s="239"/>
      <c r="L46" s="20">
        <f xml:space="preserve"> L47*(1+$C$17)</f>
        <v>3.3000000000000002E-2</v>
      </c>
      <c r="M46" s="24">
        <f xml:space="preserve"> M47*(1+$C$17)</f>
        <v>5.5000000000000007E-2</v>
      </c>
    </row>
    <row r="47" spans="1:13">
      <c r="A47" s="239" t="s">
        <v>31</v>
      </c>
      <c r="B47" s="239"/>
      <c r="C47" s="239"/>
      <c r="D47" s="239"/>
      <c r="E47" s="20">
        <f>K126</f>
        <v>0.03</v>
      </c>
      <c r="F47" s="24">
        <f>M126</f>
        <v>0.05</v>
      </c>
      <c r="G47" s="14"/>
      <c r="H47" s="239" t="s">
        <v>31</v>
      </c>
      <c r="I47" s="239"/>
      <c r="J47" s="239"/>
      <c r="K47" s="239"/>
      <c r="L47" s="20">
        <f>K157</f>
        <v>0.03</v>
      </c>
      <c r="M47" s="24">
        <f>M157</f>
        <v>0.05</v>
      </c>
    </row>
    <row r="48" spans="1:13">
      <c r="A48" s="239" t="s">
        <v>32</v>
      </c>
      <c r="B48" s="239"/>
      <c r="C48" s="239"/>
      <c r="D48" s="239"/>
      <c r="E48" s="20">
        <f xml:space="preserve"> E47*(1-$C$17)</f>
        <v>2.7E-2</v>
      </c>
      <c r="F48" s="24">
        <f xml:space="preserve"> F47*(1-$C$17)</f>
        <v>4.5000000000000005E-2</v>
      </c>
      <c r="H48" s="239" t="s">
        <v>32</v>
      </c>
      <c r="I48" s="239"/>
      <c r="J48" s="239"/>
      <c r="K48" s="239"/>
      <c r="L48" s="20">
        <f xml:space="preserve"> L47*(1-$C$17)</f>
        <v>2.7E-2</v>
      </c>
      <c r="M48" s="24">
        <f xml:space="preserve"> M47*(1-$C$17)</f>
        <v>4.5000000000000005E-2</v>
      </c>
    </row>
    <row r="49" spans="1:16">
      <c r="E49" s="14"/>
      <c r="F49" s="14"/>
      <c r="G49" s="14"/>
      <c r="H49" s="14"/>
      <c r="I49" s="13"/>
    </row>
    <row r="50" spans="1:16" s="3" customFormat="1">
      <c r="A50" s="2" t="s">
        <v>39</v>
      </c>
    </row>
    <row r="52" spans="1:16" ht="15" thickBot="1"/>
    <row r="53" spans="1:16" s="96" customFormat="1" ht="42" thickBot="1">
      <c r="M53" s="26" t="s">
        <v>40</v>
      </c>
      <c r="N53" s="97" t="s">
        <v>286</v>
      </c>
      <c r="O53" s="97" t="s">
        <v>287</v>
      </c>
      <c r="P53" s="97" t="s">
        <v>294</v>
      </c>
    </row>
    <row r="54" spans="1:16" s="7" customFormat="1" ht="15" thickBot="1">
      <c r="M54" s="98" t="s">
        <v>44</v>
      </c>
      <c r="N54" s="99">
        <v>10000</v>
      </c>
      <c r="O54" s="99">
        <v>10000</v>
      </c>
      <c r="P54" s="99">
        <v>10000</v>
      </c>
    </row>
    <row r="55" spans="1:16" s="7" customFormat="1" ht="15" thickBot="1">
      <c r="M55" s="98" t="s">
        <v>45</v>
      </c>
      <c r="N55" s="99">
        <v>1.289E-3</v>
      </c>
      <c r="O55" s="99">
        <v>4.8721E-2</v>
      </c>
      <c r="P55" s="99">
        <v>5.0008999999999998E-2</v>
      </c>
    </row>
    <row r="56" spans="1:16" ht="15" thickBot="1">
      <c r="M56" s="98" t="s">
        <v>46</v>
      </c>
      <c r="N56" s="99">
        <v>1.05E-4</v>
      </c>
      <c r="O56" s="99">
        <v>4.0049999999999999E-3</v>
      </c>
      <c r="P56" s="99">
        <v>4.0070000000000001E-3</v>
      </c>
    </row>
    <row r="57" spans="1:16" ht="15" thickBot="1">
      <c r="M57" s="98" t="s">
        <v>47</v>
      </c>
      <c r="N57" s="99">
        <v>9.4399999999999996E-4</v>
      </c>
      <c r="O57" s="99">
        <v>3.6893000000000002E-2</v>
      </c>
      <c r="P57" s="99">
        <v>3.8167E-2</v>
      </c>
    </row>
    <row r="58" spans="1:16" ht="15" thickBot="1">
      <c r="M58" s="100">
        <v>0.05</v>
      </c>
      <c r="N58" s="99">
        <v>1.124E-3</v>
      </c>
      <c r="O58" s="99">
        <v>4.2358E-2</v>
      </c>
      <c r="P58" s="99">
        <v>4.3646999999999998E-2</v>
      </c>
    </row>
    <row r="59" spans="1:16" ht="15" thickBot="1">
      <c r="M59" s="100">
        <v>0.5</v>
      </c>
      <c r="N59" s="99">
        <v>1.284E-3</v>
      </c>
      <c r="O59" s="99">
        <v>4.8607999999999998E-2</v>
      </c>
      <c r="P59" s="99">
        <v>4.9889999999999997E-2</v>
      </c>
    </row>
    <row r="60" spans="1:16" ht="15" thickBot="1">
      <c r="M60" s="100">
        <v>0.95</v>
      </c>
      <c r="N60" s="99">
        <v>1.47E-3</v>
      </c>
      <c r="O60" s="99">
        <v>5.5587999999999999E-2</v>
      </c>
      <c r="P60" s="99">
        <v>5.6868000000000002E-2</v>
      </c>
    </row>
    <row r="61" spans="1:16" s="7" customFormat="1" ht="15" thickBot="1">
      <c r="M61" s="98" t="s">
        <v>48</v>
      </c>
      <c r="N61" s="99">
        <v>1.707E-3</v>
      </c>
      <c r="O61" s="99">
        <v>6.2542E-2</v>
      </c>
      <c r="P61" s="99">
        <v>6.4007999999999995E-2</v>
      </c>
    </row>
    <row r="62" spans="1:16" s="7" customFormat="1"/>
    <row r="65" spans="1:26" s="7" customFormat="1">
      <c r="P65" s="7" t="s">
        <v>295</v>
      </c>
    </row>
    <row r="66" spans="1:26" s="7" customFormat="1"/>
    <row r="67" spans="1:26" s="7" customFormat="1"/>
    <row r="68" spans="1:26" s="7" customFormat="1"/>
    <row r="69" spans="1:26" s="7" customFormat="1"/>
    <row r="70" spans="1:26" s="7" customFormat="1"/>
    <row r="71" spans="1:26" s="7" customFormat="1"/>
    <row r="72" spans="1:26" s="7" customFormat="1"/>
    <row r="73" spans="1:26" s="3" customFormat="1">
      <c r="A73" s="360" t="s">
        <v>49</v>
      </c>
      <c r="B73" s="360"/>
    </row>
    <row r="74" spans="1:26" s="101" customFormat="1">
      <c r="A74" s="101" t="s">
        <v>296</v>
      </c>
    </row>
    <row r="75" spans="1:26" s="103" customFormat="1">
      <c r="A75" s="102" t="s">
        <v>297</v>
      </c>
      <c r="B75" s="102"/>
      <c r="C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</row>
    <row r="76" spans="1:26">
      <c r="A76" s="414" t="s">
        <v>298</v>
      </c>
      <c r="B76" s="414"/>
      <c r="C76" s="414"/>
      <c r="D76" s="388" t="s">
        <v>299</v>
      </c>
      <c r="E76" s="389"/>
      <c r="F76" s="389"/>
      <c r="G76" s="389"/>
      <c r="H76" s="389"/>
      <c r="I76" s="389"/>
      <c r="J76" s="389"/>
      <c r="K76" s="389"/>
      <c r="L76" s="390"/>
      <c r="M76" s="104"/>
      <c r="N76" s="104"/>
      <c r="O76" s="104"/>
      <c r="P76" s="104"/>
      <c r="Q76" s="104"/>
      <c r="R76" s="104"/>
      <c r="S76" s="104"/>
      <c r="T76" s="104"/>
      <c r="U76" s="104"/>
      <c r="V76" s="104"/>
    </row>
    <row r="77" spans="1:26" ht="14.4" customHeight="1">
      <c r="A77" s="409" t="s">
        <v>300</v>
      </c>
      <c r="B77" s="409"/>
      <c r="C77" s="409"/>
      <c r="D77" s="410" t="s">
        <v>301</v>
      </c>
      <c r="E77" s="410"/>
      <c r="F77" s="410"/>
      <c r="G77" s="410"/>
      <c r="H77" s="410"/>
      <c r="I77" s="410"/>
      <c r="J77" s="410"/>
      <c r="K77" s="410"/>
      <c r="L77" s="410"/>
      <c r="M77" s="105"/>
      <c r="N77" s="105"/>
      <c r="O77" s="105"/>
      <c r="P77" s="105"/>
      <c r="Q77" s="105"/>
      <c r="R77" s="105"/>
      <c r="S77" s="105"/>
      <c r="T77" s="105"/>
      <c r="U77" s="105"/>
      <c r="V77" s="105"/>
    </row>
    <row r="78" spans="1:26" ht="14.4" customHeight="1">
      <c r="A78" s="409" t="s">
        <v>302</v>
      </c>
      <c r="B78" s="409"/>
      <c r="C78" s="409"/>
      <c r="D78" s="410" t="s">
        <v>303</v>
      </c>
      <c r="E78" s="410"/>
      <c r="F78" s="410"/>
      <c r="G78" s="410"/>
      <c r="H78" s="410"/>
      <c r="I78" s="410"/>
      <c r="J78" s="410"/>
      <c r="K78" s="410"/>
      <c r="L78" s="410"/>
      <c r="M78" s="105"/>
      <c r="N78" s="105"/>
      <c r="O78" s="105"/>
      <c r="P78" s="105"/>
      <c r="Q78" s="105"/>
      <c r="R78" s="105"/>
      <c r="S78" s="105"/>
      <c r="T78" s="105"/>
      <c r="U78" s="105"/>
      <c r="V78" s="105"/>
    </row>
    <row r="79" spans="1:26" ht="14.4" customHeight="1">
      <c r="A79" s="409" t="s">
        <v>304</v>
      </c>
      <c r="B79" s="409"/>
      <c r="C79" s="409"/>
      <c r="D79" s="410" t="s">
        <v>305</v>
      </c>
      <c r="E79" s="410"/>
      <c r="F79" s="410"/>
      <c r="G79" s="410"/>
      <c r="H79" s="410"/>
      <c r="I79" s="410"/>
      <c r="J79" s="410"/>
      <c r="K79" s="410"/>
      <c r="L79" s="410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6"/>
    </row>
    <row r="80" spans="1:26" ht="14.4" customHeight="1">
      <c r="A80" s="409" t="s">
        <v>306</v>
      </c>
      <c r="B80" s="409"/>
      <c r="C80" s="409"/>
      <c r="D80" s="410" t="s">
        <v>307</v>
      </c>
      <c r="E80" s="410"/>
      <c r="F80" s="410"/>
      <c r="G80" s="410"/>
      <c r="H80" s="410"/>
      <c r="I80" s="410"/>
      <c r="J80" s="410"/>
      <c r="K80" s="410"/>
      <c r="L80" s="410"/>
      <c r="M80" s="105"/>
      <c r="N80" s="105"/>
      <c r="O80" s="105"/>
      <c r="P80" s="105"/>
      <c r="Q80" s="105"/>
      <c r="R80" s="105"/>
      <c r="S80" s="105"/>
      <c r="T80" s="105"/>
      <c r="U80" s="105"/>
      <c r="V80" s="105"/>
    </row>
    <row r="81" spans="1:16384" ht="14.4" customHeight="1">
      <c r="A81" s="409" t="s">
        <v>308</v>
      </c>
      <c r="B81" s="409"/>
      <c r="C81" s="409"/>
      <c r="D81" s="410" t="s">
        <v>309</v>
      </c>
      <c r="E81" s="410"/>
      <c r="F81" s="410"/>
      <c r="G81" s="410"/>
      <c r="H81" s="410"/>
      <c r="I81" s="410"/>
      <c r="J81" s="410"/>
      <c r="K81" s="410"/>
      <c r="L81" s="410"/>
      <c r="M81" s="105"/>
      <c r="N81" s="105"/>
      <c r="O81" s="105"/>
      <c r="P81" s="105"/>
      <c r="Q81" s="105"/>
      <c r="R81" s="105"/>
      <c r="S81" s="105"/>
      <c r="T81" s="105"/>
      <c r="U81" s="105"/>
      <c r="V81" s="105"/>
    </row>
    <row r="82" spans="1:16384" ht="14.4" customHeight="1">
      <c r="A82" s="409" t="s">
        <v>310</v>
      </c>
      <c r="B82" s="409"/>
      <c r="C82" s="409"/>
      <c r="D82" s="410" t="s">
        <v>311</v>
      </c>
      <c r="E82" s="410"/>
      <c r="F82" s="410"/>
      <c r="G82" s="410"/>
      <c r="H82" s="410"/>
      <c r="I82" s="410"/>
      <c r="J82" s="410"/>
      <c r="K82" s="410"/>
      <c r="L82" s="410"/>
      <c r="M82" s="105"/>
      <c r="N82" s="105"/>
      <c r="O82" s="105"/>
      <c r="P82" s="105"/>
      <c r="Q82" s="105"/>
      <c r="R82" s="105"/>
      <c r="S82" s="105"/>
      <c r="T82" s="105"/>
      <c r="U82" s="105"/>
      <c r="V82" s="105"/>
    </row>
    <row r="83" spans="1:16384" ht="14.4" customHeight="1">
      <c r="A83" s="409" t="s">
        <v>312</v>
      </c>
      <c r="B83" s="409"/>
      <c r="C83" s="409"/>
      <c r="D83" s="410" t="s">
        <v>313</v>
      </c>
      <c r="E83" s="410"/>
      <c r="F83" s="410"/>
      <c r="G83" s="410"/>
      <c r="H83" s="410"/>
      <c r="I83" s="410"/>
      <c r="J83" s="410"/>
      <c r="K83" s="410"/>
      <c r="L83" s="410"/>
      <c r="M83" s="105"/>
      <c r="N83" s="105"/>
      <c r="O83" s="105"/>
      <c r="P83" s="105"/>
      <c r="Q83" s="105"/>
      <c r="R83" s="105"/>
      <c r="S83" s="105"/>
      <c r="T83" s="105"/>
      <c r="U83" s="105"/>
      <c r="V83" s="105"/>
    </row>
    <row r="84" spans="1:16384" ht="14.4" customHeight="1">
      <c r="A84" s="409" t="s">
        <v>314</v>
      </c>
      <c r="B84" s="409"/>
      <c r="C84" s="409"/>
      <c r="D84" s="410" t="s">
        <v>315</v>
      </c>
      <c r="E84" s="410"/>
      <c r="F84" s="410"/>
      <c r="G84" s="410"/>
      <c r="H84" s="410"/>
      <c r="I84" s="410"/>
      <c r="J84" s="410"/>
      <c r="K84" s="410"/>
      <c r="L84" s="410"/>
      <c r="M84" s="105"/>
      <c r="N84" s="105"/>
      <c r="O84" s="105"/>
      <c r="P84" s="105"/>
      <c r="Q84" s="105"/>
      <c r="R84" s="105"/>
      <c r="S84" s="105"/>
      <c r="T84" s="105"/>
      <c r="U84" s="105"/>
      <c r="V84" s="105"/>
    </row>
    <row r="85" spans="1:16384" ht="14.4" customHeight="1">
      <c r="A85" s="409" t="s">
        <v>316</v>
      </c>
      <c r="B85" s="409"/>
      <c r="C85" s="409"/>
      <c r="D85" s="410" t="s">
        <v>317</v>
      </c>
      <c r="E85" s="410"/>
      <c r="F85" s="410"/>
      <c r="G85" s="410"/>
      <c r="H85" s="410"/>
      <c r="I85" s="410"/>
      <c r="J85" s="410"/>
      <c r="K85" s="410"/>
      <c r="L85" s="410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6"/>
    </row>
    <row r="86" spans="1:16384" ht="14.4" customHeight="1">
      <c r="A86" s="409" t="s">
        <v>318</v>
      </c>
      <c r="B86" s="409"/>
      <c r="C86" s="409"/>
      <c r="D86" s="410" t="s">
        <v>319</v>
      </c>
      <c r="E86" s="410"/>
      <c r="F86" s="410"/>
      <c r="G86" s="410"/>
      <c r="H86" s="410"/>
      <c r="I86" s="410"/>
      <c r="J86" s="410"/>
      <c r="K86" s="410"/>
      <c r="L86" s="410"/>
      <c r="M86" s="105"/>
      <c r="N86" s="105"/>
      <c r="O86" s="105"/>
      <c r="P86" s="105"/>
      <c r="Q86" s="105"/>
      <c r="R86" s="105"/>
      <c r="S86" s="105"/>
      <c r="T86" s="105"/>
      <c r="U86" s="105"/>
      <c r="V86" s="105"/>
    </row>
    <row r="88" spans="1:16384" s="103" customFormat="1">
      <c r="A88" s="102" t="s">
        <v>320</v>
      </c>
      <c r="B88" s="102"/>
      <c r="C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</row>
    <row r="89" spans="1:16384">
      <c r="A89" s="411" t="s">
        <v>321</v>
      </c>
      <c r="B89" s="411"/>
      <c r="C89" s="411"/>
      <c r="D89" s="412" t="s">
        <v>322</v>
      </c>
      <c r="E89" s="412"/>
      <c r="F89" s="108" t="s">
        <v>323</v>
      </c>
      <c r="G89" s="108" t="s">
        <v>324</v>
      </c>
      <c r="H89" s="108"/>
      <c r="I89" s="108" t="s">
        <v>325</v>
      </c>
      <c r="J89" s="365" t="s">
        <v>326</v>
      </c>
      <c r="K89" s="367"/>
      <c r="L89" s="413" t="s">
        <v>327</v>
      </c>
      <c r="M89" s="177"/>
      <c r="N89" s="177"/>
    </row>
    <row r="90" spans="1:16384">
      <c r="A90" s="408" t="s">
        <v>328</v>
      </c>
      <c r="B90" s="408"/>
      <c r="C90" s="408"/>
      <c r="D90" s="211">
        <v>10000</v>
      </c>
      <c r="E90" s="211"/>
      <c r="F90" s="109">
        <v>400</v>
      </c>
      <c r="G90" s="167">
        <v>0.7</v>
      </c>
      <c r="H90" s="167"/>
      <c r="I90" s="110">
        <v>50000</v>
      </c>
      <c r="J90" s="167">
        <v>0.6</v>
      </c>
      <c r="K90" s="167"/>
      <c r="L90" s="211">
        <f xml:space="preserve"> D90*F90*G90*I90*J90/83000000000</f>
        <v>1.0120481927710843</v>
      </c>
      <c r="M90" s="211"/>
      <c r="N90" s="211"/>
    </row>
    <row r="91" spans="1:16384">
      <c r="A91" s="408" t="s">
        <v>329</v>
      </c>
      <c r="B91" s="408"/>
      <c r="C91" s="408"/>
      <c r="D91" s="211">
        <v>40000</v>
      </c>
      <c r="E91" s="211"/>
      <c r="F91" s="109">
        <v>150</v>
      </c>
      <c r="G91" s="167">
        <v>0.6</v>
      </c>
      <c r="H91" s="167"/>
      <c r="I91" s="110">
        <v>40000</v>
      </c>
      <c r="J91" s="167">
        <v>0.5</v>
      </c>
      <c r="K91" s="167"/>
      <c r="L91" s="211">
        <f t="shared" ref="L91:L92" si="1" xml:space="preserve"> D91*F91*G91*I91*J91/83000000000</f>
        <v>0.86746987951807231</v>
      </c>
      <c r="M91" s="211"/>
      <c r="N91" s="211"/>
    </row>
    <row r="92" spans="1:16384">
      <c r="A92" s="376" t="s">
        <v>330</v>
      </c>
      <c r="B92" s="377"/>
      <c r="C92" s="378"/>
      <c r="D92" s="202">
        <v>25000</v>
      </c>
      <c r="E92" s="203"/>
      <c r="F92" s="109">
        <v>200</v>
      </c>
      <c r="G92" s="368">
        <v>0.8</v>
      </c>
      <c r="H92" s="369"/>
      <c r="I92" s="110">
        <v>5000</v>
      </c>
      <c r="J92" s="368">
        <v>0.4</v>
      </c>
      <c r="K92" s="369"/>
      <c r="L92" s="202">
        <f t="shared" si="1"/>
        <v>9.6385542168674704E-2</v>
      </c>
      <c r="M92" s="278"/>
      <c r="N92" s="203"/>
    </row>
    <row r="94" spans="1:16384">
      <c r="A94" s="400" t="s">
        <v>331</v>
      </c>
      <c r="B94" s="404"/>
      <c r="C94" s="404"/>
      <c r="D94" s="401"/>
      <c r="E94" s="400" t="s">
        <v>332</v>
      </c>
      <c r="F94" s="401"/>
      <c r="G94" s="400" t="s">
        <v>333</v>
      </c>
      <c r="H94" s="404"/>
      <c r="I94" s="404"/>
      <c r="J94" s="404"/>
      <c r="K94" s="401"/>
      <c r="L94" s="406" t="s">
        <v>334</v>
      </c>
      <c r="M94" s="407"/>
      <c r="N94" s="406" t="s">
        <v>335</v>
      </c>
      <c r="O94" s="407"/>
      <c r="P94" s="400" t="s">
        <v>336</v>
      </c>
      <c r="Q94" s="401"/>
      <c r="R94" s="400" t="s">
        <v>337</v>
      </c>
      <c r="S94" s="401"/>
      <c r="T94" s="400" t="s">
        <v>333</v>
      </c>
      <c r="U94" s="404"/>
      <c r="V94" s="404"/>
      <c r="W94" s="404"/>
      <c r="X94" s="404"/>
      <c r="Y94" s="404"/>
      <c r="Z94" s="404"/>
      <c r="AA94" s="401"/>
    </row>
    <row r="95" spans="1:16384">
      <c r="A95" s="402"/>
      <c r="B95" s="405"/>
      <c r="C95" s="405"/>
      <c r="D95" s="403"/>
      <c r="E95" s="402"/>
      <c r="F95" s="403"/>
      <c r="G95" s="402"/>
      <c r="H95" s="405"/>
      <c r="I95" s="405"/>
      <c r="J95" s="405"/>
      <c r="K95" s="403"/>
      <c r="L95" s="111" t="s">
        <v>338</v>
      </c>
      <c r="M95" s="111" t="s">
        <v>339</v>
      </c>
      <c r="N95" s="111" t="s">
        <v>338</v>
      </c>
      <c r="O95" s="111" t="s">
        <v>339</v>
      </c>
      <c r="P95" s="402"/>
      <c r="Q95" s="403"/>
      <c r="R95" s="402"/>
      <c r="S95" s="403"/>
      <c r="T95" s="402"/>
      <c r="U95" s="405"/>
      <c r="V95" s="405"/>
      <c r="W95" s="405"/>
      <c r="X95" s="405"/>
      <c r="Y95" s="405"/>
      <c r="Z95" s="405"/>
      <c r="AA95" s="403"/>
    </row>
    <row r="96" spans="1:16384">
      <c r="A96" s="398" t="s">
        <v>340</v>
      </c>
      <c r="B96" s="398"/>
      <c r="C96" s="398"/>
      <c r="D96" s="39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  <c r="T96" s="398"/>
      <c r="U96" s="398"/>
      <c r="V96" s="398"/>
      <c r="W96" s="398"/>
      <c r="X96" s="398"/>
      <c r="Y96" s="398"/>
      <c r="Z96" s="398"/>
      <c r="AA96" s="399"/>
      <c r="AB96" s="394"/>
      <c r="AC96" s="395"/>
      <c r="AD96" s="395"/>
      <c r="AE96" s="395"/>
      <c r="AF96" s="395"/>
      <c r="AG96" s="395"/>
      <c r="AH96" s="395"/>
      <c r="AI96" s="395"/>
      <c r="AJ96" s="395"/>
      <c r="AK96" s="395"/>
      <c r="AL96" s="395"/>
      <c r="AM96" s="395"/>
      <c r="AN96" s="395"/>
      <c r="AO96" s="395"/>
      <c r="AP96" s="395"/>
      <c r="AQ96" s="395"/>
      <c r="AR96" s="395"/>
      <c r="AS96" s="395"/>
      <c r="AT96" s="395"/>
      <c r="AU96" s="395"/>
      <c r="AV96" s="395"/>
      <c r="AW96" s="395"/>
      <c r="AX96" s="395"/>
      <c r="AY96" s="395"/>
      <c r="AZ96" s="395"/>
      <c r="BA96" s="395"/>
      <c r="BB96" s="396"/>
      <c r="BC96" s="394"/>
      <c r="BD96" s="395"/>
      <c r="BE96" s="395"/>
      <c r="BF96" s="395"/>
      <c r="BG96" s="395"/>
      <c r="BH96" s="395"/>
      <c r="BI96" s="395"/>
      <c r="BJ96" s="395"/>
      <c r="BK96" s="395"/>
      <c r="BL96" s="395"/>
      <c r="BM96" s="395"/>
      <c r="BN96" s="395"/>
      <c r="BO96" s="395"/>
      <c r="BP96" s="395"/>
      <c r="BQ96" s="395"/>
      <c r="BR96" s="395"/>
      <c r="BS96" s="395"/>
      <c r="BT96" s="395"/>
      <c r="BU96" s="395"/>
      <c r="BV96" s="395"/>
      <c r="BW96" s="395"/>
      <c r="BX96" s="395"/>
      <c r="BY96" s="395"/>
      <c r="BZ96" s="395"/>
      <c r="CA96" s="395"/>
      <c r="CB96" s="395"/>
      <c r="CC96" s="396"/>
      <c r="CD96" s="394"/>
      <c r="CE96" s="395"/>
      <c r="CF96" s="395"/>
      <c r="CG96" s="395"/>
      <c r="CH96" s="395"/>
      <c r="CI96" s="395"/>
      <c r="CJ96" s="395"/>
      <c r="CK96" s="395"/>
      <c r="CL96" s="395"/>
      <c r="CM96" s="395"/>
      <c r="CN96" s="395"/>
      <c r="CO96" s="395"/>
      <c r="CP96" s="395"/>
      <c r="CQ96" s="395"/>
      <c r="CR96" s="395"/>
      <c r="CS96" s="395"/>
      <c r="CT96" s="395"/>
      <c r="CU96" s="395"/>
      <c r="CV96" s="395"/>
      <c r="CW96" s="395"/>
      <c r="CX96" s="395"/>
      <c r="CY96" s="395"/>
      <c r="CZ96" s="395"/>
      <c r="DA96" s="395"/>
      <c r="DB96" s="395"/>
      <c r="DC96" s="395"/>
      <c r="DD96" s="396"/>
      <c r="DE96" s="394"/>
      <c r="DF96" s="395"/>
      <c r="DG96" s="395"/>
      <c r="DH96" s="395"/>
      <c r="DI96" s="395"/>
      <c r="DJ96" s="395"/>
      <c r="DK96" s="395"/>
      <c r="DL96" s="395"/>
      <c r="DM96" s="395"/>
      <c r="DN96" s="395"/>
      <c r="DO96" s="395"/>
      <c r="DP96" s="395"/>
      <c r="DQ96" s="395"/>
      <c r="DR96" s="395"/>
      <c r="DS96" s="395"/>
      <c r="DT96" s="395"/>
      <c r="DU96" s="395"/>
      <c r="DV96" s="395"/>
      <c r="DW96" s="395"/>
      <c r="DX96" s="395"/>
      <c r="DY96" s="395"/>
      <c r="DZ96" s="395"/>
      <c r="EA96" s="395"/>
      <c r="EB96" s="395"/>
      <c r="EC96" s="395"/>
      <c r="ED96" s="395"/>
      <c r="EE96" s="396"/>
      <c r="EF96" s="394"/>
      <c r="EG96" s="395"/>
      <c r="EH96" s="395"/>
      <c r="EI96" s="395"/>
      <c r="EJ96" s="395"/>
      <c r="EK96" s="395"/>
      <c r="EL96" s="395"/>
      <c r="EM96" s="395"/>
      <c r="EN96" s="395"/>
      <c r="EO96" s="395"/>
      <c r="EP96" s="395"/>
      <c r="EQ96" s="395"/>
      <c r="ER96" s="395"/>
      <c r="ES96" s="395"/>
      <c r="ET96" s="395"/>
      <c r="EU96" s="395"/>
      <c r="EV96" s="395"/>
      <c r="EW96" s="395"/>
      <c r="EX96" s="395"/>
      <c r="EY96" s="395"/>
      <c r="EZ96" s="395"/>
      <c r="FA96" s="395"/>
      <c r="FB96" s="395"/>
      <c r="FC96" s="395"/>
      <c r="FD96" s="395"/>
      <c r="FE96" s="395"/>
      <c r="FF96" s="396"/>
      <c r="FG96" s="394"/>
      <c r="FH96" s="395"/>
      <c r="FI96" s="395"/>
      <c r="FJ96" s="395"/>
      <c r="FK96" s="395"/>
      <c r="FL96" s="395"/>
      <c r="FM96" s="395"/>
      <c r="FN96" s="395"/>
      <c r="FO96" s="395"/>
      <c r="FP96" s="395"/>
      <c r="FQ96" s="395"/>
      <c r="FR96" s="395"/>
      <c r="FS96" s="395"/>
      <c r="FT96" s="395"/>
      <c r="FU96" s="395"/>
      <c r="FV96" s="395"/>
      <c r="FW96" s="395"/>
      <c r="FX96" s="395"/>
      <c r="FY96" s="395"/>
      <c r="FZ96" s="395"/>
      <c r="GA96" s="395"/>
      <c r="GB96" s="395"/>
      <c r="GC96" s="395"/>
      <c r="GD96" s="395"/>
      <c r="GE96" s="395"/>
      <c r="GF96" s="395"/>
      <c r="GG96" s="396"/>
      <c r="GH96" s="394"/>
      <c r="GI96" s="395"/>
      <c r="GJ96" s="395"/>
      <c r="GK96" s="395"/>
      <c r="GL96" s="395"/>
      <c r="GM96" s="395"/>
      <c r="GN96" s="395"/>
      <c r="GO96" s="395"/>
      <c r="GP96" s="395"/>
      <c r="GQ96" s="395"/>
      <c r="GR96" s="395"/>
      <c r="GS96" s="395"/>
      <c r="GT96" s="395"/>
      <c r="GU96" s="395"/>
      <c r="GV96" s="395"/>
      <c r="GW96" s="395"/>
      <c r="GX96" s="395"/>
      <c r="GY96" s="395"/>
      <c r="GZ96" s="395"/>
      <c r="HA96" s="395"/>
      <c r="HB96" s="395"/>
      <c r="HC96" s="395"/>
      <c r="HD96" s="395"/>
      <c r="HE96" s="395"/>
      <c r="HF96" s="395"/>
      <c r="HG96" s="395"/>
      <c r="HH96" s="396"/>
      <c r="HI96" s="394"/>
      <c r="HJ96" s="395"/>
      <c r="HK96" s="395"/>
      <c r="HL96" s="395"/>
      <c r="HM96" s="395"/>
      <c r="HN96" s="395"/>
      <c r="HO96" s="395"/>
      <c r="HP96" s="395"/>
      <c r="HQ96" s="395"/>
      <c r="HR96" s="395"/>
      <c r="HS96" s="395"/>
      <c r="HT96" s="395"/>
      <c r="HU96" s="395"/>
      <c r="HV96" s="395"/>
      <c r="HW96" s="395"/>
      <c r="HX96" s="395"/>
      <c r="HY96" s="395"/>
      <c r="HZ96" s="395"/>
      <c r="IA96" s="395"/>
      <c r="IB96" s="395"/>
      <c r="IC96" s="395"/>
      <c r="ID96" s="395"/>
      <c r="IE96" s="395"/>
      <c r="IF96" s="395"/>
      <c r="IG96" s="395"/>
      <c r="IH96" s="395"/>
      <c r="II96" s="396"/>
      <c r="IJ96" s="394"/>
      <c r="IK96" s="395"/>
      <c r="IL96" s="395"/>
      <c r="IM96" s="395"/>
      <c r="IN96" s="395"/>
      <c r="IO96" s="395"/>
      <c r="IP96" s="395"/>
      <c r="IQ96" s="395"/>
      <c r="IR96" s="395"/>
      <c r="IS96" s="395"/>
      <c r="IT96" s="395"/>
      <c r="IU96" s="395"/>
      <c r="IV96" s="395"/>
      <c r="IW96" s="395"/>
      <c r="IX96" s="395"/>
      <c r="IY96" s="395"/>
      <c r="IZ96" s="395"/>
      <c r="JA96" s="395"/>
      <c r="JB96" s="395"/>
      <c r="JC96" s="395"/>
      <c r="JD96" s="395"/>
      <c r="JE96" s="395"/>
      <c r="JF96" s="395"/>
      <c r="JG96" s="395"/>
      <c r="JH96" s="395"/>
      <c r="JI96" s="395"/>
      <c r="JJ96" s="396"/>
      <c r="JK96" s="394"/>
      <c r="JL96" s="395"/>
      <c r="JM96" s="395"/>
      <c r="JN96" s="395"/>
      <c r="JO96" s="395"/>
      <c r="JP96" s="395"/>
      <c r="JQ96" s="395"/>
      <c r="JR96" s="395"/>
      <c r="JS96" s="395"/>
      <c r="JT96" s="395"/>
      <c r="JU96" s="395"/>
      <c r="JV96" s="395"/>
      <c r="JW96" s="395"/>
      <c r="JX96" s="395"/>
      <c r="JY96" s="395"/>
      <c r="JZ96" s="395"/>
      <c r="KA96" s="395"/>
      <c r="KB96" s="395"/>
      <c r="KC96" s="395"/>
      <c r="KD96" s="395"/>
      <c r="KE96" s="395"/>
      <c r="KF96" s="395"/>
      <c r="KG96" s="395"/>
      <c r="KH96" s="395"/>
      <c r="KI96" s="395"/>
      <c r="KJ96" s="395"/>
      <c r="KK96" s="396"/>
      <c r="KL96" s="394"/>
      <c r="KM96" s="395"/>
      <c r="KN96" s="395"/>
      <c r="KO96" s="395"/>
      <c r="KP96" s="395"/>
      <c r="KQ96" s="395"/>
      <c r="KR96" s="395"/>
      <c r="KS96" s="395"/>
      <c r="KT96" s="395"/>
      <c r="KU96" s="395"/>
      <c r="KV96" s="395"/>
      <c r="KW96" s="395"/>
      <c r="KX96" s="395"/>
      <c r="KY96" s="395"/>
      <c r="KZ96" s="395"/>
      <c r="LA96" s="395"/>
      <c r="LB96" s="395"/>
      <c r="LC96" s="395"/>
      <c r="LD96" s="395"/>
      <c r="LE96" s="395"/>
      <c r="LF96" s="395"/>
      <c r="LG96" s="395"/>
      <c r="LH96" s="395"/>
      <c r="LI96" s="395"/>
      <c r="LJ96" s="395"/>
      <c r="LK96" s="395"/>
      <c r="LL96" s="396"/>
      <c r="LM96" s="394"/>
      <c r="LN96" s="395"/>
      <c r="LO96" s="395"/>
      <c r="LP96" s="395"/>
      <c r="LQ96" s="395"/>
      <c r="LR96" s="395"/>
      <c r="LS96" s="395"/>
      <c r="LT96" s="395"/>
      <c r="LU96" s="395"/>
      <c r="LV96" s="395"/>
      <c r="LW96" s="395"/>
      <c r="LX96" s="395"/>
      <c r="LY96" s="395"/>
      <c r="LZ96" s="395"/>
      <c r="MA96" s="395"/>
      <c r="MB96" s="395"/>
      <c r="MC96" s="395"/>
      <c r="MD96" s="395"/>
      <c r="ME96" s="395"/>
      <c r="MF96" s="395"/>
      <c r="MG96" s="395"/>
      <c r="MH96" s="395"/>
      <c r="MI96" s="395"/>
      <c r="MJ96" s="395"/>
      <c r="MK96" s="395"/>
      <c r="ML96" s="395"/>
      <c r="MM96" s="396"/>
      <c r="MN96" s="394"/>
      <c r="MO96" s="395"/>
      <c r="MP96" s="395"/>
      <c r="MQ96" s="395"/>
      <c r="MR96" s="395"/>
      <c r="MS96" s="395"/>
      <c r="MT96" s="395"/>
      <c r="MU96" s="395"/>
      <c r="MV96" s="395"/>
      <c r="MW96" s="395"/>
      <c r="MX96" s="395"/>
      <c r="MY96" s="395"/>
      <c r="MZ96" s="395"/>
      <c r="NA96" s="395"/>
      <c r="NB96" s="395"/>
      <c r="NC96" s="395"/>
      <c r="ND96" s="395"/>
      <c r="NE96" s="395"/>
      <c r="NF96" s="395"/>
      <c r="NG96" s="395"/>
      <c r="NH96" s="395"/>
      <c r="NI96" s="395"/>
      <c r="NJ96" s="395"/>
      <c r="NK96" s="395"/>
      <c r="NL96" s="395"/>
      <c r="NM96" s="395"/>
      <c r="NN96" s="396"/>
      <c r="NO96" s="394"/>
      <c r="NP96" s="395"/>
      <c r="NQ96" s="395"/>
      <c r="NR96" s="395"/>
      <c r="NS96" s="395"/>
      <c r="NT96" s="395"/>
      <c r="NU96" s="395"/>
      <c r="NV96" s="395"/>
      <c r="NW96" s="395"/>
      <c r="NX96" s="395"/>
      <c r="NY96" s="395"/>
      <c r="NZ96" s="395"/>
      <c r="OA96" s="395"/>
      <c r="OB96" s="395"/>
      <c r="OC96" s="395"/>
      <c r="OD96" s="395"/>
      <c r="OE96" s="395"/>
      <c r="OF96" s="395"/>
      <c r="OG96" s="395"/>
      <c r="OH96" s="395"/>
      <c r="OI96" s="395"/>
      <c r="OJ96" s="395"/>
      <c r="OK96" s="395"/>
      <c r="OL96" s="395"/>
      <c r="OM96" s="395"/>
      <c r="ON96" s="395"/>
      <c r="OO96" s="396"/>
      <c r="OP96" s="394"/>
      <c r="OQ96" s="395"/>
      <c r="OR96" s="395"/>
      <c r="OS96" s="395"/>
      <c r="OT96" s="395"/>
      <c r="OU96" s="395"/>
      <c r="OV96" s="395"/>
      <c r="OW96" s="395"/>
      <c r="OX96" s="395"/>
      <c r="OY96" s="395"/>
      <c r="OZ96" s="395"/>
      <c r="PA96" s="395"/>
      <c r="PB96" s="395"/>
      <c r="PC96" s="395"/>
      <c r="PD96" s="395"/>
      <c r="PE96" s="395"/>
      <c r="PF96" s="395"/>
      <c r="PG96" s="395"/>
      <c r="PH96" s="395"/>
      <c r="PI96" s="395"/>
      <c r="PJ96" s="395"/>
      <c r="PK96" s="395"/>
      <c r="PL96" s="395"/>
      <c r="PM96" s="395"/>
      <c r="PN96" s="395"/>
      <c r="PO96" s="395"/>
      <c r="PP96" s="396"/>
      <c r="PQ96" s="394"/>
      <c r="PR96" s="395"/>
      <c r="PS96" s="395"/>
      <c r="PT96" s="395"/>
      <c r="PU96" s="395"/>
      <c r="PV96" s="395"/>
      <c r="PW96" s="395"/>
      <c r="PX96" s="395"/>
      <c r="PY96" s="395"/>
      <c r="PZ96" s="395"/>
      <c r="QA96" s="395"/>
      <c r="QB96" s="395"/>
      <c r="QC96" s="395"/>
      <c r="QD96" s="395"/>
      <c r="QE96" s="395"/>
      <c r="QF96" s="395"/>
      <c r="QG96" s="395"/>
      <c r="QH96" s="395"/>
      <c r="QI96" s="395"/>
      <c r="QJ96" s="395"/>
      <c r="QK96" s="395"/>
      <c r="QL96" s="395"/>
      <c r="QM96" s="395"/>
      <c r="QN96" s="395"/>
      <c r="QO96" s="395"/>
      <c r="QP96" s="395"/>
      <c r="QQ96" s="396"/>
      <c r="QR96" s="394"/>
      <c r="QS96" s="395"/>
      <c r="QT96" s="395"/>
      <c r="QU96" s="395"/>
      <c r="QV96" s="395"/>
      <c r="QW96" s="395"/>
      <c r="QX96" s="395"/>
      <c r="QY96" s="395"/>
      <c r="QZ96" s="395"/>
      <c r="RA96" s="395"/>
      <c r="RB96" s="395"/>
      <c r="RC96" s="395"/>
      <c r="RD96" s="395"/>
      <c r="RE96" s="395"/>
      <c r="RF96" s="395"/>
      <c r="RG96" s="395"/>
      <c r="RH96" s="395"/>
      <c r="RI96" s="395"/>
      <c r="RJ96" s="395"/>
      <c r="RK96" s="395"/>
      <c r="RL96" s="395"/>
      <c r="RM96" s="395"/>
      <c r="RN96" s="395"/>
      <c r="RO96" s="395"/>
      <c r="RP96" s="395"/>
      <c r="RQ96" s="395"/>
      <c r="RR96" s="396"/>
      <c r="RS96" s="394"/>
      <c r="RT96" s="395"/>
      <c r="RU96" s="395"/>
      <c r="RV96" s="395"/>
      <c r="RW96" s="395"/>
      <c r="RX96" s="395"/>
      <c r="RY96" s="395"/>
      <c r="RZ96" s="395"/>
      <c r="SA96" s="395"/>
      <c r="SB96" s="395"/>
      <c r="SC96" s="395"/>
      <c r="SD96" s="395"/>
      <c r="SE96" s="395"/>
      <c r="SF96" s="395"/>
      <c r="SG96" s="395"/>
      <c r="SH96" s="395"/>
      <c r="SI96" s="395"/>
      <c r="SJ96" s="395"/>
      <c r="SK96" s="395"/>
      <c r="SL96" s="395"/>
      <c r="SM96" s="395"/>
      <c r="SN96" s="395"/>
      <c r="SO96" s="395"/>
      <c r="SP96" s="395"/>
      <c r="SQ96" s="395"/>
      <c r="SR96" s="395"/>
      <c r="SS96" s="396"/>
      <c r="ST96" s="394"/>
      <c r="SU96" s="395"/>
      <c r="SV96" s="395"/>
      <c r="SW96" s="395"/>
      <c r="SX96" s="395"/>
      <c r="SY96" s="395"/>
      <c r="SZ96" s="395"/>
      <c r="TA96" s="395"/>
      <c r="TB96" s="395"/>
      <c r="TC96" s="395"/>
      <c r="TD96" s="395"/>
      <c r="TE96" s="395"/>
      <c r="TF96" s="395"/>
      <c r="TG96" s="395"/>
      <c r="TH96" s="395"/>
      <c r="TI96" s="395"/>
      <c r="TJ96" s="395"/>
      <c r="TK96" s="395"/>
      <c r="TL96" s="395"/>
      <c r="TM96" s="395"/>
      <c r="TN96" s="395"/>
      <c r="TO96" s="395"/>
      <c r="TP96" s="395"/>
      <c r="TQ96" s="395"/>
      <c r="TR96" s="395"/>
      <c r="TS96" s="395"/>
      <c r="TT96" s="396"/>
      <c r="TU96" s="394"/>
      <c r="TV96" s="395"/>
      <c r="TW96" s="395"/>
      <c r="TX96" s="395"/>
      <c r="TY96" s="395"/>
      <c r="TZ96" s="395"/>
      <c r="UA96" s="395"/>
      <c r="UB96" s="395"/>
      <c r="UC96" s="395"/>
      <c r="UD96" s="395"/>
      <c r="UE96" s="395"/>
      <c r="UF96" s="395"/>
      <c r="UG96" s="395"/>
      <c r="UH96" s="395"/>
      <c r="UI96" s="395"/>
      <c r="UJ96" s="395"/>
      <c r="UK96" s="395"/>
      <c r="UL96" s="395"/>
      <c r="UM96" s="395"/>
      <c r="UN96" s="395"/>
      <c r="UO96" s="395"/>
      <c r="UP96" s="395"/>
      <c r="UQ96" s="395"/>
      <c r="UR96" s="395"/>
      <c r="US96" s="395"/>
      <c r="UT96" s="395"/>
      <c r="UU96" s="396"/>
      <c r="UV96" s="394"/>
      <c r="UW96" s="395"/>
      <c r="UX96" s="395"/>
      <c r="UY96" s="395"/>
      <c r="UZ96" s="395"/>
      <c r="VA96" s="395"/>
      <c r="VB96" s="395"/>
      <c r="VC96" s="395"/>
      <c r="VD96" s="395"/>
      <c r="VE96" s="395"/>
      <c r="VF96" s="395"/>
      <c r="VG96" s="395"/>
      <c r="VH96" s="395"/>
      <c r="VI96" s="395"/>
      <c r="VJ96" s="395"/>
      <c r="VK96" s="395"/>
      <c r="VL96" s="395"/>
      <c r="VM96" s="395"/>
      <c r="VN96" s="395"/>
      <c r="VO96" s="395"/>
      <c r="VP96" s="395"/>
      <c r="VQ96" s="395"/>
      <c r="VR96" s="395"/>
      <c r="VS96" s="395"/>
      <c r="VT96" s="395"/>
      <c r="VU96" s="395"/>
      <c r="VV96" s="396"/>
      <c r="VW96" s="394"/>
      <c r="VX96" s="395"/>
      <c r="VY96" s="395"/>
      <c r="VZ96" s="395"/>
      <c r="WA96" s="395"/>
      <c r="WB96" s="395"/>
      <c r="WC96" s="395"/>
      <c r="WD96" s="395"/>
      <c r="WE96" s="395"/>
      <c r="WF96" s="395"/>
      <c r="WG96" s="395"/>
      <c r="WH96" s="395"/>
      <c r="WI96" s="395"/>
      <c r="WJ96" s="395"/>
      <c r="WK96" s="395"/>
      <c r="WL96" s="395"/>
      <c r="WM96" s="395"/>
      <c r="WN96" s="395"/>
      <c r="WO96" s="395"/>
      <c r="WP96" s="395"/>
      <c r="WQ96" s="395"/>
      <c r="WR96" s="395"/>
      <c r="WS96" s="395"/>
      <c r="WT96" s="395"/>
      <c r="WU96" s="395"/>
      <c r="WV96" s="395"/>
      <c r="WW96" s="396"/>
      <c r="WX96" s="394"/>
      <c r="WY96" s="395"/>
      <c r="WZ96" s="395"/>
      <c r="XA96" s="395"/>
      <c r="XB96" s="395"/>
      <c r="XC96" s="395"/>
      <c r="XD96" s="395"/>
      <c r="XE96" s="395"/>
      <c r="XF96" s="395"/>
      <c r="XG96" s="395"/>
      <c r="XH96" s="395"/>
      <c r="XI96" s="395"/>
      <c r="XJ96" s="395"/>
      <c r="XK96" s="395"/>
      <c r="XL96" s="395"/>
      <c r="XM96" s="395"/>
      <c r="XN96" s="395"/>
      <c r="XO96" s="395"/>
      <c r="XP96" s="395"/>
      <c r="XQ96" s="395"/>
      <c r="XR96" s="395"/>
      <c r="XS96" s="395"/>
      <c r="XT96" s="395"/>
      <c r="XU96" s="395"/>
      <c r="XV96" s="395"/>
      <c r="XW96" s="395"/>
      <c r="XX96" s="396"/>
      <c r="XY96" s="394"/>
      <c r="XZ96" s="395"/>
      <c r="YA96" s="395"/>
      <c r="YB96" s="395"/>
      <c r="YC96" s="395"/>
      <c r="YD96" s="395"/>
      <c r="YE96" s="395"/>
      <c r="YF96" s="395"/>
      <c r="YG96" s="395"/>
      <c r="YH96" s="395"/>
      <c r="YI96" s="395"/>
      <c r="YJ96" s="395"/>
      <c r="YK96" s="395"/>
      <c r="YL96" s="395"/>
      <c r="YM96" s="395"/>
      <c r="YN96" s="395"/>
      <c r="YO96" s="395"/>
      <c r="YP96" s="395"/>
      <c r="YQ96" s="395"/>
      <c r="YR96" s="395"/>
      <c r="YS96" s="395"/>
      <c r="YT96" s="395"/>
      <c r="YU96" s="395"/>
      <c r="YV96" s="395"/>
      <c r="YW96" s="395"/>
      <c r="YX96" s="395"/>
      <c r="YY96" s="396"/>
      <c r="YZ96" s="394"/>
      <c r="ZA96" s="395"/>
      <c r="ZB96" s="395"/>
      <c r="ZC96" s="395"/>
      <c r="ZD96" s="395"/>
      <c r="ZE96" s="395"/>
      <c r="ZF96" s="395"/>
      <c r="ZG96" s="395"/>
      <c r="ZH96" s="395"/>
      <c r="ZI96" s="395"/>
      <c r="ZJ96" s="395"/>
      <c r="ZK96" s="395"/>
      <c r="ZL96" s="395"/>
      <c r="ZM96" s="395"/>
      <c r="ZN96" s="395"/>
      <c r="ZO96" s="395"/>
      <c r="ZP96" s="395"/>
      <c r="ZQ96" s="395"/>
      <c r="ZR96" s="395"/>
      <c r="ZS96" s="395"/>
      <c r="ZT96" s="395"/>
      <c r="ZU96" s="395"/>
      <c r="ZV96" s="395"/>
      <c r="ZW96" s="395"/>
      <c r="ZX96" s="395"/>
      <c r="ZY96" s="395"/>
      <c r="ZZ96" s="396"/>
      <c r="AAA96" s="394"/>
      <c r="AAB96" s="395"/>
      <c r="AAC96" s="395"/>
      <c r="AAD96" s="395"/>
      <c r="AAE96" s="395"/>
      <c r="AAF96" s="395"/>
      <c r="AAG96" s="395"/>
      <c r="AAH96" s="395"/>
      <c r="AAI96" s="395"/>
      <c r="AAJ96" s="395"/>
      <c r="AAK96" s="395"/>
      <c r="AAL96" s="395"/>
      <c r="AAM96" s="395"/>
      <c r="AAN96" s="395"/>
      <c r="AAO96" s="395"/>
      <c r="AAP96" s="395"/>
      <c r="AAQ96" s="395"/>
      <c r="AAR96" s="395"/>
      <c r="AAS96" s="395"/>
      <c r="AAT96" s="395"/>
      <c r="AAU96" s="395"/>
      <c r="AAV96" s="395"/>
      <c r="AAW96" s="395"/>
      <c r="AAX96" s="395"/>
      <c r="AAY96" s="395"/>
      <c r="AAZ96" s="395"/>
      <c r="ABA96" s="396"/>
      <c r="ABB96" s="394"/>
      <c r="ABC96" s="395"/>
      <c r="ABD96" s="395"/>
      <c r="ABE96" s="395"/>
      <c r="ABF96" s="395"/>
      <c r="ABG96" s="395"/>
      <c r="ABH96" s="395"/>
      <c r="ABI96" s="395"/>
      <c r="ABJ96" s="395"/>
      <c r="ABK96" s="395"/>
      <c r="ABL96" s="395"/>
      <c r="ABM96" s="395"/>
      <c r="ABN96" s="395"/>
      <c r="ABO96" s="395"/>
      <c r="ABP96" s="395"/>
      <c r="ABQ96" s="395"/>
      <c r="ABR96" s="395"/>
      <c r="ABS96" s="395"/>
      <c r="ABT96" s="395"/>
      <c r="ABU96" s="395"/>
      <c r="ABV96" s="395"/>
      <c r="ABW96" s="395"/>
      <c r="ABX96" s="395"/>
      <c r="ABY96" s="395"/>
      <c r="ABZ96" s="395"/>
      <c r="ACA96" s="395"/>
      <c r="ACB96" s="396"/>
      <c r="ACC96" s="394"/>
      <c r="ACD96" s="395"/>
      <c r="ACE96" s="395"/>
      <c r="ACF96" s="395"/>
      <c r="ACG96" s="395"/>
      <c r="ACH96" s="395"/>
      <c r="ACI96" s="395"/>
      <c r="ACJ96" s="395"/>
      <c r="ACK96" s="395"/>
      <c r="ACL96" s="395"/>
      <c r="ACM96" s="395"/>
      <c r="ACN96" s="395"/>
      <c r="ACO96" s="395"/>
      <c r="ACP96" s="395"/>
      <c r="ACQ96" s="395"/>
      <c r="ACR96" s="395"/>
      <c r="ACS96" s="395"/>
      <c r="ACT96" s="395"/>
      <c r="ACU96" s="395"/>
      <c r="ACV96" s="395"/>
      <c r="ACW96" s="395"/>
      <c r="ACX96" s="395"/>
      <c r="ACY96" s="395"/>
      <c r="ACZ96" s="395"/>
      <c r="ADA96" s="395"/>
      <c r="ADB96" s="395"/>
      <c r="ADC96" s="396"/>
      <c r="ADD96" s="394"/>
      <c r="ADE96" s="395"/>
      <c r="ADF96" s="395"/>
      <c r="ADG96" s="395"/>
      <c r="ADH96" s="395"/>
      <c r="ADI96" s="395"/>
      <c r="ADJ96" s="395"/>
      <c r="ADK96" s="395"/>
      <c r="ADL96" s="395"/>
      <c r="ADM96" s="395"/>
      <c r="ADN96" s="395"/>
      <c r="ADO96" s="395"/>
      <c r="ADP96" s="395"/>
      <c r="ADQ96" s="395"/>
      <c r="ADR96" s="395"/>
      <c r="ADS96" s="395"/>
      <c r="ADT96" s="395"/>
      <c r="ADU96" s="395"/>
      <c r="ADV96" s="395"/>
      <c r="ADW96" s="395"/>
      <c r="ADX96" s="395"/>
      <c r="ADY96" s="395"/>
      <c r="ADZ96" s="395"/>
      <c r="AEA96" s="395"/>
      <c r="AEB96" s="395"/>
      <c r="AEC96" s="395"/>
      <c r="AED96" s="396"/>
      <c r="AEE96" s="394"/>
      <c r="AEF96" s="395"/>
      <c r="AEG96" s="395"/>
      <c r="AEH96" s="395"/>
      <c r="AEI96" s="395"/>
      <c r="AEJ96" s="395"/>
      <c r="AEK96" s="395"/>
      <c r="AEL96" s="395"/>
      <c r="AEM96" s="395"/>
      <c r="AEN96" s="395"/>
      <c r="AEO96" s="395"/>
      <c r="AEP96" s="395"/>
      <c r="AEQ96" s="395"/>
      <c r="AER96" s="395"/>
      <c r="AES96" s="395"/>
      <c r="AET96" s="395"/>
      <c r="AEU96" s="395"/>
      <c r="AEV96" s="395"/>
      <c r="AEW96" s="395"/>
      <c r="AEX96" s="395"/>
      <c r="AEY96" s="395"/>
      <c r="AEZ96" s="395"/>
      <c r="AFA96" s="395"/>
      <c r="AFB96" s="395"/>
      <c r="AFC96" s="395"/>
      <c r="AFD96" s="395"/>
      <c r="AFE96" s="396"/>
      <c r="AFF96" s="394"/>
      <c r="AFG96" s="395"/>
      <c r="AFH96" s="395"/>
      <c r="AFI96" s="395"/>
      <c r="AFJ96" s="395"/>
      <c r="AFK96" s="395"/>
      <c r="AFL96" s="395"/>
      <c r="AFM96" s="395"/>
      <c r="AFN96" s="395"/>
      <c r="AFO96" s="395"/>
      <c r="AFP96" s="395"/>
      <c r="AFQ96" s="395"/>
      <c r="AFR96" s="395"/>
      <c r="AFS96" s="395"/>
      <c r="AFT96" s="395"/>
      <c r="AFU96" s="395"/>
      <c r="AFV96" s="395"/>
      <c r="AFW96" s="395"/>
      <c r="AFX96" s="395"/>
      <c r="AFY96" s="395"/>
      <c r="AFZ96" s="395"/>
      <c r="AGA96" s="395"/>
      <c r="AGB96" s="395"/>
      <c r="AGC96" s="395"/>
      <c r="AGD96" s="395"/>
      <c r="AGE96" s="395"/>
      <c r="AGF96" s="396"/>
      <c r="AGG96" s="394"/>
      <c r="AGH96" s="395"/>
      <c r="AGI96" s="395"/>
      <c r="AGJ96" s="395"/>
      <c r="AGK96" s="395"/>
      <c r="AGL96" s="395"/>
      <c r="AGM96" s="395"/>
      <c r="AGN96" s="395"/>
      <c r="AGO96" s="395"/>
      <c r="AGP96" s="395"/>
      <c r="AGQ96" s="395"/>
      <c r="AGR96" s="395"/>
      <c r="AGS96" s="395"/>
      <c r="AGT96" s="395"/>
      <c r="AGU96" s="395"/>
      <c r="AGV96" s="395"/>
      <c r="AGW96" s="395"/>
      <c r="AGX96" s="395"/>
      <c r="AGY96" s="395"/>
      <c r="AGZ96" s="395"/>
      <c r="AHA96" s="395"/>
      <c r="AHB96" s="395"/>
      <c r="AHC96" s="395"/>
      <c r="AHD96" s="395"/>
      <c r="AHE96" s="395"/>
      <c r="AHF96" s="395"/>
      <c r="AHG96" s="396"/>
      <c r="AHH96" s="394"/>
      <c r="AHI96" s="395"/>
      <c r="AHJ96" s="395"/>
      <c r="AHK96" s="395"/>
      <c r="AHL96" s="395"/>
      <c r="AHM96" s="395"/>
      <c r="AHN96" s="395"/>
      <c r="AHO96" s="395"/>
      <c r="AHP96" s="395"/>
      <c r="AHQ96" s="395"/>
      <c r="AHR96" s="395"/>
      <c r="AHS96" s="395"/>
      <c r="AHT96" s="395"/>
      <c r="AHU96" s="395"/>
      <c r="AHV96" s="395"/>
      <c r="AHW96" s="395"/>
      <c r="AHX96" s="395"/>
      <c r="AHY96" s="395"/>
      <c r="AHZ96" s="395"/>
      <c r="AIA96" s="395"/>
      <c r="AIB96" s="395"/>
      <c r="AIC96" s="395"/>
      <c r="AID96" s="395"/>
      <c r="AIE96" s="395"/>
      <c r="AIF96" s="395"/>
      <c r="AIG96" s="395"/>
      <c r="AIH96" s="396"/>
      <c r="AII96" s="394"/>
      <c r="AIJ96" s="395"/>
      <c r="AIK96" s="395"/>
      <c r="AIL96" s="395"/>
      <c r="AIM96" s="395"/>
      <c r="AIN96" s="395"/>
      <c r="AIO96" s="395"/>
      <c r="AIP96" s="395"/>
      <c r="AIQ96" s="395"/>
      <c r="AIR96" s="395"/>
      <c r="AIS96" s="395"/>
      <c r="AIT96" s="395"/>
      <c r="AIU96" s="395"/>
      <c r="AIV96" s="395"/>
      <c r="AIW96" s="395"/>
      <c r="AIX96" s="395"/>
      <c r="AIY96" s="395"/>
      <c r="AIZ96" s="395"/>
      <c r="AJA96" s="395"/>
      <c r="AJB96" s="395"/>
      <c r="AJC96" s="395"/>
      <c r="AJD96" s="395"/>
      <c r="AJE96" s="395"/>
      <c r="AJF96" s="395"/>
      <c r="AJG96" s="395"/>
      <c r="AJH96" s="395"/>
      <c r="AJI96" s="396"/>
      <c r="AJJ96" s="394"/>
      <c r="AJK96" s="395"/>
      <c r="AJL96" s="395"/>
      <c r="AJM96" s="395"/>
      <c r="AJN96" s="395"/>
      <c r="AJO96" s="395"/>
      <c r="AJP96" s="395"/>
      <c r="AJQ96" s="395"/>
      <c r="AJR96" s="395"/>
      <c r="AJS96" s="395"/>
      <c r="AJT96" s="395"/>
      <c r="AJU96" s="395"/>
      <c r="AJV96" s="395"/>
      <c r="AJW96" s="395"/>
      <c r="AJX96" s="395"/>
      <c r="AJY96" s="395"/>
      <c r="AJZ96" s="395"/>
      <c r="AKA96" s="395"/>
      <c r="AKB96" s="395"/>
      <c r="AKC96" s="395"/>
      <c r="AKD96" s="395"/>
      <c r="AKE96" s="395"/>
      <c r="AKF96" s="395"/>
      <c r="AKG96" s="395"/>
      <c r="AKH96" s="395"/>
      <c r="AKI96" s="395"/>
      <c r="AKJ96" s="396"/>
      <c r="AKK96" s="394"/>
      <c r="AKL96" s="395"/>
      <c r="AKM96" s="395"/>
      <c r="AKN96" s="395"/>
      <c r="AKO96" s="395"/>
      <c r="AKP96" s="395"/>
      <c r="AKQ96" s="395"/>
      <c r="AKR96" s="395"/>
      <c r="AKS96" s="395"/>
      <c r="AKT96" s="395"/>
      <c r="AKU96" s="395"/>
      <c r="AKV96" s="395"/>
      <c r="AKW96" s="395"/>
      <c r="AKX96" s="395"/>
      <c r="AKY96" s="395"/>
      <c r="AKZ96" s="395"/>
      <c r="ALA96" s="395"/>
      <c r="ALB96" s="395"/>
      <c r="ALC96" s="395"/>
      <c r="ALD96" s="395"/>
      <c r="ALE96" s="395"/>
      <c r="ALF96" s="395"/>
      <c r="ALG96" s="395"/>
      <c r="ALH96" s="395"/>
      <c r="ALI96" s="395"/>
      <c r="ALJ96" s="395"/>
      <c r="ALK96" s="396"/>
      <c r="ALL96" s="394"/>
      <c r="ALM96" s="395"/>
      <c r="ALN96" s="395"/>
      <c r="ALO96" s="395"/>
      <c r="ALP96" s="395"/>
      <c r="ALQ96" s="395"/>
      <c r="ALR96" s="395"/>
      <c r="ALS96" s="395"/>
      <c r="ALT96" s="395"/>
      <c r="ALU96" s="395"/>
      <c r="ALV96" s="395"/>
      <c r="ALW96" s="395"/>
      <c r="ALX96" s="395"/>
      <c r="ALY96" s="395"/>
      <c r="ALZ96" s="395"/>
      <c r="AMA96" s="395"/>
      <c r="AMB96" s="395"/>
      <c r="AMC96" s="395"/>
      <c r="AMD96" s="395"/>
      <c r="AME96" s="395"/>
      <c r="AMF96" s="395"/>
      <c r="AMG96" s="395"/>
      <c r="AMH96" s="395"/>
      <c r="AMI96" s="395"/>
      <c r="AMJ96" s="395"/>
      <c r="AMK96" s="395"/>
      <c r="AML96" s="396"/>
      <c r="AMM96" s="394"/>
      <c r="AMN96" s="395"/>
      <c r="AMO96" s="395"/>
      <c r="AMP96" s="395"/>
      <c r="AMQ96" s="395"/>
      <c r="AMR96" s="395"/>
      <c r="AMS96" s="395"/>
      <c r="AMT96" s="395"/>
      <c r="AMU96" s="395"/>
      <c r="AMV96" s="395"/>
      <c r="AMW96" s="395"/>
      <c r="AMX96" s="395"/>
      <c r="AMY96" s="395"/>
      <c r="AMZ96" s="395"/>
      <c r="ANA96" s="395"/>
      <c r="ANB96" s="395"/>
      <c r="ANC96" s="395"/>
      <c r="AND96" s="395"/>
      <c r="ANE96" s="395"/>
      <c r="ANF96" s="395"/>
      <c r="ANG96" s="395"/>
      <c r="ANH96" s="395"/>
      <c r="ANI96" s="395"/>
      <c r="ANJ96" s="395"/>
      <c r="ANK96" s="395"/>
      <c r="ANL96" s="395"/>
      <c r="ANM96" s="396"/>
      <c r="ANN96" s="394"/>
      <c r="ANO96" s="395"/>
      <c r="ANP96" s="395"/>
      <c r="ANQ96" s="395"/>
      <c r="ANR96" s="395"/>
      <c r="ANS96" s="395"/>
      <c r="ANT96" s="395"/>
      <c r="ANU96" s="395"/>
      <c r="ANV96" s="395"/>
      <c r="ANW96" s="395"/>
      <c r="ANX96" s="395"/>
      <c r="ANY96" s="395"/>
      <c r="ANZ96" s="395"/>
      <c r="AOA96" s="395"/>
      <c r="AOB96" s="395"/>
      <c r="AOC96" s="395"/>
      <c r="AOD96" s="395"/>
      <c r="AOE96" s="395"/>
      <c r="AOF96" s="395"/>
      <c r="AOG96" s="395"/>
      <c r="AOH96" s="395"/>
      <c r="AOI96" s="395"/>
      <c r="AOJ96" s="395"/>
      <c r="AOK96" s="395"/>
      <c r="AOL96" s="395"/>
      <c r="AOM96" s="395"/>
      <c r="AON96" s="396"/>
      <c r="AOO96" s="394"/>
      <c r="AOP96" s="395"/>
      <c r="AOQ96" s="395"/>
      <c r="AOR96" s="395"/>
      <c r="AOS96" s="395"/>
      <c r="AOT96" s="395"/>
      <c r="AOU96" s="395"/>
      <c r="AOV96" s="395"/>
      <c r="AOW96" s="395"/>
      <c r="AOX96" s="395"/>
      <c r="AOY96" s="395"/>
      <c r="AOZ96" s="395"/>
      <c r="APA96" s="395"/>
      <c r="APB96" s="395"/>
      <c r="APC96" s="395"/>
      <c r="APD96" s="395"/>
      <c r="APE96" s="395"/>
      <c r="APF96" s="395"/>
      <c r="APG96" s="395"/>
      <c r="APH96" s="395"/>
      <c r="API96" s="395"/>
      <c r="APJ96" s="395"/>
      <c r="APK96" s="395"/>
      <c r="APL96" s="395"/>
      <c r="APM96" s="395"/>
      <c r="APN96" s="395"/>
      <c r="APO96" s="396"/>
      <c r="APP96" s="394"/>
      <c r="APQ96" s="395"/>
      <c r="APR96" s="395"/>
      <c r="APS96" s="395"/>
      <c r="APT96" s="395"/>
      <c r="APU96" s="395"/>
      <c r="APV96" s="395"/>
      <c r="APW96" s="395"/>
      <c r="APX96" s="395"/>
      <c r="APY96" s="395"/>
      <c r="APZ96" s="395"/>
      <c r="AQA96" s="395"/>
      <c r="AQB96" s="395"/>
      <c r="AQC96" s="395"/>
      <c r="AQD96" s="395"/>
      <c r="AQE96" s="395"/>
      <c r="AQF96" s="395"/>
      <c r="AQG96" s="395"/>
      <c r="AQH96" s="395"/>
      <c r="AQI96" s="395"/>
      <c r="AQJ96" s="395"/>
      <c r="AQK96" s="395"/>
      <c r="AQL96" s="395"/>
      <c r="AQM96" s="395"/>
      <c r="AQN96" s="395"/>
      <c r="AQO96" s="395"/>
      <c r="AQP96" s="396"/>
      <c r="AQQ96" s="394"/>
      <c r="AQR96" s="395"/>
      <c r="AQS96" s="395"/>
      <c r="AQT96" s="395"/>
      <c r="AQU96" s="395"/>
      <c r="AQV96" s="395"/>
      <c r="AQW96" s="395"/>
      <c r="AQX96" s="395"/>
      <c r="AQY96" s="395"/>
      <c r="AQZ96" s="395"/>
      <c r="ARA96" s="395"/>
      <c r="ARB96" s="395"/>
      <c r="ARC96" s="395"/>
      <c r="ARD96" s="395"/>
      <c r="ARE96" s="395"/>
      <c r="ARF96" s="395"/>
      <c r="ARG96" s="395"/>
      <c r="ARH96" s="395"/>
      <c r="ARI96" s="395"/>
      <c r="ARJ96" s="395"/>
      <c r="ARK96" s="395"/>
      <c r="ARL96" s="395"/>
      <c r="ARM96" s="395"/>
      <c r="ARN96" s="395"/>
      <c r="ARO96" s="395"/>
      <c r="ARP96" s="395"/>
      <c r="ARQ96" s="396"/>
      <c r="ARR96" s="394"/>
      <c r="ARS96" s="395"/>
      <c r="ART96" s="395"/>
      <c r="ARU96" s="395"/>
      <c r="ARV96" s="395"/>
      <c r="ARW96" s="395"/>
      <c r="ARX96" s="395"/>
      <c r="ARY96" s="395"/>
      <c r="ARZ96" s="395"/>
      <c r="ASA96" s="395"/>
      <c r="ASB96" s="395"/>
      <c r="ASC96" s="395"/>
      <c r="ASD96" s="395"/>
      <c r="ASE96" s="395"/>
      <c r="ASF96" s="395"/>
      <c r="ASG96" s="395"/>
      <c r="ASH96" s="395"/>
      <c r="ASI96" s="395"/>
      <c r="ASJ96" s="395"/>
      <c r="ASK96" s="395"/>
      <c r="ASL96" s="395"/>
      <c r="ASM96" s="395"/>
      <c r="ASN96" s="395"/>
      <c r="ASO96" s="395"/>
      <c r="ASP96" s="395"/>
      <c r="ASQ96" s="395"/>
      <c r="ASR96" s="396"/>
      <c r="ASS96" s="394"/>
      <c r="AST96" s="395"/>
      <c r="ASU96" s="395"/>
      <c r="ASV96" s="395"/>
      <c r="ASW96" s="395"/>
      <c r="ASX96" s="395"/>
      <c r="ASY96" s="395"/>
      <c r="ASZ96" s="395"/>
      <c r="ATA96" s="395"/>
      <c r="ATB96" s="395"/>
      <c r="ATC96" s="395"/>
      <c r="ATD96" s="395"/>
      <c r="ATE96" s="395"/>
      <c r="ATF96" s="395"/>
      <c r="ATG96" s="395"/>
      <c r="ATH96" s="395"/>
      <c r="ATI96" s="395"/>
      <c r="ATJ96" s="395"/>
      <c r="ATK96" s="395"/>
      <c r="ATL96" s="395"/>
      <c r="ATM96" s="395"/>
      <c r="ATN96" s="395"/>
      <c r="ATO96" s="395"/>
      <c r="ATP96" s="395"/>
      <c r="ATQ96" s="395"/>
      <c r="ATR96" s="395"/>
      <c r="ATS96" s="396"/>
      <c r="ATT96" s="394"/>
      <c r="ATU96" s="395"/>
      <c r="ATV96" s="395"/>
      <c r="ATW96" s="395"/>
      <c r="ATX96" s="395"/>
      <c r="ATY96" s="395"/>
      <c r="ATZ96" s="395"/>
      <c r="AUA96" s="395"/>
      <c r="AUB96" s="395"/>
      <c r="AUC96" s="395"/>
      <c r="AUD96" s="395"/>
      <c r="AUE96" s="395"/>
      <c r="AUF96" s="395"/>
      <c r="AUG96" s="395"/>
      <c r="AUH96" s="395"/>
      <c r="AUI96" s="395"/>
      <c r="AUJ96" s="395"/>
      <c r="AUK96" s="395"/>
      <c r="AUL96" s="395"/>
      <c r="AUM96" s="395"/>
      <c r="AUN96" s="395"/>
      <c r="AUO96" s="395"/>
      <c r="AUP96" s="395"/>
      <c r="AUQ96" s="395"/>
      <c r="AUR96" s="395"/>
      <c r="AUS96" s="395"/>
      <c r="AUT96" s="396"/>
      <c r="AUU96" s="394"/>
      <c r="AUV96" s="395"/>
      <c r="AUW96" s="395"/>
      <c r="AUX96" s="395"/>
      <c r="AUY96" s="395"/>
      <c r="AUZ96" s="395"/>
      <c r="AVA96" s="395"/>
      <c r="AVB96" s="395"/>
      <c r="AVC96" s="395"/>
      <c r="AVD96" s="395"/>
      <c r="AVE96" s="395"/>
      <c r="AVF96" s="395"/>
      <c r="AVG96" s="395"/>
      <c r="AVH96" s="395"/>
      <c r="AVI96" s="395"/>
      <c r="AVJ96" s="395"/>
      <c r="AVK96" s="395"/>
      <c r="AVL96" s="395"/>
      <c r="AVM96" s="395"/>
      <c r="AVN96" s="395"/>
      <c r="AVO96" s="395"/>
      <c r="AVP96" s="395"/>
      <c r="AVQ96" s="395"/>
      <c r="AVR96" s="395"/>
      <c r="AVS96" s="395"/>
      <c r="AVT96" s="395"/>
      <c r="AVU96" s="396"/>
      <c r="AVV96" s="394"/>
      <c r="AVW96" s="395"/>
      <c r="AVX96" s="395"/>
      <c r="AVY96" s="395"/>
      <c r="AVZ96" s="395"/>
      <c r="AWA96" s="395"/>
      <c r="AWB96" s="395"/>
      <c r="AWC96" s="395"/>
      <c r="AWD96" s="395"/>
      <c r="AWE96" s="395"/>
      <c r="AWF96" s="395"/>
      <c r="AWG96" s="395"/>
      <c r="AWH96" s="395"/>
      <c r="AWI96" s="395"/>
      <c r="AWJ96" s="395"/>
      <c r="AWK96" s="395"/>
      <c r="AWL96" s="395"/>
      <c r="AWM96" s="395"/>
      <c r="AWN96" s="395"/>
      <c r="AWO96" s="395"/>
      <c r="AWP96" s="395"/>
      <c r="AWQ96" s="395"/>
      <c r="AWR96" s="395"/>
      <c r="AWS96" s="395"/>
      <c r="AWT96" s="395"/>
      <c r="AWU96" s="395"/>
      <c r="AWV96" s="396"/>
      <c r="AWW96" s="394"/>
      <c r="AWX96" s="395"/>
      <c r="AWY96" s="395"/>
      <c r="AWZ96" s="395"/>
      <c r="AXA96" s="395"/>
      <c r="AXB96" s="395"/>
      <c r="AXC96" s="395"/>
      <c r="AXD96" s="395"/>
      <c r="AXE96" s="395"/>
      <c r="AXF96" s="395"/>
      <c r="AXG96" s="395"/>
      <c r="AXH96" s="395"/>
      <c r="AXI96" s="395"/>
      <c r="AXJ96" s="395"/>
      <c r="AXK96" s="395"/>
      <c r="AXL96" s="395"/>
      <c r="AXM96" s="395"/>
      <c r="AXN96" s="395"/>
      <c r="AXO96" s="395"/>
      <c r="AXP96" s="395"/>
      <c r="AXQ96" s="395"/>
      <c r="AXR96" s="395"/>
      <c r="AXS96" s="395"/>
      <c r="AXT96" s="395"/>
      <c r="AXU96" s="395"/>
      <c r="AXV96" s="395"/>
      <c r="AXW96" s="396"/>
      <c r="AXX96" s="394"/>
      <c r="AXY96" s="395"/>
      <c r="AXZ96" s="395"/>
      <c r="AYA96" s="395"/>
      <c r="AYB96" s="395"/>
      <c r="AYC96" s="395"/>
      <c r="AYD96" s="395"/>
      <c r="AYE96" s="395"/>
      <c r="AYF96" s="395"/>
      <c r="AYG96" s="395"/>
      <c r="AYH96" s="395"/>
      <c r="AYI96" s="395"/>
      <c r="AYJ96" s="395"/>
      <c r="AYK96" s="395"/>
      <c r="AYL96" s="395"/>
      <c r="AYM96" s="395"/>
      <c r="AYN96" s="395"/>
      <c r="AYO96" s="395"/>
      <c r="AYP96" s="395"/>
      <c r="AYQ96" s="395"/>
      <c r="AYR96" s="395"/>
      <c r="AYS96" s="395"/>
      <c r="AYT96" s="395"/>
      <c r="AYU96" s="395"/>
      <c r="AYV96" s="395"/>
      <c r="AYW96" s="395"/>
      <c r="AYX96" s="396"/>
      <c r="AYY96" s="394"/>
      <c r="AYZ96" s="395"/>
      <c r="AZA96" s="395"/>
      <c r="AZB96" s="395"/>
      <c r="AZC96" s="395"/>
      <c r="AZD96" s="395"/>
      <c r="AZE96" s="395"/>
      <c r="AZF96" s="395"/>
      <c r="AZG96" s="395"/>
      <c r="AZH96" s="395"/>
      <c r="AZI96" s="395"/>
      <c r="AZJ96" s="395"/>
      <c r="AZK96" s="395"/>
      <c r="AZL96" s="395"/>
      <c r="AZM96" s="395"/>
      <c r="AZN96" s="395"/>
      <c r="AZO96" s="395"/>
      <c r="AZP96" s="395"/>
      <c r="AZQ96" s="395"/>
      <c r="AZR96" s="395"/>
      <c r="AZS96" s="395"/>
      <c r="AZT96" s="395"/>
      <c r="AZU96" s="395"/>
      <c r="AZV96" s="395"/>
      <c r="AZW96" s="395"/>
      <c r="AZX96" s="395"/>
      <c r="AZY96" s="396"/>
      <c r="AZZ96" s="394"/>
      <c r="BAA96" s="395"/>
      <c r="BAB96" s="395"/>
      <c r="BAC96" s="395"/>
      <c r="BAD96" s="395"/>
      <c r="BAE96" s="395"/>
      <c r="BAF96" s="395"/>
      <c r="BAG96" s="395"/>
      <c r="BAH96" s="395"/>
      <c r="BAI96" s="395"/>
      <c r="BAJ96" s="395"/>
      <c r="BAK96" s="395"/>
      <c r="BAL96" s="395"/>
      <c r="BAM96" s="395"/>
      <c r="BAN96" s="395"/>
      <c r="BAO96" s="395"/>
      <c r="BAP96" s="395"/>
      <c r="BAQ96" s="395"/>
      <c r="BAR96" s="395"/>
      <c r="BAS96" s="395"/>
      <c r="BAT96" s="395"/>
      <c r="BAU96" s="395"/>
      <c r="BAV96" s="395"/>
      <c r="BAW96" s="395"/>
      <c r="BAX96" s="395"/>
      <c r="BAY96" s="395"/>
      <c r="BAZ96" s="396"/>
      <c r="BBA96" s="394"/>
      <c r="BBB96" s="395"/>
      <c r="BBC96" s="395"/>
      <c r="BBD96" s="395"/>
      <c r="BBE96" s="395"/>
      <c r="BBF96" s="395"/>
      <c r="BBG96" s="395"/>
      <c r="BBH96" s="395"/>
      <c r="BBI96" s="395"/>
      <c r="BBJ96" s="395"/>
      <c r="BBK96" s="395"/>
      <c r="BBL96" s="395"/>
      <c r="BBM96" s="395"/>
      <c r="BBN96" s="395"/>
      <c r="BBO96" s="395"/>
      <c r="BBP96" s="395"/>
      <c r="BBQ96" s="395"/>
      <c r="BBR96" s="395"/>
      <c r="BBS96" s="395"/>
      <c r="BBT96" s="395"/>
      <c r="BBU96" s="395"/>
      <c r="BBV96" s="395"/>
      <c r="BBW96" s="395"/>
      <c r="BBX96" s="395"/>
      <c r="BBY96" s="395"/>
      <c r="BBZ96" s="395"/>
      <c r="BCA96" s="396"/>
      <c r="BCB96" s="394"/>
      <c r="BCC96" s="395"/>
      <c r="BCD96" s="395"/>
      <c r="BCE96" s="395"/>
      <c r="BCF96" s="395"/>
      <c r="BCG96" s="395"/>
      <c r="BCH96" s="395"/>
      <c r="BCI96" s="395"/>
      <c r="BCJ96" s="395"/>
      <c r="BCK96" s="395"/>
      <c r="BCL96" s="395"/>
      <c r="BCM96" s="395"/>
      <c r="BCN96" s="395"/>
      <c r="BCO96" s="395"/>
      <c r="BCP96" s="395"/>
      <c r="BCQ96" s="395"/>
      <c r="BCR96" s="395"/>
      <c r="BCS96" s="395"/>
      <c r="BCT96" s="395"/>
      <c r="BCU96" s="395"/>
      <c r="BCV96" s="395"/>
      <c r="BCW96" s="395"/>
      <c r="BCX96" s="395"/>
      <c r="BCY96" s="395"/>
      <c r="BCZ96" s="395"/>
      <c r="BDA96" s="395"/>
      <c r="BDB96" s="396"/>
      <c r="BDC96" s="394"/>
      <c r="BDD96" s="395"/>
      <c r="BDE96" s="395"/>
      <c r="BDF96" s="395"/>
      <c r="BDG96" s="395"/>
      <c r="BDH96" s="395"/>
      <c r="BDI96" s="395"/>
      <c r="BDJ96" s="395"/>
      <c r="BDK96" s="395"/>
      <c r="BDL96" s="395"/>
      <c r="BDM96" s="395"/>
      <c r="BDN96" s="395"/>
      <c r="BDO96" s="395"/>
      <c r="BDP96" s="395"/>
      <c r="BDQ96" s="395"/>
      <c r="BDR96" s="395"/>
      <c r="BDS96" s="395"/>
      <c r="BDT96" s="395"/>
      <c r="BDU96" s="395"/>
      <c r="BDV96" s="395"/>
      <c r="BDW96" s="395"/>
      <c r="BDX96" s="395"/>
      <c r="BDY96" s="395"/>
      <c r="BDZ96" s="395"/>
      <c r="BEA96" s="395"/>
      <c r="BEB96" s="395"/>
      <c r="BEC96" s="396"/>
      <c r="BED96" s="394"/>
      <c r="BEE96" s="395"/>
      <c r="BEF96" s="395"/>
      <c r="BEG96" s="395"/>
      <c r="BEH96" s="395"/>
      <c r="BEI96" s="395"/>
      <c r="BEJ96" s="395"/>
      <c r="BEK96" s="395"/>
      <c r="BEL96" s="395"/>
      <c r="BEM96" s="395"/>
      <c r="BEN96" s="395"/>
      <c r="BEO96" s="395"/>
      <c r="BEP96" s="395"/>
      <c r="BEQ96" s="395"/>
      <c r="BER96" s="395"/>
      <c r="BES96" s="395"/>
      <c r="BET96" s="395"/>
      <c r="BEU96" s="395"/>
      <c r="BEV96" s="395"/>
      <c r="BEW96" s="395"/>
      <c r="BEX96" s="395"/>
      <c r="BEY96" s="395"/>
      <c r="BEZ96" s="395"/>
      <c r="BFA96" s="395"/>
      <c r="BFB96" s="395"/>
      <c r="BFC96" s="395"/>
      <c r="BFD96" s="396"/>
      <c r="BFE96" s="394"/>
      <c r="BFF96" s="395"/>
      <c r="BFG96" s="395"/>
      <c r="BFH96" s="395"/>
      <c r="BFI96" s="395"/>
      <c r="BFJ96" s="395"/>
      <c r="BFK96" s="395"/>
      <c r="BFL96" s="395"/>
      <c r="BFM96" s="395"/>
      <c r="BFN96" s="395"/>
      <c r="BFO96" s="395"/>
      <c r="BFP96" s="395"/>
      <c r="BFQ96" s="395"/>
      <c r="BFR96" s="395"/>
      <c r="BFS96" s="395"/>
      <c r="BFT96" s="395"/>
      <c r="BFU96" s="395"/>
      <c r="BFV96" s="395"/>
      <c r="BFW96" s="395"/>
      <c r="BFX96" s="395"/>
      <c r="BFY96" s="395"/>
      <c r="BFZ96" s="395"/>
      <c r="BGA96" s="395"/>
      <c r="BGB96" s="395"/>
      <c r="BGC96" s="395"/>
      <c r="BGD96" s="395"/>
      <c r="BGE96" s="396"/>
      <c r="BGF96" s="394"/>
      <c r="BGG96" s="395"/>
      <c r="BGH96" s="395"/>
      <c r="BGI96" s="395"/>
      <c r="BGJ96" s="395"/>
      <c r="BGK96" s="395"/>
      <c r="BGL96" s="395"/>
      <c r="BGM96" s="395"/>
      <c r="BGN96" s="395"/>
      <c r="BGO96" s="395"/>
      <c r="BGP96" s="395"/>
      <c r="BGQ96" s="395"/>
      <c r="BGR96" s="395"/>
      <c r="BGS96" s="395"/>
      <c r="BGT96" s="395"/>
      <c r="BGU96" s="395"/>
      <c r="BGV96" s="395"/>
      <c r="BGW96" s="395"/>
      <c r="BGX96" s="395"/>
      <c r="BGY96" s="395"/>
      <c r="BGZ96" s="395"/>
      <c r="BHA96" s="395"/>
      <c r="BHB96" s="395"/>
      <c r="BHC96" s="395"/>
      <c r="BHD96" s="395"/>
      <c r="BHE96" s="395"/>
      <c r="BHF96" s="396"/>
      <c r="BHG96" s="394"/>
      <c r="BHH96" s="395"/>
      <c r="BHI96" s="395"/>
      <c r="BHJ96" s="395"/>
      <c r="BHK96" s="395"/>
      <c r="BHL96" s="395"/>
      <c r="BHM96" s="395"/>
      <c r="BHN96" s="395"/>
      <c r="BHO96" s="395"/>
      <c r="BHP96" s="395"/>
      <c r="BHQ96" s="395"/>
      <c r="BHR96" s="395"/>
      <c r="BHS96" s="395"/>
      <c r="BHT96" s="395"/>
      <c r="BHU96" s="395"/>
      <c r="BHV96" s="395"/>
      <c r="BHW96" s="395"/>
      <c r="BHX96" s="395"/>
      <c r="BHY96" s="395"/>
      <c r="BHZ96" s="395"/>
      <c r="BIA96" s="395"/>
      <c r="BIB96" s="395"/>
      <c r="BIC96" s="395"/>
      <c r="BID96" s="395"/>
      <c r="BIE96" s="395"/>
      <c r="BIF96" s="395"/>
      <c r="BIG96" s="396"/>
      <c r="BIH96" s="394"/>
      <c r="BII96" s="395"/>
      <c r="BIJ96" s="395"/>
      <c r="BIK96" s="395"/>
      <c r="BIL96" s="395"/>
      <c r="BIM96" s="395"/>
      <c r="BIN96" s="395"/>
      <c r="BIO96" s="395"/>
      <c r="BIP96" s="395"/>
      <c r="BIQ96" s="395"/>
      <c r="BIR96" s="395"/>
      <c r="BIS96" s="395"/>
      <c r="BIT96" s="395"/>
      <c r="BIU96" s="395"/>
      <c r="BIV96" s="395"/>
      <c r="BIW96" s="395"/>
      <c r="BIX96" s="395"/>
      <c r="BIY96" s="395"/>
      <c r="BIZ96" s="395"/>
      <c r="BJA96" s="395"/>
      <c r="BJB96" s="395"/>
      <c r="BJC96" s="395"/>
      <c r="BJD96" s="395"/>
      <c r="BJE96" s="395"/>
      <c r="BJF96" s="395"/>
      <c r="BJG96" s="395"/>
      <c r="BJH96" s="396"/>
      <c r="BJI96" s="394"/>
      <c r="BJJ96" s="395"/>
      <c r="BJK96" s="395"/>
      <c r="BJL96" s="395"/>
      <c r="BJM96" s="395"/>
      <c r="BJN96" s="395"/>
      <c r="BJO96" s="395"/>
      <c r="BJP96" s="395"/>
      <c r="BJQ96" s="395"/>
      <c r="BJR96" s="395"/>
      <c r="BJS96" s="395"/>
      <c r="BJT96" s="395"/>
      <c r="BJU96" s="395"/>
      <c r="BJV96" s="395"/>
      <c r="BJW96" s="395"/>
      <c r="BJX96" s="395"/>
      <c r="BJY96" s="395"/>
      <c r="BJZ96" s="395"/>
      <c r="BKA96" s="395"/>
      <c r="BKB96" s="395"/>
      <c r="BKC96" s="395"/>
      <c r="BKD96" s="395"/>
      <c r="BKE96" s="395"/>
      <c r="BKF96" s="395"/>
      <c r="BKG96" s="395"/>
      <c r="BKH96" s="395"/>
      <c r="BKI96" s="396"/>
      <c r="BKJ96" s="394"/>
      <c r="BKK96" s="395"/>
      <c r="BKL96" s="395"/>
      <c r="BKM96" s="395"/>
      <c r="BKN96" s="395"/>
      <c r="BKO96" s="395"/>
      <c r="BKP96" s="395"/>
      <c r="BKQ96" s="395"/>
      <c r="BKR96" s="395"/>
      <c r="BKS96" s="395"/>
      <c r="BKT96" s="395"/>
      <c r="BKU96" s="395"/>
      <c r="BKV96" s="395"/>
      <c r="BKW96" s="395"/>
      <c r="BKX96" s="395"/>
      <c r="BKY96" s="395"/>
      <c r="BKZ96" s="395"/>
      <c r="BLA96" s="395"/>
      <c r="BLB96" s="395"/>
      <c r="BLC96" s="395"/>
      <c r="BLD96" s="395"/>
      <c r="BLE96" s="395"/>
      <c r="BLF96" s="395"/>
      <c r="BLG96" s="395"/>
      <c r="BLH96" s="395"/>
      <c r="BLI96" s="395"/>
      <c r="BLJ96" s="396"/>
      <c r="BLK96" s="394"/>
      <c r="BLL96" s="395"/>
      <c r="BLM96" s="395"/>
      <c r="BLN96" s="395"/>
      <c r="BLO96" s="395"/>
      <c r="BLP96" s="395"/>
      <c r="BLQ96" s="395"/>
      <c r="BLR96" s="395"/>
      <c r="BLS96" s="395"/>
      <c r="BLT96" s="395"/>
      <c r="BLU96" s="395"/>
      <c r="BLV96" s="395"/>
      <c r="BLW96" s="395"/>
      <c r="BLX96" s="395"/>
      <c r="BLY96" s="395"/>
      <c r="BLZ96" s="395"/>
      <c r="BMA96" s="395"/>
      <c r="BMB96" s="395"/>
      <c r="BMC96" s="395"/>
      <c r="BMD96" s="395"/>
      <c r="BME96" s="395"/>
      <c r="BMF96" s="395"/>
      <c r="BMG96" s="395"/>
      <c r="BMH96" s="395"/>
      <c r="BMI96" s="395"/>
      <c r="BMJ96" s="395"/>
      <c r="BMK96" s="396"/>
      <c r="BML96" s="394"/>
      <c r="BMM96" s="395"/>
      <c r="BMN96" s="395"/>
      <c r="BMO96" s="395"/>
      <c r="BMP96" s="395"/>
      <c r="BMQ96" s="395"/>
      <c r="BMR96" s="395"/>
      <c r="BMS96" s="395"/>
      <c r="BMT96" s="395"/>
      <c r="BMU96" s="395"/>
      <c r="BMV96" s="395"/>
      <c r="BMW96" s="395"/>
      <c r="BMX96" s="395"/>
      <c r="BMY96" s="395"/>
      <c r="BMZ96" s="395"/>
      <c r="BNA96" s="395"/>
      <c r="BNB96" s="395"/>
      <c r="BNC96" s="395"/>
      <c r="BND96" s="395"/>
      <c r="BNE96" s="395"/>
      <c r="BNF96" s="395"/>
      <c r="BNG96" s="395"/>
      <c r="BNH96" s="395"/>
      <c r="BNI96" s="395"/>
      <c r="BNJ96" s="395"/>
      <c r="BNK96" s="395"/>
      <c r="BNL96" s="396"/>
      <c r="BNM96" s="394"/>
      <c r="BNN96" s="395"/>
      <c r="BNO96" s="395"/>
      <c r="BNP96" s="395"/>
      <c r="BNQ96" s="395"/>
      <c r="BNR96" s="395"/>
      <c r="BNS96" s="395"/>
      <c r="BNT96" s="395"/>
      <c r="BNU96" s="395"/>
      <c r="BNV96" s="395"/>
      <c r="BNW96" s="395"/>
      <c r="BNX96" s="395"/>
      <c r="BNY96" s="395"/>
      <c r="BNZ96" s="395"/>
      <c r="BOA96" s="395"/>
      <c r="BOB96" s="395"/>
      <c r="BOC96" s="395"/>
      <c r="BOD96" s="395"/>
      <c r="BOE96" s="395"/>
      <c r="BOF96" s="395"/>
      <c r="BOG96" s="395"/>
      <c r="BOH96" s="395"/>
      <c r="BOI96" s="395"/>
      <c r="BOJ96" s="395"/>
      <c r="BOK96" s="395"/>
      <c r="BOL96" s="395"/>
      <c r="BOM96" s="396"/>
      <c r="BON96" s="394"/>
      <c r="BOO96" s="395"/>
      <c r="BOP96" s="395"/>
      <c r="BOQ96" s="395"/>
      <c r="BOR96" s="395"/>
      <c r="BOS96" s="395"/>
      <c r="BOT96" s="395"/>
      <c r="BOU96" s="395"/>
      <c r="BOV96" s="395"/>
      <c r="BOW96" s="395"/>
      <c r="BOX96" s="395"/>
      <c r="BOY96" s="395"/>
      <c r="BOZ96" s="395"/>
      <c r="BPA96" s="395"/>
      <c r="BPB96" s="395"/>
      <c r="BPC96" s="395"/>
      <c r="BPD96" s="395"/>
      <c r="BPE96" s="395"/>
      <c r="BPF96" s="395"/>
      <c r="BPG96" s="395"/>
      <c r="BPH96" s="395"/>
      <c r="BPI96" s="395"/>
      <c r="BPJ96" s="395"/>
      <c r="BPK96" s="395"/>
      <c r="BPL96" s="395"/>
      <c r="BPM96" s="395"/>
      <c r="BPN96" s="396"/>
      <c r="BPO96" s="394"/>
      <c r="BPP96" s="395"/>
      <c r="BPQ96" s="395"/>
      <c r="BPR96" s="395"/>
      <c r="BPS96" s="395"/>
      <c r="BPT96" s="395"/>
      <c r="BPU96" s="395"/>
      <c r="BPV96" s="395"/>
      <c r="BPW96" s="395"/>
      <c r="BPX96" s="395"/>
      <c r="BPY96" s="395"/>
      <c r="BPZ96" s="395"/>
      <c r="BQA96" s="395"/>
      <c r="BQB96" s="395"/>
      <c r="BQC96" s="395"/>
      <c r="BQD96" s="395"/>
      <c r="BQE96" s="395"/>
      <c r="BQF96" s="395"/>
      <c r="BQG96" s="395"/>
      <c r="BQH96" s="395"/>
      <c r="BQI96" s="395"/>
      <c r="BQJ96" s="395"/>
      <c r="BQK96" s="395"/>
      <c r="BQL96" s="395"/>
      <c r="BQM96" s="395"/>
      <c r="BQN96" s="395"/>
      <c r="BQO96" s="396"/>
      <c r="BQP96" s="394"/>
      <c r="BQQ96" s="395"/>
      <c r="BQR96" s="395"/>
      <c r="BQS96" s="395"/>
      <c r="BQT96" s="395"/>
      <c r="BQU96" s="395"/>
      <c r="BQV96" s="395"/>
      <c r="BQW96" s="395"/>
      <c r="BQX96" s="395"/>
      <c r="BQY96" s="395"/>
      <c r="BQZ96" s="395"/>
      <c r="BRA96" s="395"/>
      <c r="BRB96" s="395"/>
      <c r="BRC96" s="395"/>
      <c r="BRD96" s="395"/>
      <c r="BRE96" s="395"/>
      <c r="BRF96" s="395"/>
      <c r="BRG96" s="395"/>
      <c r="BRH96" s="395"/>
      <c r="BRI96" s="395"/>
      <c r="BRJ96" s="395"/>
      <c r="BRK96" s="395"/>
      <c r="BRL96" s="395"/>
      <c r="BRM96" s="395"/>
      <c r="BRN96" s="395"/>
      <c r="BRO96" s="395"/>
      <c r="BRP96" s="396"/>
      <c r="BRQ96" s="394"/>
      <c r="BRR96" s="395"/>
      <c r="BRS96" s="395"/>
      <c r="BRT96" s="395"/>
      <c r="BRU96" s="395"/>
      <c r="BRV96" s="395"/>
      <c r="BRW96" s="395"/>
      <c r="BRX96" s="395"/>
      <c r="BRY96" s="395"/>
      <c r="BRZ96" s="395"/>
      <c r="BSA96" s="395"/>
      <c r="BSB96" s="395"/>
      <c r="BSC96" s="395"/>
      <c r="BSD96" s="395"/>
      <c r="BSE96" s="395"/>
      <c r="BSF96" s="395"/>
      <c r="BSG96" s="395"/>
      <c r="BSH96" s="395"/>
      <c r="BSI96" s="395"/>
      <c r="BSJ96" s="395"/>
      <c r="BSK96" s="395"/>
      <c r="BSL96" s="395"/>
      <c r="BSM96" s="395"/>
      <c r="BSN96" s="395"/>
      <c r="BSO96" s="395"/>
      <c r="BSP96" s="395"/>
      <c r="BSQ96" s="396"/>
      <c r="BSR96" s="394"/>
      <c r="BSS96" s="395"/>
      <c r="BST96" s="395"/>
      <c r="BSU96" s="395"/>
      <c r="BSV96" s="395"/>
      <c r="BSW96" s="395"/>
      <c r="BSX96" s="395"/>
      <c r="BSY96" s="395"/>
      <c r="BSZ96" s="395"/>
      <c r="BTA96" s="395"/>
      <c r="BTB96" s="395"/>
      <c r="BTC96" s="395"/>
      <c r="BTD96" s="395"/>
      <c r="BTE96" s="395"/>
      <c r="BTF96" s="395"/>
      <c r="BTG96" s="395"/>
      <c r="BTH96" s="395"/>
      <c r="BTI96" s="395"/>
      <c r="BTJ96" s="395"/>
      <c r="BTK96" s="395"/>
      <c r="BTL96" s="395"/>
      <c r="BTM96" s="395"/>
      <c r="BTN96" s="395"/>
      <c r="BTO96" s="395"/>
      <c r="BTP96" s="395"/>
      <c r="BTQ96" s="395"/>
      <c r="BTR96" s="396"/>
      <c r="BTS96" s="394"/>
      <c r="BTT96" s="395"/>
      <c r="BTU96" s="395"/>
      <c r="BTV96" s="395"/>
      <c r="BTW96" s="395"/>
      <c r="BTX96" s="395"/>
      <c r="BTY96" s="395"/>
      <c r="BTZ96" s="395"/>
      <c r="BUA96" s="395"/>
      <c r="BUB96" s="395"/>
      <c r="BUC96" s="395"/>
      <c r="BUD96" s="395"/>
      <c r="BUE96" s="395"/>
      <c r="BUF96" s="395"/>
      <c r="BUG96" s="395"/>
      <c r="BUH96" s="395"/>
      <c r="BUI96" s="395"/>
      <c r="BUJ96" s="395"/>
      <c r="BUK96" s="395"/>
      <c r="BUL96" s="395"/>
      <c r="BUM96" s="395"/>
      <c r="BUN96" s="395"/>
      <c r="BUO96" s="395"/>
      <c r="BUP96" s="395"/>
      <c r="BUQ96" s="395"/>
      <c r="BUR96" s="395"/>
      <c r="BUS96" s="396"/>
      <c r="BUT96" s="394"/>
      <c r="BUU96" s="395"/>
      <c r="BUV96" s="395"/>
      <c r="BUW96" s="395"/>
      <c r="BUX96" s="395"/>
      <c r="BUY96" s="395"/>
      <c r="BUZ96" s="395"/>
      <c r="BVA96" s="395"/>
      <c r="BVB96" s="395"/>
      <c r="BVC96" s="395"/>
      <c r="BVD96" s="395"/>
      <c r="BVE96" s="395"/>
      <c r="BVF96" s="395"/>
      <c r="BVG96" s="395"/>
      <c r="BVH96" s="395"/>
      <c r="BVI96" s="395"/>
      <c r="BVJ96" s="395"/>
      <c r="BVK96" s="395"/>
      <c r="BVL96" s="395"/>
      <c r="BVM96" s="395"/>
      <c r="BVN96" s="395"/>
      <c r="BVO96" s="395"/>
      <c r="BVP96" s="395"/>
      <c r="BVQ96" s="395"/>
      <c r="BVR96" s="395"/>
      <c r="BVS96" s="395"/>
      <c r="BVT96" s="396"/>
      <c r="BVU96" s="394"/>
      <c r="BVV96" s="395"/>
      <c r="BVW96" s="395"/>
      <c r="BVX96" s="395"/>
      <c r="BVY96" s="395"/>
      <c r="BVZ96" s="395"/>
      <c r="BWA96" s="395"/>
      <c r="BWB96" s="395"/>
      <c r="BWC96" s="395"/>
      <c r="BWD96" s="395"/>
      <c r="BWE96" s="395"/>
      <c r="BWF96" s="395"/>
      <c r="BWG96" s="395"/>
      <c r="BWH96" s="395"/>
      <c r="BWI96" s="395"/>
      <c r="BWJ96" s="395"/>
      <c r="BWK96" s="395"/>
      <c r="BWL96" s="395"/>
      <c r="BWM96" s="395"/>
      <c r="BWN96" s="395"/>
      <c r="BWO96" s="395"/>
      <c r="BWP96" s="395"/>
      <c r="BWQ96" s="395"/>
      <c r="BWR96" s="395"/>
      <c r="BWS96" s="395"/>
      <c r="BWT96" s="395"/>
      <c r="BWU96" s="396"/>
      <c r="BWV96" s="394"/>
      <c r="BWW96" s="395"/>
      <c r="BWX96" s="395"/>
      <c r="BWY96" s="395"/>
      <c r="BWZ96" s="395"/>
      <c r="BXA96" s="395"/>
      <c r="BXB96" s="395"/>
      <c r="BXC96" s="395"/>
      <c r="BXD96" s="395"/>
      <c r="BXE96" s="395"/>
      <c r="BXF96" s="395"/>
      <c r="BXG96" s="395"/>
      <c r="BXH96" s="395"/>
      <c r="BXI96" s="395"/>
      <c r="BXJ96" s="395"/>
      <c r="BXK96" s="395"/>
      <c r="BXL96" s="395"/>
      <c r="BXM96" s="395"/>
      <c r="BXN96" s="395"/>
      <c r="BXO96" s="395"/>
      <c r="BXP96" s="395"/>
      <c r="BXQ96" s="395"/>
      <c r="BXR96" s="395"/>
      <c r="BXS96" s="395"/>
      <c r="BXT96" s="395"/>
      <c r="BXU96" s="395"/>
      <c r="BXV96" s="396"/>
      <c r="BXW96" s="394"/>
      <c r="BXX96" s="395"/>
      <c r="BXY96" s="395"/>
      <c r="BXZ96" s="395"/>
      <c r="BYA96" s="395"/>
      <c r="BYB96" s="395"/>
      <c r="BYC96" s="395"/>
      <c r="BYD96" s="395"/>
      <c r="BYE96" s="395"/>
      <c r="BYF96" s="395"/>
      <c r="BYG96" s="395"/>
      <c r="BYH96" s="395"/>
      <c r="BYI96" s="395"/>
      <c r="BYJ96" s="395"/>
      <c r="BYK96" s="395"/>
      <c r="BYL96" s="395"/>
      <c r="BYM96" s="395"/>
      <c r="BYN96" s="395"/>
      <c r="BYO96" s="395"/>
      <c r="BYP96" s="395"/>
      <c r="BYQ96" s="395"/>
      <c r="BYR96" s="395"/>
      <c r="BYS96" s="395"/>
      <c r="BYT96" s="395"/>
      <c r="BYU96" s="395"/>
      <c r="BYV96" s="395"/>
      <c r="BYW96" s="396"/>
      <c r="BYX96" s="394"/>
      <c r="BYY96" s="395"/>
      <c r="BYZ96" s="395"/>
      <c r="BZA96" s="395"/>
      <c r="BZB96" s="395"/>
      <c r="BZC96" s="395"/>
      <c r="BZD96" s="395"/>
      <c r="BZE96" s="395"/>
      <c r="BZF96" s="395"/>
      <c r="BZG96" s="395"/>
      <c r="BZH96" s="395"/>
      <c r="BZI96" s="395"/>
      <c r="BZJ96" s="395"/>
      <c r="BZK96" s="395"/>
      <c r="BZL96" s="395"/>
      <c r="BZM96" s="395"/>
      <c r="BZN96" s="395"/>
      <c r="BZO96" s="395"/>
      <c r="BZP96" s="395"/>
      <c r="BZQ96" s="395"/>
      <c r="BZR96" s="395"/>
      <c r="BZS96" s="395"/>
      <c r="BZT96" s="395"/>
      <c r="BZU96" s="395"/>
      <c r="BZV96" s="395"/>
      <c r="BZW96" s="395"/>
      <c r="BZX96" s="396"/>
      <c r="BZY96" s="394"/>
      <c r="BZZ96" s="395"/>
      <c r="CAA96" s="395"/>
      <c r="CAB96" s="395"/>
      <c r="CAC96" s="395"/>
      <c r="CAD96" s="395"/>
      <c r="CAE96" s="395"/>
      <c r="CAF96" s="395"/>
      <c r="CAG96" s="395"/>
      <c r="CAH96" s="395"/>
      <c r="CAI96" s="395"/>
      <c r="CAJ96" s="395"/>
      <c r="CAK96" s="395"/>
      <c r="CAL96" s="395"/>
      <c r="CAM96" s="395"/>
      <c r="CAN96" s="395"/>
      <c r="CAO96" s="395"/>
      <c r="CAP96" s="395"/>
      <c r="CAQ96" s="395"/>
      <c r="CAR96" s="395"/>
      <c r="CAS96" s="395"/>
      <c r="CAT96" s="395"/>
      <c r="CAU96" s="395"/>
      <c r="CAV96" s="395"/>
      <c r="CAW96" s="395"/>
      <c r="CAX96" s="395"/>
      <c r="CAY96" s="396"/>
      <c r="CAZ96" s="394"/>
      <c r="CBA96" s="395"/>
      <c r="CBB96" s="395"/>
      <c r="CBC96" s="395"/>
      <c r="CBD96" s="395"/>
      <c r="CBE96" s="395"/>
      <c r="CBF96" s="395"/>
      <c r="CBG96" s="395"/>
      <c r="CBH96" s="395"/>
      <c r="CBI96" s="395"/>
      <c r="CBJ96" s="395"/>
      <c r="CBK96" s="395"/>
      <c r="CBL96" s="395"/>
      <c r="CBM96" s="395"/>
      <c r="CBN96" s="395"/>
      <c r="CBO96" s="395"/>
      <c r="CBP96" s="395"/>
      <c r="CBQ96" s="395"/>
      <c r="CBR96" s="395"/>
      <c r="CBS96" s="395"/>
      <c r="CBT96" s="395"/>
      <c r="CBU96" s="395"/>
      <c r="CBV96" s="395"/>
      <c r="CBW96" s="395"/>
      <c r="CBX96" s="395"/>
      <c r="CBY96" s="395"/>
      <c r="CBZ96" s="396"/>
      <c r="CCA96" s="394"/>
      <c r="CCB96" s="395"/>
      <c r="CCC96" s="395"/>
      <c r="CCD96" s="395"/>
      <c r="CCE96" s="395"/>
      <c r="CCF96" s="395"/>
      <c r="CCG96" s="395"/>
      <c r="CCH96" s="395"/>
      <c r="CCI96" s="395"/>
      <c r="CCJ96" s="395"/>
      <c r="CCK96" s="395"/>
      <c r="CCL96" s="395"/>
      <c r="CCM96" s="395"/>
      <c r="CCN96" s="395"/>
      <c r="CCO96" s="395"/>
      <c r="CCP96" s="395"/>
      <c r="CCQ96" s="395"/>
      <c r="CCR96" s="395"/>
      <c r="CCS96" s="395"/>
      <c r="CCT96" s="395"/>
      <c r="CCU96" s="395"/>
      <c r="CCV96" s="395"/>
      <c r="CCW96" s="395"/>
      <c r="CCX96" s="395"/>
      <c r="CCY96" s="395"/>
      <c r="CCZ96" s="395"/>
      <c r="CDA96" s="396"/>
      <c r="CDB96" s="394"/>
      <c r="CDC96" s="395"/>
      <c r="CDD96" s="395"/>
      <c r="CDE96" s="395"/>
      <c r="CDF96" s="395"/>
      <c r="CDG96" s="395"/>
      <c r="CDH96" s="395"/>
      <c r="CDI96" s="395"/>
      <c r="CDJ96" s="395"/>
      <c r="CDK96" s="395"/>
      <c r="CDL96" s="395"/>
      <c r="CDM96" s="395"/>
      <c r="CDN96" s="395"/>
      <c r="CDO96" s="395"/>
      <c r="CDP96" s="395"/>
      <c r="CDQ96" s="395"/>
      <c r="CDR96" s="395"/>
      <c r="CDS96" s="395"/>
      <c r="CDT96" s="395"/>
      <c r="CDU96" s="395"/>
      <c r="CDV96" s="395"/>
      <c r="CDW96" s="395"/>
      <c r="CDX96" s="395"/>
      <c r="CDY96" s="395"/>
      <c r="CDZ96" s="395"/>
      <c r="CEA96" s="395"/>
      <c r="CEB96" s="396"/>
      <c r="CEC96" s="394"/>
      <c r="CED96" s="395"/>
      <c r="CEE96" s="395"/>
      <c r="CEF96" s="395"/>
      <c r="CEG96" s="395"/>
      <c r="CEH96" s="395"/>
      <c r="CEI96" s="395"/>
      <c r="CEJ96" s="395"/>
      <c r="CEK96" s="395"/>
      <c r="CEL96" s="395"/>
      <c r="CEM96" s="395"/>
      <c r="CEN96" s="395"/>
      <c r="CEO96" s="395"/>
      <c r="CEP96" s="395"/>
      <c r="CEQ96" s="395"/>
      <c r="CER96" s="395"/>
      <c r="CES96" s="395"/>
      <c r="CET96" s="395"/>
      <c r="CEU96" s="395"/>
      <c r="CEV96" s="395"/>
      <c r="CEW96" s="395"/>
      <c r="CEX96" s="395"/>
      <c r="CEY96" s="395"/>
      <c r="CEZ96" s="395"/>
      <c r="CFA96" s="395"/>
      <c r="CFB96" s="395"/>
      <c r="CFC96" s="396"/>
      <c r="CFD96" s="394"/>
      <c r="CFE96" s="395"/>
      <c r="CFF96" s="395"/>
      <c r="CFG96" s="395"/>
      <c r="CFH96" s="395"/>
      <c r="CFI96" s="395"/>
      <c r="CFJ96" s="395"/>
      <c r="CFK96" s="395"/>
      <c r="CFL96" s="395"/>
      <c r="CFM96" s="395"/>
      <c r="CFN96" s="395"/>
      <c r="CFO96" s="395"/>
      <c r="CFP96" s="395"/>
      <c r="CFQ96" s="395"/>
      <c r="CFR96" s="395"/>
      <c r="CFS96" s="395"/>
      <c r="CFT96" s="395"/>
      <c r="CFU96" s="395"/>
      <c r="CFV96" s="395"/>
      <c r="CFW96" s="395"/>
      <c r="CFX96" s="395"/>
      <c r="CFY96" s="395"/>
      <c r="CFZ96" s="395"/>
      <c r="CGA96" s="395"/>
      <c r="CGB96" s="395"/>
      <c r="CGC96" s="395"/>
      <c r="CGD96" s="396"/>
      <c r="CGE96" s="394"/>
      <c r="CGF96" s="395"/>
      <c r="CGG96" s="395"/>
      <c r="CGH96" s="395"/>
      <c r="CGI96" s="395"/>
      <c r="CGJ96" s="395"/>
      <c r="CGK96" s="395"/>
      <c r="CGL96" s="395"/>
      <c r="CGM96" s="395"/>
      <c r="CGN96" s="395"/>
      <c r="CGO96" s="395"/>
      <c r="CGP96" s="395"/>
      <c r="CGQ96" s="395"/>
      <c r="CGR96" s="395"/>
      <c r="CGS96" s="395"/>
      <c r="CGT96" s="395"/>
      <c r="CGU96" s="395"/>
      <c r="CGV96" s="395"/>
      <c r="CGW96" s="395"/>
      <c r="CGX96" s="395"/>
      <c r="CGY96" s="395"/>
      <c r="CGZ96" s="395"/>
      <c r="CHA96" s="395"/>
      <c r="CHB96" s="395"/>
      <c r="CHC96" s="395"/>
      <c r="CHD96" s="395"/>
      <c r="CHE96" s="396"/>
      <c r="CHF96" s="394"/>
      <c r="CHG96" s="395"/>
      <c r="CHH96" s="395"/>
      <c r="CHI96" s="395"/>
      <c r="CHJ96" s="395"/>
      <c r="CHK96" s="395"/>
      <c r="CHL96" s="395"/>
      <c r="CHM96" s="395"/>
      <c r="CHN96" s="395"/>
      <c r="CHO96" s="395"/>
      <c r="CHP96" s="395"/>
      <c r="CHQ96" s="395"/>
      <c r="CHR96" s="395"/>
      <c r="CHS96" s="395"/>
      <c r="CHT96" s="395"/>
      <c r="CHU96" s="395"/>
      <c r="CHV96" s="395"/>
      <c r="CHW96" s="395"/>
      <c r="CHX96" s="395"/>
      <c r="CHY96" s="395"/>
      <c r="CHZ96" s="395"/>
      <c r="CIA96" s="395"/>
      <c r="CIB96" s="395"/>
      <c r="CIC96" s="395"/>
      <c r="CID96" s="395"/>
      <c r="CIE96" s="395"/>
      <c r="CIF96" s="396"/>
      <c r="CIG96" s="394"/>
      <c r="CIH96" s="395"/>
      <c r="CII96" s="395"/>
      <c r="CIJ96" s="395"/>
      <c r="CIK96" s="395"/>
      <c r="CIL96" s="395"/>
      <c r="CIM96" s="395"/>
      <c r="CIN96" s="395"/>
      <c r="CIO96" s="395"/>
      <c r="CIP96" s="395"/>
      <c r="CIQ96" s="395"/>
      <c r="CIR96" s="395"/>
      <c r="CIS96" s="395"/>
      <c r="CIT96" s="395"/>
      <c r="CIU96" s="395"/>
      <c r="CIV96" s="395"/>
      <c r="CIW96" s="395"/>
      <c r="CIX96" s="395"/>
      <c r="CIY96" s="395"/>
      <c r="CIZ96" s="395"/>
      <c r="CJA96" s="395"/>
      <c r="CJB96" s="395"/>
      <c r="CJC96" s="395"/>
      <c r="CJD96" s="395"/>
      <c r="CJE96" s="395"/>
      <c r="CJF96" s="395"/>
      <c r="CJG96" s="396"/>
      <c r="CJH96" s="394"/>
      <c r="CJI96" s="395"/>
      <c r="CJJ96" s="395"/>
      <c r="CJK96" s="395"/>
      <c r="CJL96" s="395"/>
      <c r="CJM96" s="395"/>
      <c r="CJN96" s="395"/>
      <c r="CJO96" s="395"/>
      <c r="CJP96" s="395"/>
      <c r="CJQ96" s="395"/>
      <c r="CJR96" s="395"/>
      <c r="CJS96" s="395"/>
      <c r="CJT96" s="395"/>
      <c r="CJU96" s="395"/>
      <c r="CJV96" s="395"/>
      <c r="CJW96" s="395"/>
      <c r="CJX96" s="395"/>
      <c r="CJY96" s="395"/>
      <c r="CJZ96" s="395"/>
      <c r="CKA96" s="395"/>
      <c r="CKB96" s="395"/>
      <c r="CKC96" s="395"/>
      <c r="CKD96" s="395"/>
      <c r="CKE96" s="395"/>
      <c r="CKF96" s="395"/>
      <c r="CKG96" s="395"/>
      <c r="CKH96" s="396"/>
      <c r="CKI96" s="394"/>
      <c r="CKJ96" s="395"/>
      <c r="CKK96" s="395"/>
      <c r="CKL96" s="395"/>
      <c r="CKM96" s="395"/>
      <c r="CKN96" s="395"/>
      <c r="CKO96" s="395"/>
      <c r="CKP96" s="395"/>
      <c r="CKQ96" s="395"/>
      <c r="CKR96" s="395"/>
      <c r="CKS96" s="395"/>
      <c r="CKT96" s="395"/>
      <c r="CKU96" s="395"/>
      <c r="CKV96" s="395"/>
      <c r="CKW96" s="395"/>
      <c r="CKX96" s="395"/>
      <c r="CKY96" s="395"/>
      <c r="CKZ96" s="395"/>
      <c r="CLA96" s="395"/>
      <c r="CLB96" s="395"/>
      <c r="CLC96" s="395"/>
      <c r="CLD96" s="395"/>
      <c r="CLE96" s="395"/>
      <c r="CLF96" s="395"/>
      <c r="CLG96" s="395"/>
      <c r="CLH96" s="395"/>
      <c r="CLI96" s="396"/>
      <c r="CLJ96" s="394"/>
      <c r="CLK96" s="395"/>
      <c r="CLL96" s="395"/>
      <c r="CLM96" s="395"/>
      <c r="CLN96" s="395"/>
      <c r="CLO96" s="395"/>
      <c r="CLP96" s="395"/>
      <c r="CLQ96" s="395"/>
      <c r="CLR96" s="395"/>
      <c r="CLS96" s="395"/>
      <c r="CLT96" s="395"/>
      <c r="CLU96" s="395"/>
      <c r="CLV96" s="395"/>
      <c r="CLW96" s="395"/>
      <c r="CLX96" s="395"/>
      <c r="CLY96" s="395"/>
      <c r="CLZ96" s="395"/>
      <c r="CMA96" s="395"/>
      <c r="CMB96" s="395"/>
      <c r="CMC96" s="395"/>
      <c r="CMD96" s="395"/>
      <c r="CME96" s="395"/>
      <c r="CMF96" s="395"/>
      <c r="CMG96" s="395"/>
      <c r="CMH96" s="395"/>
      <c r="CMI96" s="395"/>
      <c r="CMJ96" s="396"/>
      <c r="CMK96" s="394"/>
      <c r="CML96" s="395"/>
      <c r="CMM96" s="395"/>
      <c r="CMN96" s="395"/>
      <c r="CMO96" s="395"/>
      <c r="CMP96" s="395"/>
      <c r="CMQ96" s="395"/>
      <c r="CMR96" s="395"/>
      <c r="CMS96" s="395"/>
      <c r="CMT96" s="395"/>
      <c r="CMU96" s="395"/>
      <c r="CMV96" s="395"/>
      <c r="CMW96" s="395"/>
      <c r="CMX96" s="395"/>
      <c r="CMY96" s="395"/>
      <c r="CMZ96" s="395"/>
      <c r="CNA96" s="395"/>
      <c r="CNB96" s="395"/>
      <c r="CNC96" s="395"/>
      <c r="CND96" s="395"/>
      <c r="CNE96" s="395"/>
      <c r="CNF96" s="395"/>
      <c r="CNG96" s="395"/>
      <c r="CNH96" s="395"/>
      <c r="CNI96" s="395"/>
      <c r="CNJ96" s="395"/>
      <c r="CNK96" s="396"/>
      <c r="CNL96" s="394"/>
      <c r="CNM96" s="395"/>
      <c r="CNN96" s="395"/>
      <c r="CNO96" s="395"/>
      <c r="CNP96" s="395"/>
      <c r="CNQ96" s="395"/>
      <c r="CNR96" s="395"/>
      <c r="CNS96" s="395"/>
      <c r="CNT96" s="395"/>
      <c r="CNU96" s="395"/>
      <c r="CNV96" s="395"/>
      <c r="CNW96" s="395"/>
      <c r="CNX96" s="395"/>
      <c r="CNY96" s="395"/>
      <c r="CNZ96" s="395"/>
      <c r="COA96" s="395"/>
      <c r="COB96" s="395"/>
      <c r="COC96" s="395"/>
      <c r="COD96" s="395"/>
      <c r="COE96" s="395"/>
      <c r="COF96" s="395"/>
      <c r="COG96" s="395"/>
      <c r="COH96" s="395"/>
      <c r="COI96" s="395"/>
      <c r="COJ96" s="395"/>
      <c r="COK96" s="395"/>
      <c r="COL96" s="396"/>
      <c r="COM96" s="394"/>
      <c r="CON96" s="395"/>
      <c r="COO96" s="395"/>
      <c r="COP96" s="395"/>
      <c r="COQ96" s="395"/>
      <c r="COR96" s="395"/>
      <c r="COS96" s="395"/>
      <c r="COT96" s="395"/>
      <c r="COU96" s="395"/>
      <c r="COV96" s="395"/>
      <c r="COW96" s="395"/>
      <c r="COX96" s="395"/>
      <c r="COY96" s="395"/>
      <c r="COZ96" s="395"/>
      <c r="CPA96" s="395"/>
      <c r="CPB96" s="395"/>
      <c r="CPC96" s="395"/>
      <c r="CPD96" s="395"/>
      <c r="CPE96" s="395"/>
      <c r="CPF96" s="395"/>
      <c r="CPG96" s="395"/>
      <c r="CPH96" s="395"/>
      <c r="CPI96" s="395"/>
      <c r="CPJ96" s="395"/>
      <c r="CPK96" s="395"/>
      <c r="CPL96" s="395"/>
      <c r="CPM96" s="396"/>
      <c r="CPN96" s="394"/>
      <c r="CPO96" s="395"/>
      <c r="CPP96" s="395"/>
      <c r="CPQ96" s="395"/>
      <c r="CPR96" s="395"/>
      <c r="CPS96" s="395"/>
      <c r="CPT96" s="395"/>
      <c r="CPU96" s="395"/>
      <c r="CPV96" s="395"/>
      <c r="CPW96" s="395"/>
      <c r="CPX96" s="395"/>
      <c r="CPY96" s="395"/>
      <c r="CPZ96" s="395"/>
      <c r="CQA96" s="395"/>
      <c r="CQB96" s="395"/>
      <c r="CQC96" s="395"/>
      <c r="CQD96" s="395"/>
      <c r="CQE96" s="395"/>
      <c r="CQF96" s="395"/>
      <c r="CQG96" s="395"/>
      <c r="CQH96" s="395"/>
      <c r="CQI96" s="395"/>
      <c r="CQJ96" s="395"/>
      <c r="CQK96" s="395"/>
      <c r="CQL96" s="395"/>
      <c r="CQM96" s="395"/>
      <c r="CQN96" s="396"/>
      <c r="CQO96" s="394"/>
      <c r="CQP96" s="395"/>
      <c r="CQQ96" s="395"/>
      <c r="CQR96" s="395"/>
      <c r="CQS96" s="395"/>
      <c r="CQT96" s="395"/>
      <c r="CQU96" s="395"/>
      <c r="CQV96" s="395"/>
      <c r="CQW96" s="395"/>
      <c r="CQX96" s="395"/>
      <c r="CQY96" s="395"/>
      <c r="CQZ96" s="395"/>
      <c r="CRA96" s="395"/>
      <c r="CRB96" s="395"/>
      <c r="CRC96" s="395"/>
      <c r="CRD96" s="395"/>
      <c r="CRE96" s="395"/>
      <c r="CRF96" s="395"/>
      <c r="CRG96" s="395"/>
      <c r="CRH96" s="395"/>
      <c r="CRI96" s="395"/>
      <c r="CRJ96" s="395"/>
      <c r="CRK96" s="395"/>
      <c r="CRL96" s="395"/>
      <c r="CRM96" s="395"/>
      <c r="CRN96" s="395"/>
      <c r="CRO96" s="396"/>
      <c r="CRP96" s="394"/>
      <c r="CRQ96" s="395"/>
      <c r="CRR96" s="395"/>
      <c r="CRS96" s="395"/>
      <c r="CRT96" s="395"/>
      <c r="CRU96" s="395"/>
      <c r="CRV96" s="395"/>
      <c r="CRW96" s="395"/>
      <c r="CRX96" s="395"/>
      <c r="CRY96" s="395"/>
      <c r="CRZ96" s="395"/>
      <c r="CSA96" s="395"/>
      <c r="CSB96" s="395"/>
      <c r="CSC96" s="395"/>
      <c r="CSD96" s="395"/>
      <c r="CSE96" s="395"/>
      <c r="CSF96" s="395"/>
      <c r="CSG96" s="395"/>
      <c r="CSH96" s="395"/>
      <c r="CSI96" s="395"/>
      <c r="CSJ96" s="395"/>
      <c r="CSK96" s="395"/>
      <c r="CSL96" s="395"/>
      <c r="CSM96" s="395"/>
      <c r="CSN96" s="395"/>
      <c r="CSO96" s="395"/>
      <c r="CSP96" s="396"/>
      <c r="CSQ96" s="394"/>
      <c r="CSR96" s="395"/>
      <c r="CSS96" s="395"/>
      <c r="CST96" s="395"/>
      <c r="CSU96" s="395"/>
      <c r="CSV96" s="395"/>
      <c r="CSW96" s="395"/>
      <c r="CSX96" s="395"/>
      <c r="CSY96" s="395"/>
      <c r="CSZ96" s="395"/>
      <c r="CTA96" s="395"/>
      <c r="CTB96" s="395"/>
      <c r="CTC96" s="395"/>
      <c r="CTD96" s="395"/>
      <c r="CTE96" s="395"/>
      <c r="CTF96" s="395"/>
      <c r="CTG96" s="395"/>
      <c r="CTH96" s="395"/>
      <c r="CTI96" s="395"/>
      <c r="CTJ96" s="395"/>
      <c r="CTK96" s="395"/>
      <c r="CTL96" s="395"/>
      <c r="CTM96" s="395"/>
      <c r="CTN96" s="395"/>
      <c r="CTO96" s="395"/>
      <c r="CTP96" s="395"/>
      <c r="CTQ96" s="396"/>
      <c r="CTR96" s="394"/>
      <c r="CTS96" s="395"/>
      <c r="CTT96" s="395"/>
      <c r="CTU96" s="395"/>
      <c r="CTV96" s="395"/>
      <c r="CTW96" s="395"/>
      <c r="CTX96" s="395"/>
      <c r="CTY96" s="395"/>
      <c r="CTZ96" s="395"/>
      <c r="CUA96" s="395"/>
      <c r="CUB96" s="395"/>
      <c r="CUC96" s="395"/>
      <c r="CUD96" s="395"/>
      <c r="CUE96" s="395"/>
      <c r="CUF96" s="395"/>
      <c r="CUG96" s="395"/>
      <c r="CUH96" s="395"/>
      <c r="CUI96" s="395"/>
      <c r="CUJ96" s="395"/>
      <c r="CUK96" s="395"/>
      <c r="CUL96" s="395"/>
      <c r="CUM96" s="395"/>
      <c r="CUN96" s="395"/>
      <c r="CUO96" s="395"/>
      <c r="CUP96" s="395"/>
      <c r="CUQ96" s="395"/>
      <c r="CUR96" s="396"/>
      <c r="CUS96" s="394"/>
      <c r="CUT96" s="395"/>
      <c r="CUU96" s="395"/>
      <c r="CUV96" s="395"/>
      <c r="CUW96" s="395"/>
      <c r="CUX96" s="395"/>
      <c r="CUY96" s="395"/>
      <c r="CUZ96" s="395"/>
      <c r="CVA96" s="395"/>
      <c r="CVB96" s="395"/>
      <c r="CVC96" s="395"/>
      <c r="CVD96" s="395"/>
      <c r="CVE96" s="395"/>
      <c r="CVF96" s="395"/>
      <c r="CVG96" s="395"/>
      <c r="CVH96" s="395"/>
      <c r="CVI96" s="395"/>
      <c r="CVJ96" s="395"/>
      <c r="CVK96" s="395"/>
      <c r="CVL96" s="395"/>
      <c r="CVM96" s="395"/>
      <c r="CVN96" s="395"/>
      <c r="CVO96" s="395"/>
      <c r="CVP96" s="395"/>
      <c r="CVQ96" s="395"/>
      <c r="CVR96" s="395"/>
      <c r="CVS96" s="396"/>
      <c r="CVT96" s="394"/>
      <c r="CVU96" s="395"/>
      <c r="CVV96" s="395"/>
      <c r="CVW96" s="395"/>
      <c r="CVX96" s="395"/>
      <c r="CVY96" s="395"/>
      <c r="CVZ96" s="395"/>
      <c r="CWA96" s="395"/>
      <c r="CWB96" s="395"/>
      <c r="CWC96" s="395"/>
      <c r="CWD96" s="395"/>
      <c r="CWE96" s="395"/>
      <c r="CWF96" s="395"/>
      <c r="CWG96" s="395"/>
      <c r="CWH96" s="395"/>
      <c r="CWI96" s="395"/>
      <c r="CWJ96" s="395"/>
      <c r="CWK96" s="395"/>
      <c r="CWL96" s="395"/>
      <c r="CWM96" s="395"/>
      <c r="CWN96" s="395"/>
      <c r="CWO96" s="395"/>
      <c r="CWP96" s="395"/>
      <c r="CWQ96" s="395"/>
      <c r="CWR96" s="395"/>
      <c r="CWS96" s="395"/>
      <c r="CWT96" s="396"/>
      <c r="CWU96" s="394"/>
      <c r="CWV96" s="395"/>
      <c r="CWW96" s="395"/>
      <c r="CWX96" s="395"/>
      <c r="CWY96" s="395"/>
      <c r="CWZ96" s="395"/>
      <c r="CXA96" s="395"/>
      <c r="CXB96" s="395"/>
      <c r="CXC96" s="395"/>
      <c r="CXD96" s="395"/>
      <c r="CXE96" s="395"/>
      <c r="CXF96" s="395"/>
      <c r="CXG96" s="395"/>
      <c r="CXH96" s="395"/>
      <c r="CXI96" s="395"/>
      <c r="CXJ96" s="395"/>
      <c r="CXK96" s="395"/>
      <c r="CXL96" s="395"/>
      <c r="CXM96" s="395"/>
      <c r="CXN96" s="395"/>
      <c r="CXO96" s="395"/>
      <c r="CXP96" s="395"/>
      <c r="CXQ96" s="395"/>
      <c r="CXR96" s="395"/>
      <c r="CXS96" s="395"/>
      <c r="CXT96" s="395"/>
      <c r="CXU96" s="396"/>
      <c r="CXV96" s="394"/>
      <c r="CXW96" s="395"/>
      <c r="CXX96" s="395"/>
      <c r="CXY96" s="395"/>
      <c r="CXZ96" s="395"/>
      <c r="CYA96" s="395"/>
      <c r="CYB96" s="395"/>
      <c r="CYC96" s="395"/>
      <c r="CYD96" s="395"/>
      <c r="CYE96" s="395"/>
      <c r="CYF96" s="395"/>
      <c r="CYG96" s="395"/>
      <c r="CYH96" s="395"/>
      <c r="CYI96" s="395"/>
      <c r="CYJ96" s="395"/>
      <c r="CYK96" s="395"/>
      <c r="CYL96" s="395"/>
      <c r="CYM96" s="395"/>
      <c r="CYN96" s="395"/>
      <c r="CYO96" s="395"/>
      <c r="CYP96" s="395"/>
      <c r="CYQ96" s="395"/>
      <c r="CYR96" s="395"/>
      <c r="CYS96" s="395"/>
      <c r="CYT96" s="395"/>
      <c r="CYU96" s="395"/>
      <c r="CYV96" s="396"/>
      <c r="CYW96" s="394"/>
      <c r="CYX96" s="395"/>
      <c r="CYY96" s="395"/>
      <c r="CYZ96" s="395"/>
      <c r="CZA96" s="395"/>
      <c r="CZB96" s="395"/>
      <c r="CZC96" s="395"/>
      <c r="CZD96" s="395"/>
      <c r="CZE96" s="395"/>
      <c r="CZF96" s="395"/>
      <c r="CZG96" s="395"/>
      <c r="CZH96" s="395"/>
      <c r="CZI96" s="395"/>
      <c r="CZJ96" s="395"/>
      <c r="CZK96" s="395"/>
      <c r="CZL96" s="395"/>
      <c r="CZM96" s="395"/>
      <c r="CZN96" s="395"/>
      <c r="CZO96" s="395"/>
      <c r="CZP96" s="395"/>
      <c r="CZQ96" s="395"/>
      <c r="CZR96" s="395"/>
      <c r="CZS96" s="395"/>
      <c r="CZT96" s="395"/>
      <c r="CZU96" s="395"/>
      <c r="CZV96" s="395"/>
      <c r="CZW96" s="396"/>
      <c r="CZX96" s="394"/>
      <c r="CZY96" s="395"/>
      <c r="CZZ96" s="395"/>
      <c r="DAA96" s="395"/>
      <c r="DAB96" s="395"/>
      <c r="DAC96" s="395"/>
      <c r="DAD96" s="395"/>
      <c r="DAE96" s="395"/>
      <c r="DAF96" s="395"/>
      <c r="DAG96" s="395"/>
      <c r="DAH96" s="395"/>
      <c r="DAI96" s="395"/>
      <c r="DAJ96" s="395"/>
      <c r="DAK96" s="395"/>
      <c r="DAL96" s="395"/>
      <c r="DAM96" s="395"/>
      <c r="DAN96" s="395"/>
      <c r="DAO96" s="395"/>
      <c r="DAP96" s="395"/>
      <c r="DAQ96" s="395"/>
      <c r="DAR96" s="395"/>
      <c r="DAS96" s="395"/>
      <c r="DAT96" s="395"/>
      <c r="DAU96" s="395"/>
      <c r="DAV96" s="395"/>
      <c r="DAW96" s="395"/>
      <c r="DAX96" s="396"/>
      <c r="DAY96" s="394"/>
      <c r="DAZ96" s="395"/>
      <c r="DBA96" s="395"/>
      <c r="DBB96" s="395"/>
      <c r="DBC96" s="395"/>
      <c r="DBD96" s="395"/>
      <c r="DBE96" s="395"/>
      <c r="DBF96" s="395"/>
      <c r="DBG96" s="395"/>
      <c r="DBH96" s="395"/>
      <c r="DBI96" s="395"/>
      <c r="DBJ96" s="395"/>
      <c r="DBK96" s="395"/>
      <c r="DBL96" s="395"/>
      <c r="DBM96" s="395"/>
      <c r="DBN96" s="395"/>
      <c r="DBO96" s="395"/>
      <c r="DBP96" s="395"/>
      <c r="DBQ96" s="395"/>
      <c r="DBR96" s="395"/>
      <c r="DBS96" s="395"/>
      <c r="DBT96" s="395"/>
      <c r="DBU96" s="395"/>
      <c r="DBV96" s="395"/>
      <c r="DBW96" s="395"/>
      <c r="DBX96" s="395"/>
      <c r="DBY96" s="396"/>
      <c r="DBZ96" s="394"/>
      <c r="DCA96" s="395"/>
      <c r="DCB96" s="395"/>
      <c r="DCC96" s="395"/>
      <c r="DCD96" s="395"/>
      <c r="DCE96" s="395"/>
      <c r="DCF96" s="395"/>
      <c r="DCG96" s="395"/>
      <c r="DCH96" s="395"/>
      <c r="DCI96" s="395"/>
      <c r="DCJ96" s="395"/>
      <c r="DCK96" s="395"/>
      <c r="DCL96" s="395"/>
      <c r="DCM96" s="395"/>
      <c r="DCN96" s="395"/>
      <c r="DCO96" s="395"/>
      <c r="DCP96" s="395"/>
      <c r="DCQ96" s="395"/>
      <c r="DCR96" s="395"/>
      <c r="DCS96" s="395"/>
      <c r="DCT96" s="395"/>
      <c r="DCU96" s="395"/>
      <c r="DCV96" s="395"/>
      <c r="DCW96" s="395"/>
      <c r="DCX96" s="395"/>
      <c r="DCY96" s="395"/>
      <c r="DCZ96" s="396"/>
      <c r="DDA96" s="394"/>
      <c r="DDB96" s="395"/>
      <c r="DDC96" s="395"/>
      <c r="DDD96" s="395"/>
      <c r="DDE96" s="395"/>
      <c r="DDF96" s="395"/>
      <c r="DDG96" s="395"/>
      <c r="DDH96" s="395"/>
      <c r="DDI96" s="395"/>
      <c r="DDJ96" s="395"/>
      <c r="DDK96" s="395"/>
      <c r="DDL96" s="395"/>
      <c r="DDM96" s="395"/>
      <c r="DDN96" s="395"/>
      <c r="DDO96" s="395"/>
      <c r="DDP96" s="395"/>
      <c r="DDQ96" s="395"/>
      <c r="DDR96" s="395"/>
      <c r="DDS96" s="395"/>
      <c r="DDT96" s="395"/>
      <c r="DDU96" s="395"/>
      <c r="DDV96" s="395"/>
      <c r="DDW96" s="395"/>
      <c r="DDX96" s="395"/>
      <c r="DDY96" s="395"/>
      <c r="DDZ96" s="395"/>
      <c r="DEA96" s="396"/>
      <c r="DEB96" s="394"/>
      <c r="DEC96" s="395"/>
      <c r="DED96" s="395"/>
      <c r="DEE96" s="395"/>
      <c r="DEF96" s="395"/>
      <c r="DEG96" s="395"/>
      <c r="DEH96" s="395"/>
      <c r="DEI96" s="395"/>
      <c r="DEJ96" s="395"/>
      <c r="DEK96" s="395"/>
      <c r="DEL96" s="395"/>
      <c r="DEM96" s="395"/>
      <c r="DEN96" s="395"/>
      <c r="DEO96" s="395"/>
      <c r="DEP96" s="395"/>
      <c r="DEQ96" s="395"/>
      <c r="DER96" s="395"/>
      <c r="DES96" s="395"/>
      <c r="DET96" s="395"/>
      <c r="DEU96" s="395"/>
      <c r="DEV96" s="395"/>
      <c r="DEW96" s="395"/>
      <c r="DEX96" s="395"/>
      <c r="DEY96" s="395"/>
      <c r="DEZ96" s="395"/>
      <c r="DFA96" s="395"/>
      <c r="DFB96" s="396"/>
      <c r="DFC96" s="394"/>
      <c r="DFD96" s="395"/>
      <c r="DFE96" s="395"/>
      <c r="DFF96" s="395"/>
      <c r="DFG96" s="395"/>
      <c r="DFH96" s="395"/>
      <c r="DFI96" s="395"/>
      <c r="DFJ96" s="395"/>
      <c r="DFK96" s="395"/>
      <c r="DFL96" s="395"/>
      <c r="DFM96" s="395"/>
      <c r="DFN96" s="395"/>
      <c r="DFO96" s="395"/>
      <c r="DFP96" s="395"/>
      <c r="DFQ96" s="395"/>
      <c r="DFR96" s="395"/>
      <c r="DFS96" s="395"/>
      <c r="DFT96" s="395"/>
      <c r="DFU96" s="395"/>
      <c r="DFV96" s="395"/>
      <c r="DFW96" s="395"/>
      <c r="DFX96" s="395"/>
      <c r="DFY96" s="395"/>
      <c r="DFZ96" s="395"/>
      <c r="DGA96" s="395"/>
      <c r="DGB96" s="395"/>
      <c r="DGC96" s="396"/>
      <c r="DGD96" s="394"/>
      <c r="DGE96" s="395"/>
      <c r="DGF96" s="395"/>
      <c r="DGG96" s="395"/>
      <c r="DGH96" s="395"/>
      <c r="DGI96" s="395"/>
      <c r="DGJ96" s="395"/>
      <c r="DGK96" s="395"/>
      <c r="DGL96" s="395"/>
      <c r="DGM96" s="395"/>
      <c r="DGN96" s="395"/>
      <c r="DGO96" s="395"/>
      <c r="DGP96" s="395"/>
      <c r="DGQ96" s="395"/>
      <c r="DGR96" s="395"/>
      <c r="DGS96" s="395"/>
      <c r="DGT96" s="395"/>
      <c r="DGU96" s="395"/>
      <c r="DGV96" s="395"/>
      <c r="DGW96" s="395"/>
      <c r="DGX96" s="395"/>
      <c r="DGY96" s="395"/>
      <c r="DGZ96" s="395"/>
      <c r="DHA96" s="395"/>
      <c r="DHB96" s="395"/>
      <c r="DHC96" s="395"/>
      <c r="DHD96" s="396"/>
      <c r="DHE96" s="394"/>
      <c r="DHF96" s="395"/>
      <c r="DHG96" s="395"/>
      <c r="DHH96" s="395"/>
      <c r="DHI96" s="395"/>
      <c r="DHJ96" s="395"/>
      <c r="DHK96" s="395"/>
      <c r="DHL96" s="395"/>
      <c r="DHM96" s="395"/>
      <c r="DHN96" s="395"/>
      <c r="DHO96" s="395"/>
      <c r="DHP96" s="395"/>
      <c r="DHQ96" s="395"/>
      <c r="DHR96" s="395"/>
      <c r="DHS96" s="395"/>
      <c r="DHT96" s="395"/>
      <c r="DHU96" s="395"/>
      <c r="DHV96" s="395"/>
      <c r="DHW96" s="395"/>
      <c r="DHX96" s="395"/>
      <c r="DHY96" s="395"/>
      <c r="DHZ96" s="395"/>
      <c r="DIA96" s="395"/>
      <c r="DIB96" s="395"/>
      <c r="DIC96" s="395"/>
      <c r="DID96" s="395"/>
      <c r="DIE96" s="396"/>
      <c r="DIF96" s="394"/>
      <c r="DIG96" s="395"/>
      <c r="DIH96" s="395"/>
      <c r="DII96" s="395"/>
      <c r="DIJ96" s="395"/>
      <c r="DIK96" s="395"/>
      <c r="DIL96" s="395"/>
      <c r="DIM96" s="395"/>
      <c r="DIN96" s="395"/>
      <c r="DIO96" s="395"/>
      <c r="DIP96" s="395"/>
      <c r="DIQ96" s="395"/>
      <c r="DIR96" s="395"/>
      <c r="DIS96" s="395"/>
      <c r="DIT96" s="395"/>
      <c r="DIU96" s="395"/>
      <c r="DIV96" s="395"/>
      <c r="DIW96" s="395"/>
      <c r="DIX96" s="395"/>
      <c r="DIY96" s="395"/>
      <c r="DIZ96" s="395"/>
      <c r="DJA96" s="395"/>
      <c r="DJB96" s="395"/>
      <c r="DJC96" s="395"/>
      <c r="DJD96" s="395"/>
      <c r="DJE96" s="395"/>
      <c r="DJF96" s="396"/>
      <c r="DJG96" s="394"/>
      <c r="DJH96" s="395"/>
      <c r="DJI96" s="395"/>
      <c r="DJJ96" s="395"/>
      <c r="DJK96" s="395"/>
      <c r="DJL96" s="395"/>
      <c r="DJM96" s="395"/>
      <c r="DJN96" s="395"/>
      <c r="DJO96" s="395"/>
      <c r="DJP96" s="395"/>
      <c r="DJQ96" s="395"/>
      <c r="DJR96" s="395"/>
      <c r="DJS96" s="395"/>
      <c r="DJT96" s="395"/>
      <c r="DJU96" s="395"/>
      <c r="DJV96" s="395"/>
      <c r="DJW96" s="395"/>
      <c r="DJX96" s="395"/>
      <c r="DJY96" s="395"/>
      <c r="DJZ96" s="395"/>
      <c r="DKA96" s="395"/>
      <c r="DKB96" s="395"/>
      <c r="DKC96" s="395"/>
      <c r="DKD96" s="395"/>
      <c r="DKE96" s="395"/>
      <c r="DKF96" s="395"/>
      <c r="DKG96" s="396"/>
      <c r="DKH96" s="394"/>
      <c r="DKI96" s="395"/>
      <c r="DKJ96" s="395"/>
      <c r="DKK96" s="395"/>
      <c r="DKL96" s="395"/>
      <c r="DKM96" s="395"/>
      <c r="DKN96" s="395"/>
      <c r="DKO96" s="395"/>
      <c r="DKP96" s="395"/>
      <c r="DKQ96" s="395"/>
      <c r="DKR96" s="395"/>
      <c r="DKS96" s="395"/>
      <c r="DKT96" s="395"/>
      <c r="DKU96" s="395"/>
      <c r="DKV96" s="395"/>
      <c r="DKW96" s="395"/>
      <c r="DKX96" s="395"/>
      <c r="DKY96" s="395"/>
      <c r="DKZ96" s="395"/>
      <c r="DLA96" s="395"/>
      <c r="DLB96" s="395"/>
      <c r="DLC96" s="395"/>
      <c r="DLD96" s="395"/>
      <c r="DLE96" s="395"/>
      <c r="DLF96" s="395"/>
      <c r="DLG96" s="395"/>
      <c r="DLH96" s="396"/>
      <c r="DLI96" s="394"/>
      <c r="DLJ96" s="395"/>
      <c r="DLK96" s="395"/>
      <c r="DLL96" s="395"/>
      <c r="DLM96" s="395"/>
      <c r="DLN96" s="395"/>
      <c r="DLO96" s="395"/>
      <c r="DLP96" s="395"/>
      <c r="DLQ96" s="395"/>
      <c r="DLR96" s="395"/>
      <c r="DLS96" s="395"/>
      <c r="DLT96" s="395"/>
      <c r="DLU96" s="395"/>
      <c r="DLV96" s="395"/>
      <c r="DLW96" s="395"/>
      <c r="DLX96" s="395"/>
      <c r="DLY96" s="395"/>
      <c r="DLZ96" s="395"/>
      <c r="DMA96" s="395"/>
      <c r="DMB96" s="395"/>
      <c r="DMC96" s="395"/>
      <c r="DMD96" s="395"/>
      <c r="DME96" s="395"/>
      <c r="DMF96" s="395"/>
      <c r="DMG96" s="395"/>
      <c r="DMH96" s="395"/>
      <c r="DMI96" s="396"/>
      <c r="DMJ96" s="394"/>
      <c r="DMK96" s="395"/>
      <c r="DML96" s="395"/>
      <c r="DMM96" s="395"/>
      <c r="DMN96" s="395"/>
      <c r="DMO96" s="395"/>
      <c r="DMP96" s="395"/>
      <c r="DMQ96" s="395"/>
      <c r="DMR96" s="395"/>
      <c r="DMS96" s="395"/>
      <c r="DMT96" s="395"/>
      <c r="DMU96" s="395"/>
      <c r="DMV96" s="395"/>
      <c r="DMW96" s="395"/>
      <c r="DMX96" s="395"/>
      <c r="DMY96" s="395"/>
      <c r="DMZ96" s="395"/>
      <c r="DNA96" s="395"/>
      <c r="DNB96" s="395"/>
      <c r="DNC96" s="395"/>
      <c r="DND96" s="395"/>
      <c r="DNE96" s="395"/>
      <c r="DNF96" s="395"/>
      <c r="DNG96" s="395"/>
      <c r="DNH96" s="395"/>
      <c r="DNI96" s="395"/>
      <c r="DNJ96" s="396"/>
      <c r="DNK96" s="394"/>
      <c r="DNL96" s="395"/>
      <c r="DNM96" s="395"/>
      <c r="DNN96" s="395"/>
      <c r="DNO96" s="395"/>
      <c r="DNP96" s="395"/>
      <c r="DNQ96" s="395"/>
      <c r="DNR96" s="395"/>
      <c r="DNS96" s="395"/>
      <c r="DNT96" s="395"/>
      <c r="DNU96" s="395"/>
      <c r="DNV96" s="395"/>
      <c r="DNW96" s="395"/>
      <c r="DNX96" s="395"/>
      <c r="DNY96" s="395"/>
      <c r="DNZ96" s="395"/>
      <c r="DOA96" s="395"/>
      <c r="DOB96" s="395"/>
      <c r="DOC96" s="395"/>
      <c r="DOD96" s="395"/>
      <c r="DOE96" s="395"/>
      <c r="DOF96" s="395"/>
      <c r="DOG96" s="395"/>
      <c r="DOH96" s="395"/>
      <c r="DOI96" s="395"/>
      <c r="DOJ96" s="395"/>
      <c r="DOK96" s="396"/>
      <c r="DOL96" s="394"/>
      <c r="DOM96" s="395"/>
      <c r="DON96" s="395"/>
      <c r="DOO96" s="395"/>
      <c r="DOP96" s="395"/>
      <c r="DOQ96" s="395"/>
      <c r="DOR96" s="395"/>
      <c r="DOS96" s="395"/>
      <c r="DOT96" s="395"/>
      <c r="DOU96" s="395"/>
      <c r="DOV96" s="395"/>
      <c r="DOW96" s="395"/>
      <c r="DOX96" s="395"/>
      <c r="DOY96" s="395"/>
      <c r="DOZ96" s="395"/>
      <c r="DPA96" s="395"/>
      <c r="DPB96" s="395"/>
      <c r="DPC96" s="395"/>
      <c r="DPD96" s="395"/>
      <c r="DPE96" s="395"/>
      <c r="DPF96" s="395"/>
      <c r="DPG96" s="395"/>
      <c r="DPH96" s="395"/>
      <c r="DPI96" s="395"/>
      <c r="DPJ96" s="395"/>
      <c r="DPK96" s="395"/>
      <c r="DPL96" s="396"/>
      <c r="DPM96" s="394"/>
      <c r="DPN96" s="395"/>
      <c r="DPO96" s="395"/>
      <c r="DPP96" s="395"/>
      <c r="DPQ96" s="395"/>
      <c r="DPR96" s="395"/>
      <c r="DPS96" s="395"/>
      <c r="DPT96" s="395"/>
      <c r="DPU96" s="395"/>
      <c r="DPV96" s="395"/>
      <c r="DPW96" s="395"/>
      <c r="DPX96" s="395"/>
      <c r="DPY96" s="395"/>
      <c r="DPZ96" s="395"/>
      <c r="DQA96" s="395"/>
      <c r="DQB96" s="395"/>
      <c r="DQC96" s="395"/>
      <c r="DQD96" s="395"/>
      <c r="DQE96" s="395"/>
      <c r="DQF96" s="395"/>
      <c r="DQG96" s="395"/>
      <c r="DQH96" s="395"/>
      <c r="DQI96" s="395"/>
      <c r="DQJ96" s="395"/>
      <c r="DQK96" s="395"/>
      <c r="DQL96" s="395"/>
      <c r="DQM96" s="396"/>
      <c r="DQN96" s="394"/>
      <c r="DQO96" s="395"/>
      <c r="DQP96" s="395"/>
      <c r="DQQ96" s="395"/>
      <c r="DQR96" s="395"/>
      <c r="DQS96" s="395"/>
      <c r="DQT96" s="395"/>
      <c r="DQU96" s="395"/>
      <c r="DQV96" s="395"/>
      <c r="DQW96" s="395"/>
      <c r="DQX96" s="395"/>
      <c r="DQY96" s="395"/>
      <c r="DQZ96" s="395"/>
      <c r="DRA96" s="395"/>
      <c r="DRB96" s="395"/>
      <c r="DRC96" s="395"/>
      <c r="DRD96" s="395"/>
      <c r="DRE96" s="395"/>
      <c r="DRF96" s="395"/>
      <c r="DRG96" s="395"/>
      <c r="DRH96" s="395"/>
      <c r="DRI96" s="395"/>
      <c r="DRJ96" s="395"/>
      <c r="DRK96" s="395"/>
      <c r="DRL96" s="395"/>
      <c r="DRM96" s="395"/>
      <c r="DRN96" s="396"/>
      <c r="DRO96" s="394"/>
      <c r="DRP96" s="395"/>
      <c r="DRQ96" s="395"/>
      <c r="DRR96" s="395"/>
      <c r="DRS96" s="395"/>
      <c r="DRT96" s="395"/>
      <c r="DRU96" s="395"/>
      <c r="DRV96" s="395"/>
      <c r="DRW96" s="395"/>
      <c r="DRX96" s="395"/>
      <c r="DRY96" s="395"/>
      <c r="DRZ96" s="395"/>
      <c r="DSA96" s="395"/>
      <c r="DSB96" s="395"/>
      <c r="DSC96" s="395"/>
      <c r="DSD96" s="395"/>
      <c r="DSE96" s="395"/>
      <c r="DSF96" s="395"/>
      <c r="DSG96" s="395"/>
      <c r="DSH96" s="395"/>
      <c r="DSI96" s="395"/>
      <c r="DSJ96" s="395"/>
      <c r="DSK96" s="395"/>
      <c r="DSL96" s="395"/>
      <c r="DSM96" s="395"/>
      <c r="DSN96" s="395"/>
      <c r="DSO96" s="396"/>
      <c r="DSP96" s="394"/>
      <c r="DSQ96" s="395"/>
      <c r="DSR96" s="395"/>
      <c r="DSS96" s="395"/>
      <c r="DST96" s="395"/>
      <c r="DSU96" s="395"/>
      <c r="DSV96" s="395"/>
      <c r="DSW96" s="395"/>
      <c r="DSX96" s="395"/>
      <c r="DSY96" s="395"/>
      <c r="DSZ96" s="395"/>
      <c r="DTA96" s="395"/>
      <c r="DTB96" s="395"/>
      <c r="DTC96" s="395"/>
      <c r="DTD96" s="395"/>
      <c r="DTE96" s="395"/>
      <c r="DTF96" s="395"/>
      <c r="DTG96" s="395"/>
      <c r="DTH96" s="395"/>
      <c r="DTI96" s="395"/>
      <c r="DTJ96" s="395"/>
      <c r="DTK96" s="395"/>
      <c r="DTL96" s="395"/>
      <c r="DTM96" s="395"/>
      <c r="DTN96" s="395"/>
      <c r="DTO96" s="395"/>
      <c r="DTP96" s="396"/>
      <c r="DTQ96" s="394"/>
      <c r="DTR96" s="395"/>
      <c r="DTS96" s="395"/>
      <c r="DTT96" s="395"/>
      <c r="DTU96" s="395"/>
      <c r="DTV96" s="395"/>
      <c r="DTW96" s="395"/>
      <c r="DTX96" s="395"/>
      <c r="DTY96" s="395"/>
      <c r="DTZ96" s="395"/>
      <c r="DUA96" s="395"/>
      <c r="DUB96" s="395"/>
      <c r="DUC96" s="395"/>
      <c r="DUD96" s="395"/>
      <c r="DUE96" s="395"/>
      <c r="DUF96" s="395"/>
      <c r="DUG96" s="395"/>
      <c r="DUH96" s="395"/>
      <c r="DUI96" s="395"/>
      <c r="DUJ96" s="395"/>
      <c r="DUK96" s="395"/>
      <c r="DUL96" s="395"/>
      <c r="DUM96" s="395"/>
      <c r="DUN96" s="395"/>
      <c r="DUO96" s="395"/>
      <c r="DUP96" s="395"/>
      <c r="DUQ96" s="396"/>
      <c r="DUR96" s="394"/>
      <c r="DUS96" s="395"/>
      <c r="DUT96" s="395"/>
      <c r="DUU96" s="395"/>
      <c r="DUV96" s="395"/>
      <c r="DUW96" s="395"/>
      <c r="DUX96" s="395"/>
      <c r="DUY96" s="395"/>
      <c r="DUZ96" s="395"/>
      <c r="DVA96" s="395"/>
      <c r="DVB96" s="395"/>
      <c r="DVC96" s="395"/>
      <c r="DVD96" s="395"/>
      <c r="DVE96" s="395"/>
      <c r="DVF96" s="395"/>
      <c r="DVG96" s="395"/>
      <c r="DVH96" s="395"/>
      <c r="DVI96" s="395"/>
      <c r="DVJ96" s="395"/>
      <c r="DVK96" s="395"/>
      <c r="DVL96" s="395"/>
      <c r="DVM96" s="395"/>
      <c r="DVN96" s="395"/>
      <c r="DVO96" s="395"/>
      <c r="DVP96" s="395"/>
      <c r="DVQ96" s="395"/>
      <c r="DVR96" s="396"/>
      <c r="DVS96" s="394"/>
      <c r="DVT96" s="395"/>
      <c r="DVU96" s="395"/>
      <c r="DVV96" s="395"/>
      <c r="DVW96" s="395"/>
      <c r="DVX96" s="395"/>
      <c r="DVY96" s="395"/>
      <c r="DVZ96" s="395"/>
      <c r="DWA96" s="395"/>
      <c r="DWB96" s="395"/>
      <c r="DWC96" s="395"/>
      <c r="DWD96" s="395"/>
      <c r="DWE96" s="395"/>
      <c r="DWF96" s="395"/>
      <c r="DWG96" s="395"/>
      <c r="DWH96" s="395"/>
      <c r="DWI96" s="395"/>
      <c r="DWJ96" s="395"/>
      <c r="DWK96" s="395"/>
      <c r="DWL96" s="395"/>
      <c r="DWM96" s="395"/>
      <c r="DWN96" s="395"/>
      <c r="DWO96" s="395"/>
      <c r="DWP96" s="395"/>
      <c r="DWQ96" s="395"/>
      <c r="DWR96" s="395"/>
      <c r="DWS96" s="396"/>
      <c r="DWT96" s="394"/>
      <c r="DWU96" s="395"/>
      <c r="DWV96" s="395"/>
      <c r="DWW96" s="395"/>
      <c r="DWX96" s="395"/>
      <c r="DWY96" s="395"/>
      <c r="DWZ96" s="395"/>
      <c r="DXA96" s="395"/>
      <c r="DXB96" s="395"/>
      <c r="DXC96" s="395"/>
      <c r="DXD96" s="395"/>
      <c r="DXE96" s="395"/>
      <c r="DXF96" s="395"/>
      <c r="DXG96" s="395"/>
      <c r="DXH96" s="395"/>
      <c r="DXI96" s="395"/>
      <c r="DXJ96" s="395"/>
      <c r="DXK96" s="395"/>
      <c r="DXL96" s="395"/>
      <c r="DXM96" s="395"/>
      <c r="DXN96" s="395"/>
      <c r="DXO96" s="395"/>
      <c r="DXP96" s="395"/>
      <c r="DXQ96" s="395"/>
      <c r="DXR96" s="395"/>
      <c r="DXS96" s="395"/>
      <c r="DXT96" s="396"/>
      <c r="DXU96" s="394"/>
      <c r="DXV96" s="395"/>
      <c r="DXW96" s="395"/>
      <c r="DXX96" s="395"/>
      <c r="DXY96" s="395"/>
      <c r="DXZ96" s="395"/>
      <c r="DYA96" s="395"/>
      <c r="DYB96" s="395"/>
      <c r="DYC96" s="395"/>
      <c r="DYD96" s="395"/>
      <c r="DYE96" s="395"/>
      <c r="DYF96" s="395"/>
      <c r="DYG96" s="395"/>
      <c r="DYH96" s="395"/>
      <c r="DYI96" s="395"/>
      <c r="DYJ96" s="395"/>
      <c r="DYK96" s="395"/>
      <c r="DYL96" s="395"/>
      <c r="DYM96" s="395"/>
      <c r="DYN96" s="395"/>
      <c r="DYO96" s="395"/>
      <c r="DYP96" s="395"/>
      <c r="DYQ96" s="395"/>
      <c r="DYR96" s="395"/>
      <c r="DYS96" s="395"/>
      <c r="DYT96" s="395"/>
      <c r="DYU96" s="396"/>
      <c r="DYV96" s="394"/>
      <c r="DYW96" s="395"/>
      <c r="DYX96" s="395"/>
      <c r="DYY96" s="395"/>
      <c r="DYZ96" s="395"/>
      <c r="DZA96" s="395"/>
      <c r="DZB96" s="395"/>
      <c r="DZC96" s="395"/>
      <c r="DZD96" s="395"/>
      <c r="DZE96" s="395"/>
      <c r="DZF96" s="395"/>
      <c r="DZG96" s="395"/>
      <c r="DZH96" s="395"/>
      <c r="DZI96" s="395"/>
      <c r="DZJ96" s="395"/>
      <c r="DZK96" s="395"/>
      <c r="DZL96" s="395"/>
      <c r="DZM96" s="395"/>
      <c r="DZN96" s="395"/>
      <c r="DZO96" s="395"/>
      <c r="DZP96" s="395"/>
      <c r="DZQ96" s="395"/>
      <c r="DZR96" s="395"/>
      <c r="DZS96" s="395"/>
      <c r="DZT96" s="395"/>
      <c r="DZU96" s="395"/>
      <c r="DZV96" s="396"/>
      <c r="DZW96" s="394"/>
      <c r="DZX96" s="395"/>
      <c r="DZY96" s="395"/>
      <c r="DZZ96" s="395"/>
      <c r="EAA96" s="395"/>
      <c r="EAB96" s="395"/>
      <c r="EAC96" s="395"/>
      <c r="EAD96" s="395"/>
      <c r="EAE96" s="395"/>
      <c r="EAF96" s="395"/>
      <c r="EAG96" s="395"/>
      <c r="EAH96" s="395"/>
      <c r="EAI96" s="395"/>
      <c r="EAJ96" s="395"/>
      <c r="EAK96" s="395"/>
      <c r="EAL96" s="395"/>
      <c r="EAM96" s="395"/>
      <c r="EAN96" s="395"/>
      <c r="EAO96" s="395"/>
      <c r="EAP96" s="395"/>
      <c r="EAQ96" s="395"/>
      <c r="EAR96" s="395"/>
      <c r="EAS96" s="395"/>
      <c r="EAT96" s="395"/>
      <c r="EAU96" s="395"/>
      <c r="EAV96" s="395"/>
      <c r="EAW96" s="396"/>
      <c r="EAX96" s="394"/>
      <c r="EAY96" s="395"/>
      <c r="EAZ96" s="395"/>
      <c r="EBA96" s="395"/>
      <c r="EBB96" s="395"/>
      <c r="EBC96" s="395"/>
      <c r="EBD96" s="395"/>
      <c r="EBE96" s="395"/>
      <c r="EBF96" s="395"/>
      <c r="EBG96" s="395"/>
      <c r="EBH96" s="395"/>
      <c r="EBI96" s="395"/>
      <c r="EBJ96" s="395"/>
      <c r="EBK96" s="395"/>
      <c r="EBL96" s="395"/>
      <c r="EBM96" s="395"/>
      <c r="EBN96" s="395"/>
      <c r="EBO96" s="395"/>
      <c r="EBP96" s="395"/>
      <c r="EBQ96" s="395"/>
      <c r="EBR96" s="395"/>
      <c r="EBS96" s="395"/>
      <c r="EBT96" s="395"/>
      <c r="EBU96" s="395"/>
      <c r="EBV96" s="395"/>
      <c r="EBW96" s="395"/>
      <c r="EBX96" s="396"/>
      <c r="EBY96" s="394"/>
      <c r="EBZ96" s="395"/>
      <c r="ECA96" s="395"/>
      <c r="ECB96" s="395"/>
      <c r="ECC96" s="395"/>
      <c r="ECD96" s="395"/>
      <c r="ECE96" s="395"/>
      <c r="ECF96" s="395"/>
      <c r="ECG96" s="395"/>
      <c r="ECH96" s="395"/>
      <c r="ECI96" s="395"/>
      <c r="ECJ96" s="395"/>
      <c r="ECK96" s="395"/>
      <c r="ECL96" s="395"/>
      <c r="ECM96" s="395"/>
      <c r="ECN96" s="395"/>
      <c r="ECO96" s="395"/>
      <c r="ECP96" s="395"/>
      <c r="ECQ96" s="395"/>
      <c r="ECR96" s="395"/>
      <c r="ECS96" s="395"/>
      <c r="ECT96" s="395"/>
      <c r="ECU96" s="395"/>
      <c r="ECV96" s="395"/>
      <c r="ECW96" s="395"/>
      <c r="ECX96" s="395"/>
      <c r="ECY96" s="396"/>
      <c r="ECZ96" s="394"/>
      <c r="EDA96" s="395"/>
      <c r="EDB96" s="395"/>
      <c r="EDC96" s="395"/>
      <c r="EDD96" s="395"/>
      <c r="EDE96" s="395"/>
      <c r="EDF96" s="395"/>
      <c r="EDG96" s="395"/>
      <c r="EDH96" s="395"/>
      <c r="EDI96" s="395"/>
      <c r="EDJ96" s="395"/>
      <c r="EDK96" s="395"/>
      <c r="EDL96" s="395"/>
      <c r="EDM96" s="395"/>
      <c r="EDN96" s="395"/>
      <c r="EDO96" s="395"/>
      <c r="EDP96" s="395"/>
      <c r="EDQ96" s="395"/>
      <c r="EDR96" s="395"/>
      <c r="EDS96" s="395"/>
      <c r="EDT96" s="395"/>
      <c r="EDU96" s="395"/>
      <c r="EDV96" s="395"/>
      <c r="EDW96" s="395"/>
      <c r="EDX96" s="395"/>
      <c r="EDY96" s="395"/>
      <c r="EDZ96" s="396"/>
      <c r="EEA96" s="394"/>
      <c r="EEB96" s="395"/>
      <c r="EEC96" s="395"/>
      <c r="EED96" s="395"/>
      <c r="EEE96" s="395"/>
      <c r="EEF96" s="395"/>
      <c r="EEG96" s="395"/>
      <c r="EEH96" s="395"/>
      <c r="EEI96" s="395"/>
      <c r="EEJ96" s="395"/>
      <c r="EEK96" s="395"/>
      <c r="EEL96" s="395"/>
      <c r="EEM96" s="395"/>
      <c r="EEN96" s="395"/>
      <c r="EEO96" s="395"/>
      <c r="EEP96" s="395"/>
      <c r="EEQ96" s="395"/>
      <c r="EER96" s="395"/>
      <c r="EES96" s="395"/>
      <c r="EET96" s="395"/>
      <c r="EEU96" s="395"/>
      <c r="EEV96" s="395"/>
      <c r="EEW96" s="395"/>
      <c r="EEX96" s="395"/>
      <c r="EEY96" s="395"/>
      <c r="EEZ96" s="395"/>
      <c r="EFA96" s="396"/>
      <c r="EFB96" s="394"/>
      <c r="EFC96" s="395"/>
      <c r="EFD96" s="395"/>
      <c r="EFE96" s="395"/>
      <c r="EFF96" s="395"/>
      <c r="EFG96" s="395"/>
      <c r="EFH96" s="395"/>
      <c r="EFI96" s="395"/>
      <c r="EFJ96" s="395"/>
      <c r="EFK96" s="395"/>
      <c r="EFL96" s="395"/>
      <c r="EFM96" s="395"/>
      <c r="EFN96" s="395"/>
      <c r="EFO96" s="395"/>
      <c r="EFP96" s="395"/>
      <c r="EFQ96" s="395"/>
      <c r="EFR96" s="395"/>
      <c r="EFS96" s="395"/>
      <c r="EFT96" s="395"/>
      <c r="EFU96" s="395"/>
      <c r="EFV96" s="395"/>
      <c r="EFW96" s="395"/>
      <c r="EFX96" s="395"/>
      <c r="EFY96" s="395"/>
      <c r="EFZ96" s="395"/>
      <c r="EGA96" s="395"/>
      <c r="EGB96" s="396"/>
      <c r="EGC96" s="394"/>
      <c r="EGD96" s="395"/>
      <c r="EGE96" s="395"/>
      <c r="EGF96" s="395"/>
      <c r="EGG96" s="395"/>
      <c r="EGH96" s="395"/>
      <c r="EGI96" s="395"/>
      <c r="EGJ96" s="395"/>
      <c r="EGK96" s="395"/>
      <c r="EGL96" s="395"/>
      <c r="EGM96" s="395"/>
      <c r="EGN96" s="395"/>
      <c r="EGO96" s="395"/>
      <c r="EGP96" s="395"/>
      <c r="EGQ96" s="395"/>
      <c r="EGR96" s="395"/>
      <c r="EGS96" s="395"/>
      <c r="EGT96" s="395"/>
      <c r="EGU96" s="395"/>
      <c r="EGV96" s="395"/>
      <c r="EGW96" s="395"/>
      <c r="EGX96" s="395"/>
      <c r="EGY96" s="395"/>
      <c r="EGZ96" s="395"/>
      <c r="EHA96" s="395"/>
      <c r="EHB96" s="395"/>
      <c r="EHC96" s="396"/>
      <c r="EHD96" s="394"/>
      <c r="EHE96" s="395"/>
      <c r="EHF96" s="395"/>
      <c r="EHG96" s="395"/>
      <c r="EHH96" s="395"/>
      <c r="EHI96" s="395"/>
      <c r="EHJ96" s="395"/>
      <c r="EHK96" s="395"/>
      <c r="EHL96" s="395"/>
      <c r="EHM96" s="395"/>
      <c r="EHN96" s="395"/>
      <c r="EHO96" s="395"/>
      <c r="EHP96" s="395"/>
      <c r="EHQ96" s="395"/>
      <c r="EHR96" s="395"/>
      <c r="EHS96" s="395"/>
      <c r="EHT96" s="395"/>
      <c r="EHU96" s="395"/>
      <c r="EHV96" s="395"/>
      <c r="EHW96" s="395"/>
      <c r="EHX96" s="395"/>
      <c r="EHY96" s="395"/>
      <c r="EHZ96" s="395"/>
      <c r="EIA96" s="395"/>
      <c r="EIB96" s="395"/>
      <c r="EIC96" s="395"/>
      <c r="EID96" s="396"/>
      <c r="EIE96" s="394"/>
      <c r="EIF96" s="395"/>
      <c r="EIG96" s="395"/>
      <c r="EIH96" s="395"/>
      <c r="EII96" s="395"/>
      <c r="EIJ96" s="395"/>
      <c r="EIK96" s="395"/>
      <c r="EIL96" s="395"/>
      <c r="EIM96" s="395"/>
      <c r="EIN96" s="395"/>
      <c r="EIO96" s="395"/>
      <c r="EIP96" s="395"/>
      <c r="EIQ96" s="395"/>
      <c r="EIR96" s="395"/>
      <c r="EIS96" s="395"/>
      <c r="EIT96" s="395"/>
      <c r="EIU96" s="395"/>
      <c r="EIV96" s="395"/>
      <c r="EIW96" s="395"/>
      <c r="EIX96" s="395"/>
      <c r="EIY96" s="395"/>
      <c r="EIZ96" s="395"/>
      <c r="EJA96" s="395"/>
      <c r="EJB96" s="395"/>
      <c r="EJC96" s="395"/>
      <c r="EJD96" s="395"/>
      <c r="EJE96" s="396"/>
      <c r="EJF96" s="394"/>
      <c r="EJG96" s="395"/>
      <c r="EJH96" s="395"/>
      <c r="EJI96" s="395"/>
      <c r="EJJ96" s="395"/>
      <c r="EJK96" s="395"/>
      <c r="EJL96" s="395"/>
      <c r="EJM96" s="395"/>
      <c r="EJN96" s="395"/>
      <c r="EJO96" s="395"/>
      <c r="EJP96" s="395"/>
      <c r="EJQ96" s="395"/>
      <c r="EJR96" s="395"/>
      <c r="EJS96" s="395"/>
      <c r="EJT96" s="395"/>
      <c r="EJU96" s="395"/>
      <c r="EJV96" s="395"/>
      <c r="EJW96" s="395"/>
      <c r="EJX96" s="395"/>
      <c r="EJY96" s="395"/>
      <c r="EJZ96" s="395"/>
      <c r="EKA96" s="395"/>
      <c r="EKB96" s="395"/>
      <c r="EKC96" s="395"/>
      <c r="EKD96" s="395"/>
      <c r="EKE96" s="395"/>
      <c r="EKF96" s="396"/>
      <c r="EKG96" s="394"/>
      <c r="EKH96" s="395"/>
      <c r="EKI96" s="395"/>
      <c r="EKJ96" s="395"/>
      <c r="EKK96" s="395"/>
      <c r="EKL96" s="395"/>
      <c r="EKM96" s="395"/>
      <c r="EKN96" s="395"/>
      <c r="EKO96" s="395"/>
      <c r="EKP96" s="395"/>
      <c r="EKQ96" s="395"/>
      <c r="EKR96" s="395"/>
      <c r="EKS96" s="395"/>
      <c r="EKT96" s="395"/>
      <c r="EKU96" s="395"/>
      <c r="EKV96" s="395"/>
      <c r="EKW96" s="395"/>
      <c r="EKX96" s="395"/>
      <c r="EKY96" s="395"/>
      <c r="EKZ96" s="395"/>
      <c r="ELA96" s="395"/>
      <c r="ELB96" s="395"/>
      <c r="ELC96" s="395"/>
      <c r="ELD96" s="395"/>
      <c r="ELE96" s="395"/>
      <c r="ELF96" s="395"/>
      <c r="ELG96" s="396"/>
      <c r="ELH96" s="394"/>
      <c r="ELI96" s="395"/>
      <c r="ELJ96" s="395"/>
      <c r="ELK96" s="395"/>
      <c r="ELL96" s="395"/>
      <c r="ELM96" s="395"/>
      <c r="ELN96" s="395"/>
      <c r="ELO96" s="395"/>
      <c r="ELP96" s="395"/>
      <c r="ELQ96" s="395"/>
      <c r="ELR96" s="395"/>
      <c r="ELS96" s="395"/>
      <c r="ELT96" s="395"/>
      <c r="ELU96" s="395"/>
      <c r="ELV96" s="395"/>
      <c r="ELW96" s="395"/>
      <c r="ELX96" s="395"/>
      <c r="ELY96" s="395"/>
      <c r="ELZ96" s="395"/>
      <c r="EMA96" s="395"/>
      <c r="EMB96" s="395"/>
      <c r="EMC96" s="395"/>
      <c r="EMD96" s="395"/>
      <c r="EME96" s="395"/>
      <c r="EMF96" s="395"/>
      <c r="EMG96" s="395"/>
      <c r="EMH96" s="396"/>
      <c r="EMI96" s="394"/>
      <c r="EMJ96" s="395"/>
      <c r="EMK96" s="395"/>
      <c r="EML96" s="395"/>
      <c r="EMM96" s="395"/>
      <c r="EMN96" s="395"/>
      <c r="EMO96" s="395"/>
      <c r="EMP96" s="395"/>
      <c r="EMQ96" s="395"/>
      <c r="EMR96" s="395"/>
      <c r="EMS96" s="395"/>
      <c r="EMT96" s="395"/>
      <c r="EMU96" s="395"/>
      <c r="EMV96" s="395"/>
      <c r="EMW96" s="395"/>
      <c r="EMX96" s="395"/>
      <c r="EMY96" s="395"/>
      <c r="EMZ96" s="395"/>
      <c r="ENA96" s="395"/>
      <c r="ENB96" s="395"/>
      <c r="ENC96" s="395"/>
      <c r="END96" s="395"/>
      <c r="ENE96" s="395"/>
      <c r="ENF96" s="395"/>
      <c r="ENG96" s="395"/>
      <c r="ENH96" s="395"/>
      <c r="ENI96" s="396"/>
      <c r="ENJ96" s="394"/>
      <c r="ENK96" s="395"/>
      <c r="ENL96" s="395"/>
      <c r="ENM96" s="395"/>
      <c r="ENN96" s="395"/>
      <c r="ENO96" s="395"/>
      <c r="ENP96" s="395"/>
      <c r="ENQ96" s="395"/>
      <c r="ENR96" s="395"/>
      <c r="ENS96" s="395"/>
      <c r="ENT96" s="395"/>
      <c r="ENU96" s="395"/>
      <c r="ENV96" s="395"/>
      <c r="ENW96" s="395"/>
      <c r="ENX96" s="395"/>
      <c r="ENY96" s="395"/>
      <c r="ENZ96" s="395"/>
      <c r="EOA96" s="395"/>
      <c r="EOB96" s="395"/>
      <c r="EOC96" s="395"/>
      <c r="EOD96" s="395"/>
      <c r="EOE96" s="395"/>
      <c r="EOF96" s="395"/>
      <c r="EOG96" s="395"/>
      <c r="EOH96" s="395"/>
      <c r="EOI96" s="395"/>
      <c r="EOJ96" s="396"/>
      <c r="EOK96" s="394"/>
      <c r="EOL96" s="395"/>
      <c r="EOM96" s="395"/>
      <c r="EON96" s="395"/>
      <c r="EOO96" s="395"/>
      <c r="EOP96" s="395"/>
      <c r="EOQ96" s="395"/>
      <c r="EOR96" s="395"/>
      <c r="EOS96" s="395"/>
      <c r="EOT96" s="395"/>
      <c r="EOU96" s="395"/>
      <c r="EOV96" s="395"/>
      <c r="EOW96" s="395"/>
      <c r="EOX96" s="395"/>
      <c r="EOY96" s="395"/>
      <c r="EOZ96" s="395"/>
      <c r="EPA96" s="395"/>
      <c r="EPB96" s="395"/>
      <c r="EPC96" s="395"/>
      <c r="EPD96" s="395"/>
      <c r="EPE96" s="395"/>
      <c r="EPF96" s="395"/>
      <c r="EPG96" s="395"/>
      <c r="EPH96" s="395"/>
      <c r="EPI96" s="395"/>
      <c r="EPJ96" s="395"/>
      <c r="EPK96" s="396"/>
      <c r="EPL96" s="394"/>
      <c r="EPM96" s="395"/>
      <c r="EPN96" s="395"/>
      <c r="EPO96" s="395"/>
      <c r="EPP96" s="395"/>
      <c r="EPQ96" s="395"/>
      <c r="EPR96" s="395"/>
      <c r="EPS96" s="395"/>
      <c r="EPT96" s="395"/>
      <c r="EPU96" s="395"/>
      <c r="EPV96" s="395"/>
      <c r="EPW96" s="395"/>
      <c r="EPX96" s="395"/>
      <c r="EPY96" s="395"/>
      <c r="EPZ96" s="395"/>
      <c r="EQA96" s="395"/>
      <c r="EQB96" s="395"/>
      <c r="EQC96" s="395"/>
      <c r="EQD96" s="395"/>
      <c r="EQE96" s="395"/>
      <c r="EQF96" s="395"/>
      <c r="EQG96" s="395"/>
      <c r="EQH96" s="395"/>
      <c r="EQI96" s="395"/>
      <c r="EQJ96" s="395"/>
      <c r="EQK96" s="395"/>
      <c r="EQL96" s="396"/>
      <c r="EQM96" s="394"/>
      <c r="EQN96" s="395"/>
      <c r="EQO96" s="395"/>
      <c r="EQP96" s="395"/>
      <c r="EQQ96" s="395"/>
      <c r="EQR96" s="395"/>
      <c r="EQS96" s="395"/>
      <c r="EQT96" s="395"/>
      <c r="EQU96" s="395"/>
      <c r="EQV96" s="395"/>
      <c r="EQW96" s="395"/>
      <c r="EQX96" s="395"/>
      <c r="EQY96" s="395"/>
      <c r="EQZ96" s="395"/>
      <c r="ERA96" s="395"/>
      <c r="ERB96" s="395"/>
      <c r="ERC96" s="395"/>
      <c r="ERD96" s="395"/>
      <c r="ERE96" s="395"/>
      <c r="ERF96" s="395"/>
      <c r="ERG96" s="395"/>
      <c r="ERH96" s="395"/>
      <c r="ERI96" s="395"/>
      <c r="ERJ96" s="395"/>
      <c r="ERK96" s="395"/>
      <c r="ERL96" s="395"/>
      <c r="ERM96" s="396"/>
      <c r="ERN96" s="394"/>
      <c r="ERO96" s="395"/>
      <c r="ERP96" s="395"/>
      <c r="ERQ96" s="395"/>
      <c r="ERR96" s="395"/>
      <c r="ERS96" s="395"/>
      <c r="ERT96" s="395"/>
      <c r="ERU96" s="395"/>
      <c r="ERV96" s="395"/>
      <c r="ERW96" s="395"/>
      <c r="ERX96" s="395"/>
      <c r="ERY96" s="395"/>
      <c r="ERZ96" s="395"/>
      <c r="ESA96" s="395"/>
      <c r="ESB96" s="395"/>
      <c r="ESC96" s="395"/>
      <c r="ESD96" s="395"/>
      <c r="ESE96" s="395"/>
      <c r="ESF96" s="395"/>
      <c r="ESG96" s="395"/>
      <c r="ESH96" s="395"/>
      <c r="ESI96" s="395"/>
      <c r="ESJ96" s="395"/>
      <c r="ESK96" s="395"/>
      <c r="ESL96" s="395"/>
      <c r="ESM96" s="395"/>
      <c r="ESN96" s="396"/>
      <c r="ESO96" s="394"/>
      <c r="ESP96" s="395"/>
      <c r="ESQ96" s="395"/>
      <c r="ESR96" s="395"/>
      <c r="ESS96" s="395"/>
      <c r="EST96" s="395"/>
      <c r="ESU96" s="395"/>
      <c r="ESV96" s="395"/>
      <c r="ESW96" s="395"/>
      <c r="ESX96" s="395"/>
      <c r="ESY96" s="395"/>
      <c r="ESZ96" s="395"/>
      <c r="ETA96" s="395"/>
      <c r="ETB96" s="395"/>
      <c r="ETC96" s="395"/>
      <c r="ETD96" s="395"/>
      <c r="ETE96" s="395"/>
      <c r="ETF96" s="395"/>
      <c r="ETG96" s="395"/>
      <c r="ETH96" s="395"/>
      <c r="ETI96" s="395"/>
      <c r="ETJ96" s="395"/>
      <c r="ETK96" s="395"/>
      <c r="ETL96" s="395"/>
      <c r="ETM96" s="395"/>
      <c r="ETN96" s="395"/>
      <c r="ETO96" s="396"/>
      <c r="ETP96" s="394"/>
      <c r="ETQ96" s="395"/>
      <c r="ETR96" s="395"/>
      <c r="ETS96" s="395"/>
      <c r="ETT96" s="395"/>
      <c r="ETU96" s="395"/>
      <c r="ETV96" s="395"/>
      <c r="ETW96" s="395"/>
      <c r="ETX96" s="395"/>
      <c r="ETY96" s="395"/>
      <c r="ETZ96" s="395"/>
      <c r="EUA96" s="395"/>
      <c r="EUB96" s="395"/>
      <c r="EUC96" s="395"/>
      <c r="EUD96" s="395"/>
      <c r="EUE96" s="395"/>
      <c r="EUF96" s="395"/>
      <c r="EUG96" s="395"/>
      <c r="EUH96" s="395"/>
      <c r="EUI96" s="395"/>
      <c r="EUJ96" s="395"/>
      <c r="EUK96" s="395"/>
      <c r="EUL96" s="395"/>
      <c r="EUM96" s="395"/>
      <c r="EUN96" s="395"/>
      <c r="EUO96" s="395"/>
      <c r="EUP96" s="396"/>
      <c r="EUQ96" s="394"/>
      <c r="EUR96" s="395"/>
      <c r="EUS96" s="395"/>
      <c r="EUT96" s="395"/>
      <c r="EUU96" s="395"/>
      <c r="EUV96" s="395"/>
      <c r="EUW96" s="395"/>
      <c r="EUX96" s="395"/>
      <c r="EUY96" s="395"/>
      <c r="EUZ96" s="395"/>
      <c r="EVA96" s="395"/>
      <c r="EVB96" s="395"/>
      <c r="EVC96" s="395"/>
      <c r="EVD96" s="395"/>
      <c r="EVE96" s="395"/>
      <c r="EVF96" s="395"/>
      <c r="EVG96" s="395"/>
      <c r="EVH96" s="395"/>
      <c r="EVI96" s="395"/>
      <c r="EVJ96" s="395"/>
      <c r="EVK96" s="395"/>
      <c r="EVL96" s="395"/>
      <c r="EVM96" s="395"/>
      <c r="EVN96" s="395"/>
      <c r="EVO96" s="395"/>
      <c r="EVP96" s="395"/>
      <c r="EVQ96" s="396"/>
      <c r="EVR96" s="394"/>
      <c r="EVS96" s="395"/>
      <c r="EVT96" s="395"/>
      <c r="EVU96" s="395"/>
      <c r="EVV96" s="395"/>
      <c r="EVW96" s="395"/>
      <c r="EVX96" s="395"/>
      <c r="EVY96" s="395"/>
      <c r="EVZ96" s="395"/>
      <c r="EWA96" s="395"/>
      <c r="EWB96" s="395"/>
      <c r="EWC96" s="395"/>
      <c r="EWD96" s="395"/>
      <c r="EWE96" s="395"/>
      <c r="EWF96" s="395"/>
      <c r="EWG96" s="395"/>
      <c r="EWH96" s="395"/>
      <c r="EWI96" s="395"/>
      <c r="EWJ96" s="395"/>
      <c r="EWK96" s="395"/>
      <c r="EWL96" s="395"/>
      <c r="EWM96" s="395"/>
      <c r="EWN96" s="395"/>
      <c r="EWO96" s="395"/>
      <c r="EWP96" s="395"/>
      <c r="EWQ96" s="395"/>
      <c r="EWR96" s="396"/>
      <c r="EWS96" s="394"/>
      <c r="EWT96" s="395"/>
      <c r="EWU96" s="395"/>
      <c r="EWV96" s="395"/>
      <c r="EWW96" s="395"/>
      <c r="EWX96" s="395"/>
      <c r="EWY96" s="395"/>
      <c r="EWZ96" s="395"/>
      <c r="EXA96" s="395"/>
      <c r="EXB96" s="395"/>
      <c r="EXC96" s="395"/>
      <c r="EXD96" s="395"/>
      <c r="EXE96" s="395"/>
      <c r="EXF96" s="395"/>
      <c r="EXG96" s="395"/>
      <c r="EXH96" s="395"/>
      <c r="EXI96" s="395"/>
      <c r="EXJ96" s="395"/>
      <c r="EXK96" s="395"/>
      <c r="EXL96" s="395"/>
      <c r="EXM96" s="395"/>
      <c r="EXN96" s="395"/>
      <c r="EXO96" s="395"/>
      <c r="EXP96" s="395"/>
      <c r="EXQ96" s="395"/>
      <c r="EXR96" s="395"/>
      <c r="EXS96" s="396"/>
      <c r="EXT96" s="394"/>
      <c r="EXU96" s="395"/>
      <c r="EXV96" s="395"/>
      <c r="EXW96" s="395"/>
      <c r="EXX96" s="395"/>
      <c r="EXY96" s="395"/>
      <c r="EXZ96" s="395"/>
      <c r="EYA96" s="395"/>
      <c r="EYB96" s="395"/>
      <c r="EYC96" s="395"/>
      <c r="EYD96" s="395"/>
      <c r="EYE96" s="395"/>
      <c r="EYF96" s="395"/>
      <c r="EYG96" s="395"/>
      <c r="EYH96" s="395"/>
      <c r="EYI96" s="395"/>
      <c r="EYJ96" s="395"/>
      <c r="EYK96" s="395"/>
      <c r="EYL96" s="395"/>
      <c r="EYM96" s="395"/>
      <c r="EYN96" s="395"/>
      <c r="EYO96" s="395"/>
      <c r="EYP96" s="395"/>
      <c r="EYQ96" s="395"/>
      <c r="EYR96" s="395"/>
      <c r="EYS96" s="395"/>
      <c r="EYT96" s="396"/>
      <c r="EYU96" s="394"/>
      <c r="EYV96" s="395"/>
      <c r="EYW96" s="395"/>
      <c r="EYX96" s="395"/>
      <c r="EYY96" s="395"/>
      <c r="EYZ96" s="395"/>
      <c r="EZA96" s="395"/>
      <c r="EZB96" s="395"/>
      <c r="EZC96" s="395"/>
      <c r="EZD96" s="395"/>
      <c r="EZE96" s="395"/>
      <c r="EZF96" s="395"/>
      <c r="EZG96" s="395"/>
      <c r="EZH96" s="395"/>
      <c r="EZI96" s="395"/>
      <c r="EZJ96" s="395"/>
      <c r="EZK96" s="395"/>
      <c r="EZL96" s="395"/>
      <c r="EZM96" s="395"/>
      <c r="EZN96" s="395"/>
      <c r="EZO96" s="395"/>
      <c r="EZP96" s="395"/>
      <c r="EZQ96" s="395"/>
      <c r="EZR96" s="395"/>
      <c r="EZS96" s="395"/>
      <c r="EZT96" s="395"/>
      <c r="EZU96" s="396"/>
      <c r="EZV96" s="394"/>
      <c r="EZW96" s="395"/>
      <c r="EZX96" s="395"/>
      <c r="EZY96" s="395"/>
      <c r="EZZ96" s="395"/>
      <c r="FAA96" s="395"/>
      <c r="FAB96" s="395"/>
      <c r="FAC96" s="395"/>
      <c r="FAD96" s="395"/>
      <c r="FAE96" s="395"/>
      <c r="FAF96" s="395"/>
      <c r="FAG96" s="395"/>
      <c r="FAH96" s="395"/>
      <c r="FAI96" s="395"/>
      <c r="FAJ96" s="395"/>
      <c r="FAK96" s="395"/>
      <c r="FAL96" s="395"/>
      <c r="FAM96" s="395"/>
      <c r="FAN96" s="395"/>
      <c r="FAO96" s="395"/>
      <c r="FAP96" s="395"/>
      <c r="FAQ96" s="395"/>
      <c r="FAR96" s="395"/>
      <c r="FAS96" s="395"/>
      <c r="FAT96" s="395"/>
      <c r="FAU96" s="395"/>
      <c r="FAV96" s="396"/>
      <c r="FAW96" s="394"/>
      <c r="FAX96" s="395"/>
      <c r="FAY96" s="395"/>
      <c r="FAZ96" s="395"/>
      <c r="FBA96" s="395"/>
      <c r="FBB96" s="395"/>
      <c r="FBC96" s="395"/>
      <c r="FBD96" s="395"/>
      <c r="FBE96" s="395"/>
      <c r="FBF96" s="395"/>
      <c r="FBG96" s="395"/>
      <c r="FBH96" s="395"/>
      <c r="FBI96" s="395"/>
      <c r="FBJ96" s="395"/>
      <c r="FBK96" s="395"/>
      <c r="FBL96" s="395"/>
      <c r="FBM96" s="395"/>
      <c r="FBN96" s="395"/>
      <c r="FBO96" s="395"/>
      <c r="FBP96" s="395"/>
      <c r="FBQ96" s="395"/>
      <c r="FBR96" s="395"/>
      <c r="FBS96" s="395"/>
      <c r="FBT96" s="395"/>
      <c r="FBU96" s="395"/>
      <c r="FBV96" s="395"/>
      <c r="FBW96" s="396"/>
      <c r="FBX96" s="394"/>
      <c r="FBY96" s="395"/>
      <c r="FBZ96" s="395"/>
      <c r="FCA96" s="395"/>
      <c r="FCB96" s="395"/>
      <c r="FCC96" s="395"/>
      <c r="FCD96" s="395"/>
      <c r="FCE96" s="395"/>
      <c r="FCF96" s="395"/>
      <c r="FCG96" s="395"/>
      <c r="FCH96" s="395"/>
      <c r="FCI96" s="395"/>
      <c r="FCJ96" s="395"/>
      <c r="FCK96" s="395"/>
      <c r="FCL96" s="395"/>
      <c r="FCM96" s="395"/>
      <c r="FCN96" s="395"/>
      <c r="FCO96" s="395"/>
      <c r="FCP96" s="395"/>
      <c r="FCQ96" s="395"/>
      <c r="FCR96" s="395"/>
      <c r="FCS96" s="395"/>
      <c r="FCT96" s="395"/>
      <c r="FCU96" s="395"/>
      <c r="FCV96" s="395"/>
      <c r="FCW96" s="395"/>
      <c r="FCX96" s="396"/>
      <c r="FCY96" s="394"/>
      <c r="FCZ96" s="395"/>
      <c r="FDA96" s="395"/>
      <c r="FDB96" s="395"/>
      <c r="FDC96" s="395"/>
      <c r="FDD96" s="395"/>
      <c r="FDE96" s="395"/>
      <c r="FDF96" s="395"/>
      <c r="FDG96" s="395"/>
      <c r="FDH96" s="395"/>
      <c r="FDI96" s="395"/>
      <c r="FDJ96" s="395"/>
      <c r="FDK96" s="395"/>
      <c r="FDL96" s="395"/>
      <c r="FDM96" s="395"/>
      <c r="FDN96" s="395"/>
      <c r="FDO96" s="395"/>
      <c r="FDP96" s="395"/>
      <c r="FDQ96" s="395"/>
      <c r="FDR96" s="395"/>
      <c r="FDS96" s="395"/>
      <c r="FDT96" s="395"/>
      <c r="FDU96" s="395"/>
      <c r="FDV96" s="395"/>
      <c r="FDW96" s="395"/>
      <c r="FDX96" s="395"/>
      <c r="FDY96" s="396"/>
      <c r="FDZ96" s="394"/>
      <c r="FEA96" s="395"/>
      <c r="FEB96" s="395"/>
      <c r="FEC96" s="395"/>
      <c r="FED96" s="395"/>
      <c r="FEE96" s="395"/>
      <c r="FEF96" s="395"/>
      <c r="FEG96" s="395"/>
      <c r="FEH96" s="395"/>
      <c r="FEI96" s="395"/>
      <c r="FEJ96" s="395"/>
      <c r="FEK96" s="395"/>
      <c r="FEL96" s="395"/>
      <c r="FEM96" s="395"/>
      <c r="FEN96" s="395"/>
      <c r="FEO96" s="395"/>
      <c r="FEP96" s="395"/>
      <c r="FEQ96" s="395"/>
      <c r="FER96" s="395"/>
      <c r="FES96" s="395"/>
      <c r="FET96" s="395"/>
      <c r="FEU96" s="395"/>
      <c r="FEV96" s="395"/>
      <c r="FEW96" s="395"/>
      <c r="FEX96" s="395"/>
      <c r="FEY96" s="395"/>
      <c r="FEZ96" s="396"/>
      <c r="FFA96" s="394"/>
      <c r="FFB96" s="395"/>
      <c r="FFC96" s="395"/>
      <c r="FFD96" s="395"/>
      <c r="FFE96" s="395"/>
      <c r="FFF96" s="395"/>
      <c r="FFG96" s="395"/>
      <c r="FFH96" s="395"/>
      <c r="FFI96" s="395"/>
      <c r="FFJ96" s="395"/>
      <c r="FFK96" s="395"/>
      <c r="FFL96" s="395"/>
      <c r="FFM96" s="395"/>
      <c r="FFN96" s="395"/>
      <c r="FFO96" s="395"/>
      <c r="FFP96" s="395"/>
      <c r="FFQ96" s="395"/>
      <c r="FFR96" s="395"/>
      <c r="FFS96" s="395"/>
      <c r="FFT96" s="395"/>
      <c r="FFU96" s="395"/>
      <c r="FFV96" s="395"/>
      <c r="FFW96" s="395"/>
      <c r="FFX96" s="395"/>
      <c r="FFY96" s="395"/>
      <c r="FFZ96" s="395"/>
      <c r="FGA96" s="396"/>
      <c r="FGB96" s="394"/>
      <c r="FGC96" s="395"/>
      <c r="FGD96" s="395"/>
      <c r="FGE96" s="395"/>
      <c r="FGF96" s="395"/>
      <c r="FGG96" s="395"/>
      <c r="FGH96" s="395"/>
      <c r="FGI96" s="395"/>
      <c r="FGJ96" s="395"/>
      <c r="FGK96" s="395"/>
      <c r="FGL96" s="395"/>
      <c r="FGM96" s="395"/>
      <c r="FGN96" s="395"/>
      <c r="FGO96" s="395"/>
      <c r="FGP96" s="395"/>
      <c r="FGQ96" s="395"/>
      <c r="FGR96" s="395"/>
      <c r="FGS96" s="395"/>
      <c r="FGT96" s="395"/>
      <c r="FGU96" s="395"/>
      <c r="FGV96" s="395"/>
      <c r="FGW96" s="395"/>
      <c r="FGX96" s="395"/>
      <c r="FGY96" s="395"/>
      <c r="FGZ96" s="395"/>
      <c r="FHA96" s="395"/>
      <c r="FHB96" s="396"/>
      <c r="FHC96" s="394"/>
      <c r="FHD96" s="395"/>
      <c r="FHE96" s="395"/>
      <c r="FHF96" s="395"/>
      <c r="FHG96" s="395"/>
      <c r="FHH96" s="395"/>
      <c r="FHI96" s="395"/>
      <c r="FHJ96" s="395"/>
      <c r="FHK96" s="395"/>
      <c r="FHL96" s="395"/>
      <c r="FHM96" s="395"/>
      <c r="FHN96" s="395"/>
      <c r="FHO96" s="395"/>
      <c r="FHP96" s="395"/>
      <c r="FHQ96" s="395"/>
      <c r="FHR96" s="395"/>
      <c r="FHS96" s="395"/>
      <c r="FHT96" s="395"/>
      <c r="FHU96" s="395"/>
      <c r="FHV96" s="395"/>
      <c r="FHW96" s="395"/>
      <c r="FHX96" s="395"/>
      <c r="FHY96" s="395"/>
      <c r="FHZ96" s="395"/>
      <c r="FIA96" s="395"/>
      <c r="FIB96" s="395"/>
      <c r="FIC96" s="396"/>
      <c r="FID96" s="394"/>
      <c r="FIE96" s="395"/>
      <c r="FIF96" s="395"/>
      <c r="FIG96" s="395"/>
      <c r="FIH96" s="395"/>
      <c r="FII96" s="395"/>
      <c r="FIJ96" s="395"/>
      <c r="FIK96" s="395"/>
      <c r="FIL96" s="395"/>
      <c r="FIM96" s="395"/>
      <c r="FIN96" s="395"/>
      <c r="FIO96" s="395"/>
      <c r="FIP96" s="395"/>
      <c r="FIQ96" s="395"/>
      <c r="FIR96" s="395"/>
      <c r="FIS96" s="395"/>
      <c r="FIT96" s="395"/>
      <c r="FIU96" s="395"/>
      <c r="FIV96" s="395"/>
      <c r="FIW96" s="395"/>
      <c r="FIX96" s="395"/>
      <c r="FIY96" s="395"/>
      <c r="FIZ96" s="395"/>
      <c r="FJA96" s="395"/>
      <c r="FJB96" s="395"/>
      <c r="FJC96" s="395"/>
      <c r="FJD96" s="396"/>
      <c r="FJE96" s="394"/>
      <c r="FJF96" s="395"/>
      <c r="FJG96" s="395"/>
      <c r="FJH96" s="395"/>
      <c r="FJI96" s="395"/>
      <c r="FJJ96" s="395"/>
      <c r="FJK96" s="395"/>
      <c r="FJL96" s="395"/>
      <c r="FJM96" s="395"/>
      <c r="FJN96" s="395"/>
      <c r="FJO96" s="395"/>
      <c r="FJP96" s="395"/>
      <c r="FJQ96" s="395"/>
      <c r="FJR96" s="395"/>
      <c r="FJS96" s="395"/>
      <c r="FJT96" s="395"/>
      <c r="FJU96" s="395"/>
      <c r="FJV96" s="395"/>
      <c r="FJW96" s="395"/>
      <c r="FJX96" s="395"/>
      <c r="FJY96" s="395"/>
      <c r="FJZ96" s="395"/>
      <c r="FKA96" s="395"/>
      <c r="FKB96" s="395"/>
      <c r="FKC96" s="395"/>
      <c r="FKD96" s="395"/>
      <c r="FKE96" s="396"/>
      <c r="FKF96" s="394"/>
      <c r="FKG96" s="395"/>
      <c r="FKH96" s="395"/>
      <c r="FKI96" s="395"/>
      <c r="FKJ96" s="395"/>
      <c r="FKK96" s="395"/>
      <c r="FKL96" s="395"/>
      <c r="FKM96" s="395"/>
      <c r="FKN96" s="395"/>
      <c r="FKO96" s="395"/>
      <c r="FKP96" s="395"/>
      <c r="FKQ96" s="395"/>
      <c r="FKR96" s="395"/>
      <c r="FKS96" s="395"/>
      <c r="FKT96" s="395"/>
      <c r="FKU96" s="395"/>
      <c r="FKV96" s="395"/>
      <c r="FKW96" s="395"/>
      <c r="FKX96" s="395"/>
      <c r="FKY96" s="395"/>
      <c r="FKZ96" s="395"/>
      <c r="FLA96" s="395"/>
      <c r="FLB96" s="395"/>
      <c r="FLC96" s="395"/>
      <c r="FLD96" s="395"/>
      <c r="FLE96" s="395"/>
      <c r="FLF96" s="396"/>
      <c r="FLG96" s="394"/>
      <c r="FLH96" s="395"/>
      <c r="FLI96" s="395"/>
      <c r="FLJ96" s="395"/>
      <c r="FLK96" s="395"/>
      <c r="FLL96" s="395"/>
      <c r="FLM96" s="395"/>
      <c r="FLN96" s="395"/>
      <c r="FLO96" s="395"/>
      <c r="FLP96" s="395"/>
      <c r="FLQ96" s="395"/>
      <c r="FLR96" s="395"/>
      <c r="FLS96" s="395"/>
      <c r="FLT96" s="395"/>
      <c r="FLU96" s="395"/>
      <c r="FLV96" s="395"/>
      <c r="FLW96" s="395"/>
      <c r="FLX96" s="395"/>
      <c r="FLY96" s="395"/>
      <c r="FLZ96" s="395"/>
      <c r="FMA96" s="395"/>
      <c r="FMB96" s="395"/>
      <c r="FMC96" s="395"/>
      <c r="FMD96" s="395"/>
      <c r="FME96" s="395"/>
      <c r="FMF96" s="395"/>
      <c r="FMG96" s="396"/>
      <c r="FMH96" s="394"/>
      <c r="FMI96" s="395"/>
      <c r="FMJ96" s="395"/>
      <c r="FMK96" s="395"/>
      <c r="FML96" s="395"/>
      <c r="FMM96" s="395"/>
      <c r="FMN96" s="395"/>
      <c r="FMO96" s="395"/>
      <c r="FMP96" s="395"/>
      <c r="FMQ96" s="395"/>
      <c r="FMR96" s="395"/>
      <c r="FMS96" s="395"/>
      <c r="FMT96" s="395"/>
      <c r="FMU96" s="395"/>
      <c r="FMV96" s="395"/>
      <c r="FMW96" s="395"/>
      <c r="FMX96" s="395"/>
      <c r="FMY96" s="395"/>
      <c r="FMZ96" s="395"/>
      <c r="FNA96" s="395"/>
      <c r="FNB96" s="395"/>
      <c r="FNC96" s="395"/>
      <c r="FND96" s="395"/>
      <c r="FNE96" s="395"/>
      <c r="FNF96" s="395"/>
      <c r="FNG96" s="395"/>
      <c r="FNH96" s="396"/>
      <c r="FNI96" s="394"/>
      <c r="FNJ96" s="395"/>
      <c r="FNK96" s="395"/>
      <c r="FNL96" s="395"/>
      <c r="FNM96" s="395"/>
      <c r="FNN96" s="395"/>
      <c r="FNO96" s="395"/>
      <c r="FNP96" s="395"/>
      <c r="FNQ96" s="395"/>
      <c r="FNR96" s="395"/>
      <c r="FNS96" s="395"/>
      <c r="FNT96" s="395"/>
      <c r="FNU96" s="395"/>
      <c r="FNV96" s="395"/>
      <c r="FNW96" s="395"/>
      <c r="FNX96" s="395"/>
      <c r="FNY96" s="395"/>
      <c r="FNZ96" s="395"/>
      <c r="FOA96" s="395"/>
      <c r="FOB96" s="395"/>
      <c r="FOC96" s="395"/>
      <c r="FOD96" s="395"/>
      <c r="FOE96" s="395"/>
      <c r="FOF96" s="395"/>
      <c r="FOG96" s="395"/>
      <c r="FOH96" s="395"/>
      <c r="FOI96" s="396"/>
      <c r="FOJ96" s="394"/>
      <c r="FOK96" s="395"/>
      <c r="FOL96" s="395"/>
      <c r="FOM96" s="395"/>
      <c r="FON96" s="395"/>
      <c r="FOO96" s="395"/>
      <c r="FOP96" s="395"/>
      <c r="FOQ96" s="395"/>
      <c r="FOR96" s="395"/>
      <c r="FOS96" s="395"/>
      <c r="FOT96" s="395"/>
      <c r="FOU96" s="395"/>
      <c r="FOV96" s="395"/>
      <c r="FOW96" s="395"/>
      <c r="FOX96" s="395"/>
      <c r="FOY96" s="395"/>
      <c r="FOZ96" s="395"/>
      <c r="FPA96" s="395"/>
      <c r="FPB96" s="395"/>
      <c r="FPC96" s="395"/>
      <c r="FPD96" s="395"/>
      <c r="FPE96" s="395"/>
      <c r="FPF96" s="395"/>
      <c r="FPG96" s="395"/>
      <c r="FPH96" s="395"/>
      <c r="FPI96" s="395"/>
      <c r="FPJ96" s="396"/>
      <c r="FPK96" s="394"/>
      <c r="FPL96" s="395"/>
      <c r="FPM96" s="395"/>
      <c r="FPN96" s="395"/>
      <c r="FPO96" s="395"/>
      <c r="FPP96" s="395"/>
      <c r="FPQ96" s="395"/>
      <c r="FPR96" s="395"/>
      <c r="FPS96" s="395"/>
      <c r="FPT96" s="395"/>
      <c r="FPU96" s="395"/>
      <c r="FPV96" s="395"/>
      <c r="FPW96" s="395"/>
      <c r="FPX96" s="395"/>
      <c r="FPY96" s="395"/>
      <c r="FPZ96" s="395"/>
      <c r="FQA96" s="395"/>
      <c r="FQB96" s="395"/>
      <c r="FQC96" s="395"/>
      <c r="FQD96" s="395"/>
      <c r="FQE96" s="395"/>
      <c r="FQF96" s="395"/>
      <c r="FQG96" s="395"/>
      <c r="FQH96" s="395"/>
      <c r="FQI96" s="395"/>
      <c r="FQJ96" s="395"/>
      <c r="FQK96" s="396"/>
      <c r="FQL96" s="394"/>
      <c r="FQM96" s="395"/>
      <c r="FQN96" s="395"/>
      <c r="FQO96" s="395"/>
      <c r="FQP96" s="395"/>
      <c r="FQQ96" s="395"/>
      <c r="FQR96" s="395"/>
      <c r="FQS96" s="395"/>
      <c r="FQT96" s="395"/>
      <c r="FQU96" s="395"/>
      <c r="FQV96" s="395"/>
      <c r="FQW96" s="395"/>
      <c r="FQX96" s="395"/>
      <c r="FQY96" s="395"/>
      <c r="FQZ96" s="395"/>
      <c r="FRA96" s="395"/>
      <c r="FRB96" s="395"/>
      <c r="FRC96" s="395"/>
      <c r="FRD96" s="395"/>
      <c r="FRE96" s="395"/>
      <c r="FRF96" s="395"/>
      <c r="FRG96" s="395"/>
      <c r="FRH96" s="395"/>
      <c r="FRI96" s="395"/>
      <c r="FRJ96" s="395"/>
      <c r="FRK96" s="395"/>
      <c r="FRL96" s="396"/>
      <c r="FRM96" s="394"/>
      <c r="FRN96" s="395"/>
      <c r="FRO96" s="395"/>
      <c r="FRP96" s="395"/>
      <c r="FRQ96" s="395"/>
      <c r="FRR96" s="395"/>
      <c r="FRS96" s="395"/>
      <c r="FRT96" s="395"/>
      <c r="FRU96" s="395"/>
      <c r="FRV96" s="395"/>
      <c r="FRW96" s="395"/>
      <c r="FRX96" s="395"/>
      <c r="FRY96" s="395"/>
      <c r="FRZ96" s="395"/>
      <c r="FSA96" s="395"/>
      <c r="FSB96" s="395"/>
      <c r="FSC96" s="395"/>
      <c r="FSD96" s="395"/>
      <c r="FSE96" s="395"/>
      <c r="FSF96" s="395"/>
      <c r="FSG96" s="395"/>
      <c r="FSH96" s="395"/>
      <c r="FSI96" s="395"/>
      <c r="FSJ96" s="395"/>
      <c r="FSK96" s="395"/>
      <c r="FSL96" s="395"/>
      <c r="FSM96" s="396"/>
      <c r="FSN96" s="394"/>
      <c r="FSO96" s="395"/>
      <c r="FSP96" s="395"/>
      <c r="FSQ96" s="395"/>
      <c r="FSR96" s="395"/>
      <c r="FSS96" s="395"/>
      <c r="FST96" s="395"/>
      <c r="FSU96" s="395"/>
      <c r="FSV96" s="395"/>
      <c r="FSW96" s="395"/>
      <c r="FSX96" s="395"/>
      <c r="FSY96" s="395"/>
      <c r="FSZ96" s="395"/>
      <c r="FTA96" s="395"/>
      <c r="FTB96" s="395"/>
      <c r="FTC96" s="395"/>
      <c r="FTD96" s="395"/>
      <c r="FTE96" s="395"/>
      <c r="FTF96" s="395"/>
      <c r="FTG96" s="395"/>
      <c r="FTH96" s="395"/>
      <c r="FTI96" s="395"/>
      <c r="FTJ96" s="395"/>
      <c r="FTK96" s="395"/>
      <c r="FTL96" s="395"/>
      <c r="FTM96" s="395"/>
      <c r="FTN96" s="396"/>
      <c r="FTO96" s="394"/>
      <c r="FTP96" s="395"/>
      <c r="FTQ96" s="395"/>
      <c r="FTR96" s="395"/>
      <c r="FTS96" s="395"/>
      <c r="FTT96" s="395"/>
      <c r="FTU96" s="395"/>
      <c r="FTV96" s="395"/>
      <c r="FTW96" s="395"/>
      <c r="FTX96" s="395"/>
      <c r="FTY96" s="395"/>
      <c r="FTZ96" s="395"/>
      <c r="FUA96" s="395"/>
      <c r="FUB96" s="395"/>
      <c r="FUC96" s="395"/>
      <c r="FUD96" s="395"/>
      <c r="FUE96" s="395"/>
      <c r="FUF96" s="395"/>
      <c r="FUG96" s="395"/>
      <c r="FUH96" s="395"/>
      <c r="FUI96" s="395"/>
      <c r="FUJ96" s="395"/>
      <c r="FUK96" s="395"/>
      <c r="FUL96" s="395"/>
      <c r="FUM96" s="395"/>
      <c r="FUN96" s="395"/>
      <c r="FUO96" s="396"/>
      <c r="FUP96" s="394"/>
      <c r="FUQ96" s="395"/>
      <c r="FUR96" s="395"/>
      <c r="FUS96" s="395"/>
      <c r="FUT96" s="395"/>
      <c r="FUU96" s="395"/>
      <c r="FUV96" s="395"/>
      <c r="FUW96" s="395"/>
      <c r="FUX96" s="395"/>
      <c r="FUY96" s="395"/>
      <c r="FUZ96" s="395"/>
      <c r="FVA96" s="395"/>
      <c r="FVB96" s="395"/>
      <c r="FVC96" s="395"/>
      <c r="FVD96" s="395"/>
      <c r="FVE96" s="395"/>
      <c r="FVF96" s="395"/>
      <c r="FVG96" s="395"/>
      <c r="FVH96" s="395"/>
      <c r="FVI96" s="395"/>
      <c r="FVJ96" s="395"/>
      <c r="FVK96" s="395"/>
      <c r="FVL96" s="395"/>
      <c r="FVM96" s="395"/>
      <c r="FVN96" s="395"/>
      <c r="FVO96" s="395"/>
      <c r="FVP96" s="396"/>
      <c r="FVQ96" s="394"/>
      <c r="FVR96" s="395"/>
      <c r="FVS96" s="395"/>
      <c r="FVT96" s="395"/>
      <c r="FVU96" s="395"/>
      <c r="FVV96" s="395"/>
      <c r="FVW96" s="395"/>
      <c r="FVX96" s="395"/>
      <c r="FVY96" s="395"/>
      <c r="FVZ96" s="395"/>
      <c r="FWA96" s="395"/>
      <c r="FWB96" s="395"/>
      <c r="FWC96" s="395"/>
      <c r="FWD96" s="395"/>
      <c r="FWE96" s="395"/>
      <c r="FWF96" s="395"/>
      <c r="FWG96" s="395"/>
      <c r="FWH96" s="395"/>
      <c r="FWI96" s="395"/>
      <c r="FWJ96" s="395"/>
      <c r="FWK96" s="395"/>
      <c r="FWL96" s="395"/>
      <c r="FWM96" s="395"/>
      <c r="FWN96" s="395"/>
      <c r="FWO96" s="395"/>
      <c r="FWP96" s="395"/>
      <c r="FWQ96" s="396"/>
      <c r="FWR96" s="394"/>
      <c r="FWS96" s="395"/>
      <c r="FWT96" s="395"/>
      <c r="FWU96" s="395"/>
      <c r="FWV96" s="395"/>
      <c r="FWW96" s="395"/>
      <c r="FWX96" s="395"/>
      <c r="FWY96" s="395"/>
      <c r="FWZ96" s="395"/>
      <c r="FXA96" s="395"/>
      <c r="FXB96" s="395"/>
      <c r="FXC96" s="395"/>
      <c r="FXD96" s="395"/>
      <c r="FXE96" s="395"/>
      <c r="FXF96" s="395"/>
      <c r="FXG96" s="395"/>
      <c r="FXH96" s="395"/>
      <c r="FXI96" s="395"/>
      <c r="FXJ96" s="395"/>
      <c r="FXK96" s="395"/>
      <c r="FXL96" s="395"/>
      <c r="FXM96" s="395"/>
      <c r="FXN96" s="395"/>
      <c r="FXO96" s="395"/>
      <c r="FXP96" s="395"/>
      <c r="FXQ96" s="395"/>
      <c r="FXR96" s="396"/>
      <c r="FXS96" s="394"/>
      <c r="FXT96" s="395"/>
      <c r="FXU96" s="395"/>
      <c r="FXV96" s="395"/>
      <c r="FXW96" s="395"/>
      <c r="FXX96" s="395"/>
      <c r="FXY96" s="395"/>
      <c r="FXZ96" s="395"/>
      <c r="FYA96" s="395"/>
      <c r="FYB96" s="395"/>
      <c r="FYC96" s="395"/>
      <c r="FYD96" s="395"/>
      <c r="FYE96" s="395"/>
      <c r="FYF96" s="395"/>
      <c r="FYG96" s="395"/>
      <c r="FYH96" s="395"/>
      <c r="FYI96" s="395"/>
      <c r="FYJ96" s="395"/>
      <c r="FYK96" s="395"/>
      <c r="FYL96" s="395"/>
      <c r="FYM96" s="395"/>
      <c r="FYN96" s="395"/>
      <c r="FYO96" s="395"/>
      <c r="FYP96" s="395"/>
      <c r="FYQ96" s="395"/>
      <c r="FYR96" s="395"/>
      <c r="FYS96" s="396"/>
      <c r="FYT96" s="394"/>
      <c r="FYU96" s="395"/>
      <c r="FYV96" s="395"/>
      <c r="FYW96" s="395"/>
      <c r="FYX96" s="395"/>
      <c r="FYY96" s="395"/>
      <c r="FYZ96" s="395"/>
      <c r="FZA96" s="395"/>
      <c r="FZB96" s="395"/>
      <c r="FZC96" s="395"/>
      <c r="FZD96" s="395"/>
      <c r="FZE96" s="395"/>
      <c r="FZF96" s="395"/>
      <c r="FZG96" s="395"/>
      <c r="FZH96" s="395"/>
      <c r="FZI96" s="395"/>
      <c r="FZJ96" s="395"/>
      <c r="FZK96" s="395"/>
      <c r="FZL96" s="395"/>
      <c r="FZM96" s="395"/>
      <c r="FZN96" s="395"/>
      <c r="FZO96" s="395"/>
      <c r="FZP96" s="395"/>
      <c r="FZQ96" s="395"/>
      <c r="FZR96" s="395"/>
      <c r="FZS96" s="395"/>
      <c r="FZT96" s="396"/>
      <c r="FZU96" s="394"/>
      <c r="FZV96" s="395"/>
      <c r="FZW96" s="395"/>
      <c r="FZX96" s="395"/>
      <c r="FZY96" s="395"/>
      <c r="FZZ96" s="395"/>
      <c r="GAA96" s="395"/>
      <c r="GAB96" s="395"/>
      <c r="GAC96" s="395"/>
      <c r="GAD96" s="395"/>
      <c r="GAE96" s="395"/>
      <c r="GAF96" s="395"/>
      <c r="GAG96" s="395"/>
      <c r="GAH96" s="395"/>
      <c r="GAI96" s="395"/>
      <c r="GAJ96" s="395"/>
      <c r="GAK96" s="395"/>
      <c r="GAL96" s="395"/>
      <c r="GAM96" s="395"/>
      <c r="GAN96" s="395"/>
      <c r="GAO96" s="395"/>
      <c r="GAP96" s="395"/>
      <c r="GAQ96" s="395"/>
      <c r="GAR96" s="395"/>
      <c r="GAS96" s="395"/>
      <c r="GAT96" s="395"/>
      <c r="GAU96" s="396"/>
      <c r="GAV96" s="394"/>
      <c r="GAW96" s="395"/>
      <c r="GAX96" s="395"/>
      <c r="GAY96" s="395"/>
      <c r="GAZ96" s="395"/>
      <c r="GBA96" s="395"/>
      <c r="GBB96" s="395"/>
      <c r="GBC96" s="395"/>
      <c r="GBD96" s="395"/>
      <c r="GBE96" s="395"/>
      <c r="GBF96" s="395"/>
      <c r="GBG96" s="395"/>
      <c r="GBH96" s="395"/>
      <c r="GBI96" s="395"/>
      <c r="GBJ96" s="395"/>
      <c r="GBK96" s="395"/>
      <c r="GBL96" s="395"/>
      <c r="GBM96" s="395"/>
      <c r="GBN96" s="395"/>
      <c r="GBO96" s="395"/>
      <c r="GBP96" s="395"/>
      <c r="GBQ96" s="395"/>
      <c r="GBR96" s="395"/>
      <c r="GBS96" s="395"/>
      <c r="GBT96" s="395"/>
      <c r="GBU96" s="395"/>
      <c r="GBV96" s="396"/>
      <c r="GBW96" s="394"/>
      <c r="GBX96" s="395"/>
      <c r="GBY96" s="395"/>
      <c r="GBZ96" s="395"/>
      <c r="GCA96" s="395"/>
      <c r="GCB96" s="395"/>
      <c r="GCC96" s="395"/>
      <c r="GCD96" s="395"/>
      <c r="GCE96" s="395"/>
      <c r="GCF96" s="395"/>
      <c r="GCG96" s="395"/>
      <c r="GCH96" s="395"/>
      <c r="GCI96" s="395"/>
      <c r="GCJ96" s="395"/>
      <c r="GCK96" s="395"/>
      <c r="GCL96" s="395"/>
      <c r="GCM96" s="395"/>
      <c r="GCN96" s="395"/>
      <c r="GCO96" s="395"/>
      <c r="GCP96" s="395"/>
      <c r="GCQ96" s="395"/>
      <c r="GCR96" s="395"/>
      <c r="GCS96" s="395"/>
      <c r="GCT96" s="395"/>
      <c r="GCU96" s="395"/>
      <c r="GCV96" s="395"/>
      <c r="GCW96" s="396"/>
      <c r="GCX96" s="394"/>
      <c r="GCY96" s="395"/>
      <c r="GCZ96" s="395"/>
      <c r="GDA96" s="395"/>
      <c r="GDB96" s="395"/>
      <c r="GDC96" s="395"/>
      <c r="GDD96" s="395"/>
      <c r="GDE96" s="395"/>
      <c r="GDF96" s="395"/>
      <c r="GDG96" s="395"/>
      <c r="GDH96" s="395"/>
      <c r="GDI96" s="395"/>
      <c r="GDJ96" s="395"/>
      <c r="GDK96" s="395"/>
      <c r="GDL96" s="395"/>
      <c r="GDM96" s="395"/>
      <c r="GDN96" s="395"/>
      <c r="GDO96" s="395"/>
      <c r="GDP96" s="395"/>
      <c r="GDQ96" s="395"/>
      <c r="GDR96" s="395"/>
      <c r="GDS96" s="395"/>
      <c r="GDT96" s="395"/>
      <c r="GDU96" s="395"/>
      <c r="GDV96" s="395"/>
      <c r="GDW96" s="395"/>
      <c r="GDX96" s="396"/>
      <c r="GDY96" s="394"/>
      <c r="GDZ96" s="395"/>
      <c r="GEA96" s="395"/>
      <c r="GEB96" s="395"/>
      <c r="GEC96" s="395"/>
      <c r="GED96" s="395"/>
      <c r="GEE96" s="395"/>
      <c r="GEF96" s="395"/>
      <c r="GEG96" s="395"/>
      <c r="GEH96" s="395"/>
      <c r="GEI96" s="395"/>
      <c r="GEJ96" s="395"/>
      <c r="GEK96" s="395"/>
      <c r="GEL96" s="395"/>
      <c r="GEM96" s="395"/>
      <c r="GEN96" s="395"/>
      <c r="GEO96" s="395"/>
      <c r="GEP96" s="395"/>
      <c r="GEQ96" s="395"/>
      <c r="GER96" s="395"/>
      <c r="GES96" s="395"/>
      <c r="GET96" s="395"/>
      <c r="GEU96" s="395"/>
      <c r="GEV96" s="395"/>
      <c r="GEW96" s="395"/>
      <c r="GEX96" s="395"/>
      <c r="GEY96" s="396"/>
      <c r="GEZ96" s="394"/>
      <c r="GFA96" s="395"/>
      <c r="GFB96" s="395"/>
      <c r="GFC96" s="395"/>
      <c r="GFD96" s="395"/>
      <c r="GFE96" s="395"/>
      <c r="GFF96" s="395"/>
      <c r="GFG96" s="395"/>
      <c r="GFH96" s="395"/>
      <c r="GFI96" s="395"/>
      <c r="GFJ96" s="395"/>
      <c r="GFK96" s="395"/>
      <c r="GFL96" s="395"/>
      <c r="GFM96" s="395"/>
      <c r="GFN96" s="395"/>
      <c r="GFO96" s="395"/>
      <c r="GFP96" s="395"/>
      <c r="GFQ96" s="395"/>
      <c r="GFR96" s="395"/>
      <c r="GFS96" s="395"/>
      <c r="GFT96" s="395"/>
      <c r="GFU96" s="395"/>
      <c r="GFV96" s="395"/>
      <c r="GFW96" s="395"/>
      <c r="GFX96" s="395"/>
      <c r="GFY96" s="395"/>
      <c r="GFZ96" s="396"/>
      <c r="GGA96" s="394"/>
      <c r="GGB96" s="395"/>
      <c r="GGC96" s="395"/>
      <c r="GGD96" s="395"/>
      <c r="GGE96" s="395"/>
      <c r="GGF96" s="395"/>
      <c r="GGG96" s="395"/>
      <c r="GGH96" s="395"/>
      <c r="GGI96" s="395"/>
      <c r="GGJ96" s="395"/>
      <c r="GGK96" s="395"/>
      <c r="GGL96" s="395"/>
      <c r="GGM96" s="395"/>
      <c r="GGN96" s="395"/>
      <c r="GGO96" s="395"/>
      <c r="GGP96" s="395"/>
      <c r="GGQ96" s="395"/>
      <c r="GGR96" s="395"/>
      <c r="GGS96" s="395"/>
      <c r="GGT96" s="395"/>
      <c r="GGU96" s="395"/>
      <c r="GGV96" s="395"/>
      <c r="GGW96" s="395"/>
      <c r="GGX96" s="395"/>
      <c r="GGY96" s="395"/>
      <c r="GGZ96" s="395"/>
      <c r="GHA96" s="396"/>
      <c r="GHB96" s="394"/>
      <c r="GHC96" s="395"/>
      <c r="GHD96" s="395"/>
      <c r="GHE96" s="395"/>
      <c r="GHF96" s="395"/>
      <c r="GHG96" s="395"/>
      <c r="GHH96" s="395"/>
      <c r="GHI96" s="395"/>
      <c r="GHJ96" s="395"/>
      <c r="GHK96" s="395"/>
      <c r="GHL96" s="395"/>
      <c r="GHM96" s="395"/>
      <c r="GHN96" s="395"/>
      <c r="GHO96" s="395"/>
      <c r="GHP96" s="395"/>
      <c r="GHQ96" s="395"/>
      <c r="GHR96" s="395"/>
      <c r="GHS96" s="395"/>
      <c r="GHT96" s="395"/>
      <c r="GHU96" s="395"/>
      <c r="GHV96" s="395"/>
      <c r="GHW96" s="395"/>
      <c r="GHX96" s="395"/>
      <c r="GHY96" s="395"/>
      <c r="GHZ96" s="395"/>
      <c r="GIA96" s="395"/>
      <c r="GIB96" s="396"/>
      <c r="GIC96" s="394"/>
      <c r="GID96" s="395"/>
      <c r="GIE96" s="395"/>
      <c r="GIF96" s="395"/>
      <c r="GIG96" s="395"/>
      <c r="GIH96" s="395"/>
      <c r="GII96" s="395"/>
      <c r="GIJ96" s="395"/>
      <c r="GIK96" s="395"/>
      <c r="GIL96" s="395"/>
      <c r="GIM96" s="395"/>
      <c r="GIN96" s="395"/>
      <c r="GIO96" s="395"/>
      <c r="GIP96" s="395"/>
      <c r="GIQ96" s="395"/>
      <c r="GIR96" s="395"/>
      <c r="GIS96" s="395"/>
      <c r="GIT96" s="395"/>
      <c r="GIU96" s="395"/>
      <c r="GIV96" s="395"/>
      <c r="GIW96" s="395"/>
      <c r="GIX96" s="395"/>
      <c r="GIY96" s="395"/>
      <c r="GIZ96" s="395"/>
      <c r="GJA96" s="395"/>
      <c r="GJB96" s="395"/>
      <c r="GJC96" s="396"/>
      <c r="GJD96" s="394"/>
      <c r="GJE96" s="395"/>
      <c r="GJF96" s="395"/>
      <c r="GJG96" s="395"/>
      <c r="GJH96" s="395"/>
      <c r="GJI96" s="395"/>
      <c r="GJJ96" s="395"/>
      <c r="GJK96" s="395"/>
      <c r="GJL96" s="395"/>
      <c r="GJM96" s="395"/>
      <c r="GJN96" s="395"/>
      <c r="GJO96" s="395"/>
      <c r="GJP96" s="395"/>
      <c r="GJQ96" s="395"/>
      <c r="GJR96" s="395"/>
      <c r="GJS96" s="395"/>
      <c r="GJT96" s="395"/>
      <c r="GJU96" s="395"/>
      <c r="GJV96" s="395"/>
      <c r="GJW96" s="395"/>
      <c r="GJX96" s="395"/>
      <c r="GJY96" s="395"/>
      <c r="GJZ96" s="395"/>
      <c r="GKA96" s="395"/>
      <c r="GKB96" s="395"/>
      <c r="GKC96" s="395"/>
      <c r="GKD96" s="396"/>
      <c r="GKE96" s="394"/>
      <c r="GKF96" s="395"/>
      <c r="GKG96" s="395"/>
      <c r="GKH96" s="395"/>
      <c r="GKI96" s="395"/>
      <c r="GKJ96" s="395"/>
      <c r="GKK96" s="395"/>
      <c r="GKL96" s="395"/>
      <c r="GKM96" s="395"/>
      <c r="GKN96" s="395"/>
      <c r="GKO96" s="395"/>
      <c r="GKP96" s="395"/>
      <c r="GKQ96" s="395"/>
      <c r="GKR96" s="395"/>
      <c r="GKS96" s="395"/>
      <c r="GKT96" s="395"/>
      <c r="GKU96" s="395"/>
      <c r="GKV96" s="395"/>
      <c r="GKW96" s="395"/>
      <c r="GKX96" s="395"/>
      <c r="GKY96" s="395"/>
      <c r="GKZ96" s="395"/>
      <c r="GLA96" s="395"/>
      <c r="GLB96" s="395"/>
      <c r="GLC96" s="395"/>
      <c r="GLD96" s="395"/>
      <c r="GLE96" s="396"/>
      <c r="GLF96" s="394"/>
      <c r="GLG96" s="395"/>
      <c r="GLH96" s="395"/>
      <c r="GLI96" s="395"/>
      <c r="GLJ96" s="395"/>
      <c r="GLK96" s="395"/>
      <c r="GLL96" s="395"/>
      <c r="GLM96" s="395"/>
      <c r="GLN96" s="395"/>
      <c r="GLO96" s="395"/>
      <c r="GLP96" s="395"/>
      <c r="GLQ96" s="395"/>
      <c r="GLR96" s="395"/>
      <c r="GLS96" s="395"/>
      <c r="GLT96" s="395"/>
      <c r="GLU96" s="395"/>
      <c r="GLV96" s="395"/>
      <c r="GLW96" s="395"/>
      <c r="GLX96" s="395"/>
      <c r="GLY96" s="395"/>
      <c r="GLZ96" s="395"/>
      <c r="GMA96" s="395"/>
      <c r="GMB96" s="395"/>
      <c r="GMC96" s="395"/>
      <c r="GMD96" s="395"/>
      <c r="GME96" s="395"/>
      <c r="GMF96" s="396"/>
      <c r="GMG96" s="394"/>
      <c r="GMH96" s="395"/>
      <c r="GMI96" s="395"/>
      <c r="GMJ96" s="395"/>
      <c r="GMK96" s="395"/>
      <c r="GML96" s="395"/>
      <c r="GMM96" s="395"/>
      <c r="GMN96" s="395"/>
      <c r="GMO96" s="395"/>
      <c r="GMP96" s="395"/>
      <c r="GMQ96" s="395"/>
      <c r="GMR96" s="395"/>
      <c r="GMS96" s="395"/>
      <c r="GMT96" s="395"/>
      <c r="GMU96" s="395"/>
      <c r="GMV96" s="395"/>
      <c r="GMW96" s="395"/>
      <c r="GMX96" s="395"/>
      <c r="GMY96" s="395"/>
      <c r="GMZ96" s="395"/>
      <c r="GNA96" s="395"/>
      <c r="GNB96" s="395"/>
      <c r="GNC96" s="395"/>
      <c r="GND96" s="395"/>
      <c r="GNE96" s="395"/>
      <c r="GNF96" s="395"/>
      <c r="GNG96" s="396"/>
      <c r="GNH96" s="394"/>
      <c r="GNI96" s="395"/>
      <c r="GNJ96" s="395"/>
      <c r="GNK96" s="395"/>
      <c r="GNL96" s="395"/>
      <c r="GNM96" s="395"/>
      <c r="GNN96" s="395"/>
      <c r="GNO96" s="395"/>
      <c r="GNP96" s="395"/>
      <c r="GNQ96" s="395"/>
      <c r="GNR96" s="395"/>
      <c r="GNS96" s="395"/>
      <c r="GNT96" s="395"/>
      <c r="GNU96" s="395"/>
      <c r="GNV96" s="395"/>
      <c r="GNW96" s="395"/>
      <c r="GNX96" s="395"/>
      <c r="GNY96" s="395"/>
      <c r="GNZ96" s="395"/>
      <c r="GOA96" s="395"/>
      <c r="GOB96" s="395"/>
      <c r="GOC96" s="395"/>
      <c r="GOD96" s="395"/>
      <c r="GOE96" s="395"/>
      <c r="GOF96" s="395"/>
      <c r="GOG96" s="395"/>
      <c r="GOH96" s="396"/>
      <c r="GOI96" s="394"/>
      <c r="GOJ96" s="395"/>
      <c r="GOK96" s="395"/>
      <c r="GOL96" s="395"/>
      <c r="GOM96" s="395"/>
      <c r="GON96" s="395"/>
      <c r="GOO96" s="395"/>
      <c r="GOP96" s="395"/>
      <c r="GOQ96" s="395"/>
      <c r="GOR96" s="395"/>
      <c r="GOS96" s="395"/>
      <c r="GOT96" s="395"/>
      <c r="GOU96" s="395"/>
      <c r="GOV96" s="395"/>
      <c r="GOW96" s="395"/>
      <c r="GOX96" s="395"/>
      <c r="GOY96" s="395"/>
      <c r="GOZ96" s="395"/>
      <c r="GPA96" s="395"/>
      <c r="GPB96" s="395"/>
      <c r="GPC96" s="395"/>
      <c r="GPD96" s="395"/>
      <c r="GPE96" s="395"/>
      <c r="GPF96" s="395"/>
      <c r="GPG96" s="395"/>
      <c r="GPH96" s="395"/>
      <c r="GPI96" s="396"/>
      <c r="GPJ96" s="394"/>
      <c r="GPK96" s="395"/>
      <c r="GPL96" s="395"/>
      <c r="GPM96" s="395"/>
      <c r="GPN96" s="395"/>
      <c r="GPO96" s="395"/>
      <c r="GPP96" s="395"/>
      <c r="GPQ96" s="395"/>
      <c r="GPR96" s="395"/>
      <c r="GPS96" s="395"/>
      <c r="GPT96" s="395"/>
      <c r="GPU96" s="395"/>
      <c r="GPV96" s="395"/>
      <c r="GPW96" s="395"/>
      <c r="GPX96" s="395"/>
      <c r="GPY96" s="395"/>
      <c r="GPZ96" s="395"/>
      <c r="GQA96" s="395"/>
      <c r="GQB96" s="395"/>
      <c r="GQC96" s="395"/>
      <c r="GQD96" s="395"/>
      <c r="GQE96" s="395"/>
      <c r="GQF96" s="395"/>
      <c r="GQG96" s="395"/>
      <c r="GQH96" s="395"/>
      <c r="GQI96" s="395"/>
      <c r="GQJ96" s="396"/>
      <c r="GQK96" s="394"/>
      <c r="GQL96" s="395"/>
      <c r="GQM96" s="395"/>
      <c r="GQN96" s="395"/>
      <c r="GQO96" s="395"/>
      <c r="GQP96" s="395"/>
      <c r="GQQ96" s="395"/>
      <c r="GQR96" s="395"/>
      <c r="GQS96" s="395"/>
      <c r="GQT96" s="395"/>
      <c r="GQU96" s="395"/>
      <c r="GQV96" s="395"/>
      <c r="GQW96" s="395"/>
      <c r="GQX96" s="395"/>
      <c r="GQY96" s="395"/>
      <c r="GQZ96" s="395"/>
      <c r="GRA96" s="395"/>
      <c r="GRB96" s="395"/>
      <c r="GRC96" s="395"/>
      <c r="GRD96" s="395"/>
      <c r="GRE96" s="395"/>
      <c r="GRF96" s="395"/>
      <c r="GRG96" s="395"/>
      <c r="GRH96" s="395"/>
      <c r="GRI96" s="395"/>
      <c r="GRJ96" s="395"/>
      <c r="GRK96" s="396"/>
      <c r="GRL96" s="394"/>
      <c r="GRM96" s="395"/>
      <c r="GRN96" s="395"/>
      <c r="GRO96" s="395"/>
      <c r="GRP96" s="395"/>
      <c r="GRQ96" s="395"/>
      <c r="GRR96" s="395"/>
      <c r="GRS96" s="395"/>
      <c r="GRT96" s="395"/>
      <c r="GRU96" s="395"/>
      <c r="GRV96" s="395"/>
      <c r="GRW96" s="395"/>
      <c r="GRX96" s="395"/>
      <c r="GRY96" s="395"/>
      <c r="GRZ96" s="395"/>
      <c r="GSA96" s="395"/>
      <c r="GSB96" s="395"/>
      <c r="GSC96" s="395"/>
      <c r="GSD96" s="395"/>
      <c r="GSE96" s="395"/>
      <c r="GSF96" s="395"/>
      <c r="GSG96" s="395"/>
      <c r="GSH96" s="395"/>
      <c r="GSI96" s="395"/>
      <c r="GSJ96" s="395"/>
      <c r="GSK96" s="395"/>
      <c r="GSL96" s="396"/>
      <c r="GSM96" s="394"/>
      <c r="GSN96" s="395"/>
      <c r="GSO96" s="395"/>
      <c r="GSP96" s="395"/>
      <c r="GSQ96" s="395"/>
      <c r="GSR96" s="395"/>
      <c r="GSS96" s="395"/>
      <c r="GST96" s="395"/>
      <c r="GSU96" s="395"/>
      <c r="GSV96" s="395"/>
      <c r="GSW96" s="395"/>
      <c r="GSX96" s="395"/>
      <c r="GSY96" s="395"/>
      <c r="GSZ96" s="395"/>
      <c r="GTA96" s="395"/>
      <c r="GTB96" s="395"/>
      <c r="GTC96" s="395"/>
      <c r="GTD96" s="395"/>
      <c r="GTE96" s="395"/>
      <c r="GTF96" s="395"/>
      <c r="GTG96" s="395"/>
      <c r="GTH96" s="395"/>
      <c r="GTI96" s="395"/>
      <c r="GTJ96" s="395"/>
      <c r="GTK96" s="395"/>
      <c r="GTL96" s="395"/>
      <c r="GTM96" s="396"/>
      <c r="GTN96" s="394"/>
      <c r="GTO96" s="395"/>
      <c r="GTP96" s="395"/>
      <c r="GTQ96" s="395"/>
      <c r="GTR96" s="395"/>
      <c r="GTS96" s="395"/>
      <c r="GTT96" s="395"/>
      <c r="GTU96" s="395"/>
      <c r="GTV96" s="395"/>
      <c r="GTW96" s="395"/>
      <c r="GTX96" s="395"/>
      <c r="GTY96" s="395"/>
      <c r="GTZ96" s="395"/>
      <c r="GUA96" s="395"/>
      <c r="GUB96" s="395"/>
      <c r="GUC96" s="395"/>
      <c r="GUD96" s="395"/>
      <c r="GUE96" s="395"/>
      <c r="GUF96" s="395"/>
      <c r="GUG96" s="395"/>
      <c r="GUH96" s="395"/>
      <c r="GUI96" s="395"/>
      <c r="GUJ96" s="395"/>
      <c r="GUK96" s="395"/>
      <c r="GUL96" s="395"/>
      <c r="GUM96" s="395"/>
      <c r="GUN96" s="396"/>
      <c r="GUO96" s="394"/>
      <c r="GUP96" s="395"/>
      <c r="GUQ96" s="395"/>
      <c r="GUR96" s="395"/>
      <c r="GUS96" s="395"/>
      <c r="GUT96" s="395"/>
      <c r="GUU96" s="395"/>
      <c r="GUV96" s="395"/>
      <c r="GUW96" s="395"/>
      <c r="GUX96" s="395"/>
      <c r="GUY96" s="395"/>
      <c r="GUZ96" s="395"/>
      <c r="GVA96" s="395"/>
      <c r="GVB96" s="395"/>
      <c r="GVC96" s="395"/>
      <c r="GVD96" s="395"/>
      <c r="GVE96" s="395"/>
      <c r="GVF96" s="395"/>
      <c r="GVG96" s="395"/>
      <c r="GVH96" s="395"/>
      <c r="GVI96" s="395"/>
      <c r="GVJ96" s="395"/>
      <c r="GVK96" s="395"/>
      <c r="GVL96" s="395"/>
      <c r="GVM96" s="395"/>
      <c r="GVN96" s="395"/>
      <c r="GVO96" s="396"/>
      <c r="GVP96" s="394"/>
      <c r="GVQ96" s="395"/>
      <c r="GVR96" s="395"/>
      <c r="GVS96" s="395"/>
      <c r="GVT96" s="395"/>
      <c r="GVU96" s="395"/>
      <c r="GVV96" s="395"/>
      <c r="GVW96" s="395"/>
      <c r="GVX96" s="395"/>
      <c r="GVY96" s="395"/>
      <c r="GVZ96" s="395"/>
      <c r="GWA96" s="395"/>
      <c r="GWB96" s="395"/>
      <c r="GWC96" s="395"/>
      <c r="GWD96" s="395"/>
      <c r="GWE96" s="395"/>
      <c r="GWF96" s="395"/>
      <c r="GWG96" s="395"/>
      <c r="GWH96" s="395"/>
      <c r="GWI96" s="395"/>
      <c r="GWJ96" s="395"/>
      <c r="GWK96" s="395"/>
      <c r="GWL96" s="395"/>
      <c r="GWM96" s="395"/>
      <c r="GWN96" s="395"/>
      <c r="GWO96" s="395"/>
      <c r="GWP96" s="396"/>
      <c r="GWQ96" s="394"/>
      <c r="GWR96" s="395"/>
      <c r="GWS96" s="395"/>
      <c r="GWT96" s="395"/>
      <c r="GWU96" s="395"/>
      <c r="GWV96" s="395"/>
      <c r="GWW96" s="395"/>
      <c r="GWX96" s="395"/>
      <c r="GWY96" s="395"/>
      <c r="GWZ96" s="395"/>
      <c r="GXA96" s="395"/>
      <c r="GXB96" s="395"/>
      <c r="GXC96" s="395"/>
      <c r="GXD96" s="395"/>
      <c r="GXE96" s="395"/>
      <c r="GXF96" s="395"/>
      <c r="GXG96" s="395"/>
      <c r="GXH96" s="395"/>
      <c r="GXI96" s="395"/>
      <c r="GXJ96" s="395"/>
      <c r="GXK96" s="395"/>
      <c r="GXL96" s="395"/>
      <c r="GXM96" s="395"/>
      <c r="GXN96" s="395"/>
      <c r="GXO96" s="395"/>
      <c r="GXP96" s="395"/>
      <c r="GXQ96" s="396"/>
      <c r="GXR96" s="394"/>
      <c r="GXS96" s="395"/>
      <c r="GXT96" s="395"/>
      <c r="GXU96" s="395"/>
      <c r="GXV96" s="395"/>
      <c r="GXW96" s="395"/>
      <c r="GXX96" s="395"/>
      <c r="GXY96" s="395"/>
      <c r="GXZ96" s="395"/>
      <c r="GYA96" s="395"/>
      <c r="GYB96" s="395"/>
      <c r="GYC96" s="395"/>
      <c r="GYD96" s="395"/>
      <c r="GYE96" s="395"/>
      <c r="GYF96" s="395"/>
      <c r="GYG96" s="395"/>
      <c r="GYH96" s="395"/>
      <c r="GYI96" s="395"/>
      <c r="GYJ96" s="395"/>
      <c r="GYK96" s="395"/>
      <c r="GYL96" s="395"/>
      <c r="GYM96" s="395"/>
      <c r="GYN96" s="395"/>
      <c r="GYO96" s="395"/>
      <c r="GYP96" s="395"/>
      <c r="GYQ96" s="395"/>
      <c r="GYR96" s="396"/>
      <c r="GYS96" s="394"/>
      <c r="GYT96" s="395"/>
      <c r="GYU96" s="395"/>
      <c r="GYV96" s="395"/>
      <c r="GYW96" s="395"/>
      <c r="GYX96" s="395"/>
      <c r="GYY96" s="395"/>
      <c r="GYZ96" s="395"/>
      <c r="GZA96" s="395"/>
      <c r="GZB96" s="395"/>
      <c r="GZC96" s="395"/>
      <c r="GZD96" s="395"/>
      <c r="GZE96" s="395"/>
      <c r="GZF96" s="395"/>
      <c r="GZG96" s="395"/>
      <c r="GZH96" s="395"/>
      <c r="GZI96" s="395"/>
      <c r="GZJ96" s="395"/>
      <c r="GZK96" s="395"/>
      <c r="GZL96" s="395"/>
      <c r="GZM96" s="395"/>
      <c r="GZN96" s="395"/>
      <c r="GZO96" s="395"/>
      <c r="GZP96" s="395"/>
      <c r="GZQ96" s="395"/>
      <c r="GZR96" s="395"/>
      <c r="GZS96" s="396"/>
      <c r="GZT96" s="394"/>
      <c r="GZU96" s="395"/>
      <c r="GZV96" s="395"/>
      <c r="GZW96" s="395"/>
      <c r="GZX96" s="395"/>
      <c r="GZY96" s="395"/>
      <c r="GZZ96" s="395"/>
      <c r="HAA96" s="395"/>
      <c r="HAB96" s="395"/>
      <c r="HAC96" s="395"/>
      <c r="HAD96" s="395"/>
      <c r="HAE96" s="395"/>
      <c r="HAF96" s="395"/>
      <c r="HAG96" s="395"/>
      <c r="HAH96" s="395"/>
      <c r="HAI96" s="395"/>
      <c r="HAJ96" s="395"/>
      <c r="HAK96" s="395"/>
      <c r="HAL96" s="395"/>
      <c r="HAM96" s="395"/>
      <c r="HAN96" s="395"/>
      <c r="HAO96" s="395"/>
      <c r="HAP96" s="395"/>
      <c r="HAQ96" s="395"/>
      <c r="HAR96" s="395"/>
      <c r="HAS96" s="395"/>
      <c r="HAT96" s="396"/>
      <c r="HAU96" s="394"/>
      <c r="HAV96" s="395"/>
      <c r="HAW96" s="395"/>
      <c r="HAX96" s="395"/>
      <c r="HAY96" s="395"/>
      <c r="HAZ96" s="395"/>
      <c r="HBA96" s="395"/>
      <c r="HBB96" s="395"/>
      <c r="HBC96" s="395"/>
      <c r="HBD96" s="395"/>
      <c r="HBE96" s="395"/>
      <c r="HBF96" s="395"/>
      <c r="HBG96" s="395"/>
      <c r="HBH96" s="395"/>
      <c r="HBI96" s="395"/>
      <c r="HBJ96" s="395"/>
      <c r="HBK96" s="395"/>
      <c r="HBL96" s="395"/>
      <c r="HBM96" s="395"/>
      <c r="HBN96" s="395"/>
      <c r="HBO96" s="395"/>
      <c r="HBP96" s="395"/>
      <c r="HBQ96" s="395"/>
      <c r="HBR96" s="395"/>
      <c r="HBS96" s="395"/>
      <c r="HBT96" s="395"/>
      <c r="HBU96" s="396"/>
      <c r="HBV96" s="394"/>
      <c r="HBW96" s="395"/>
      <c r="HBX96" s="395"/>
      <c r="HBY96" s="395"/>
      <c r="HBZ96" s="395"/>
      <c r="HCA96" s="395"/>
      <c r="HCB96" s="395"/>
      <c r="HCC96" s="395"/>
      <c r="HCD96" s="395"/>
      <c r="HCE96" s="395"/>
      <c r="HCF96" s="395"/>
      <c r="HCG96" s="395"/>
      <c r="HCH96" s="395"/>
      <c r="HCI96" s="395"/>
      <c r="HCJ96" s="395"/>
      <c r="HCK96" s="395"/>
      <c r="HCL96" s="395"/>
      <c r="HCM96" s="395"/>
      <c r="HCN96" s="395"/>
      <c r="HCO96" s="395"/>
      <c r="HCP96" s="395"/>
      <c r="HCQ96" s="395"/>
      <c r="HCR96" s="395"/>
      <c r="HCS96" s="395"/>
      <c r="HCT96" s="395"/>
      <c r="HCU96" s="395"/>
      <c r="HCV96" s="396"/>
      <c r="HCW96" s="394"/>
      <c r="HCX96" s="395"/>
      <c r="HCY96" s="395"/>
      <c r="HCZ96" s="395"/>
      <c r="HDA96" s="395"/>
      <c r="HDB96" s="395"/>
      <c r="HDC96" s="395"/>
      <c r="HDD96" s="395"/>
      <c r="HDE96" s="395"/>
      <c r="HDF96" s="395"/>
      <c r="HDG96" s="395"/>
      <c r="HDH96" s="395"/>
      <c r="HDI96" s="395"/>
      <c r="HDJ96" s="395"/>
      <c r="HDK96" s="395"/>
      <c r="HDL96" s="395"/>
      <c r="HDM96" s="395"/>
      <c r="HDN96" s="395"/>
      <c r="HDO96" s="395"/>
      <c r="HDP96" s="395"/>
      <c r="HDQ96" s="395"/>
      <c r="HDR96" s="395"/>
      <c r="HDS96" s="395"/>
      <c r="HDT96" s="395"/>
      <c r="HDU96" s="395"/>
      <c r="HDV96" s="395"/>
      <c r="HDW96" s="396"/>
      <c r="HDX96" s="394"/>
      <c r="HDY96" s="395"/>
      <c r="HDZ96" s="395"/>
      <c r="HEA96" s="395"/>
      <c r="HEB96" s="395"/>
      <c r="HEC96" s="395"/>
      <c r="HED96" s="395"/>
      <c r="HEE96" s="395"/>
      <c r="HEF96" s="395"/>
      <c r="HEG96" s="395"/>
      <c r="HEH96" s="395"/>
      <c r="HEI96" s="395"/>
      <c r="HEJ96" s="395"/>
      <c r="HEK96" s="395"/>
      <c r="HEL96" s="395"/>
      <c r="HEM96" s="395"/>
      <c r="HEN96" s="395"/>
      <c r="HEO96" s="395"/>
      <c r="HEP96" s="395"/>
      <c r="HEQ96" s="395"/>
      <c r="HER96" s="395"/>
      <c r="HES96" s="395"/>
      <c r="HET96" s="395"/>
      <c r="HEU96" s="395"/>
      <c r="HEV96" s="395"/>
      <c r="HEW96" s="395"/>
      <c r="HEX96" s="396"/>
      <c r="HEY96" s="394"/>
      <c r="HEZ96" s="395"/>
      <c r="HFA96" s="395"/>
      <c r="HFB96" s="395"/>
      <c r="HFC96" s="395"/>
      <c r="HFD96" s="395"/>
      <c r="HFE96" s="395"/>
      <c r="HFF96" s="395"/>
      <c r="HFG96" s="395"/>
      <c r="HFH96" s="395"/>
      <c r="HFI96" s="395"/>
      <c r="HFJ96" s="395"/>
      <c r="HFK96" s="395"/>
      <c r="HFL96" s="395"/>
      <c r="HFM96" s="395"/>
      <c r="HFN96" s="395"/>
      <c r="HFO96" s="395"/>
      <c r="HFP96" s="395"/>
      <c r="HFQ96" s="395"/>
      <c r="HFR96" s="395"/>
      <c r="HFS96" s="395"/>
      <c r="HFT96" s="395"/>
      <c r="HFU96" s="395"/>
      <c r="HFV96" s="395"/>
      <c r="HFW96" s="395"/>
      <c r="HFX96" s="395"/>
      <c r="HFY96" s="396"/>
      <c r="HFZ96" s="394"/>
      <c r="HGA96" s="395"/>
      <c r="HGB96" s="395"/>
      <c r="HGC96" s="395"/>
      <c r="HGD96" s="395"/>
      <c r="HGE96" s="395"/>
      <c r="HGF96" s="395"/>
      <c r="HGG96" s="395"/>
      <c r="HGH96" s="395"/>
      <c r="HGI96" s="395"/>
      <c r="HGJ96" s="395"/>
      <c r="HGK96" s="395"/>
      <c r="HGL96" s="395"/>
      <c r="HGM96" s="395"/>
      <c r="HGN96" s="395"/>
      <c r="HGO96" s="395"/>
      <c r="HGP96" s="395"/>
      <c r="HGQ96" s="395"/>
      <c r="HGR96" s="395"/>
      <c r="HGS96" s="395"/>
      <c r="HGT96" s="395"/>
      <c r="HGU96" s="395"/>
      <c r="HGV96" s="395"/>
      <c r="HGW96" s="395"/>
      <c r="HGX96" s="395"/>
      <c r="HGY96" s="395"/>
      <c r="HGZ96" s="396"/>
      <c r="HHA96" s="394"/>
      <c r="HHB96" s="395"/>
      <c r="HHC96" s="395"/>
      <c r="HHD96" s="395"/>
      <c r="HHE96" s="395"/>
      <c r="HHF96" s="395"/>
      <c r="HHG96" s="395"/>
      <c r="HHH96" s="395"/>
      <c r="HHI96" s="395"/>
      <c r="HHJ96" s="395"/>
      <c r="HHK96" s="395"/>
      <c r="HHL96" s="395"/>
      <c r="HHM96" s="395"/>
      <c r="HHN96" s="395"/>
      <c r="HHO96" s="395"/>
      <c r="HHP96" s="395"/>
      <c r="HHQ96" s="395"/>
      <c r="HHR96" s="395"/>
      <c r="HHS96" s="395"/>
      <c r="HHT96" s="395"/>
      <c r="HHU96" s="395"/>
      <c r="HHV96" s="395"/>
      <c r="HHW96" s="395"/>
      <c r="HHX96" s="395"/>
      <c r="HHY96" s="395"/>
      <c r="HHZ96" s="395"/>
      <c r="HIA96" s="396"/>
      <c r="HIB96" s="394"/>
      <c r="HIC96" s="395"/>
      <c r="HID96" s="395"/>
      <c r="HIE96" s="395"/>
      <c r="HIF96" s="395"/>
      <c r="HIG96" s="395"/>
      <c r="HIH96" s="395"/>
      <c r="HII96" s="395"/>
      <c r="HIJ96" s="395"/>
      <c r="HIK96" s="395"/>
      <c r="HIL96" s="395"/>
      <c r="HIM96" s="395"/>
      <c r="HIN96" s="395"/>
      <c r="HIO96" s="395"/>
      <c r="HIP96" s="395"/>
      <c r="HIQ96" s="395"/>
      <c r="HIR96" s="395"/>
      <c r="HIS96" s="395"/>
      <c r="HIT96" s="395"/>
      <c r="HIU96" s="395"/>
      <c r="HIV96" s="395"/>
      <c r="HIW96" s="395"/>
      <c r="HIX96" s="395"/>
      <c r="HIY96" s="395"/>
      <c r="HIZ96" s="395"/>
      <c r="HJA96" s="395"/>
      <c r="HJB96" s="396"/>
      <c r="HJC96" s="394"/>
      <c r="HJD96" s="395"/>
      <c r="HJE96" s="395"/>
      <c r="HJF96" s="395"/>
      <c r="HJG96" s="395"/>
      <c r="HJH96" s="395"/>
      <c r="HJI96" s="395"/>
      <c r="HJJ96" s="395"/>
      <c r="HJK96" s="395"/>
      <c r="HJL96" s="395"/>
      <c r="HJM96" s="395"/>
      <c r="HJN96" s="395"/>
      <c r="HJO96" s="395"/>
      <c r="HJP96" s="395"/>
      <c r="HJQ96" s="395"/>
      <c r="HJR96" s="395"/>
      <c r="HJS96" s="395"/>
      <c r="HJT96" s="395"/>
      <c r="HJU96" s="395"/>
      <c r="HJV96" s="395"/>
      <c r="HJW96" s="395"/>
      <c r="HJX96" s="395"/>
      <c r="HJY96" s="395"/>
      <c r="HJZ96" s="395"/>
      <c r="HKA96" s="395"/>
      <c r="HKB96" s="395"/>
      <c r="HKC96" s="396"/>
      <c r="HKD96" s="394"/>
      <c r="HKE96" s="395"/>
      <c r="HKF96" s="395"/>
      <c r="HKG96" s="395"/>
      <c r="HKH96" s="395"/>
      <c r="HKI96" s="395"/>
      <c r="HKJ96" s="395"/>
      <c r="HKK96" s="395"/>
      <c r="HKL96" s="395"/>
      <c r="HKM96" s="395"/>
      <c r="HKN96" s="395"/>
      <c r="HKO96" s="395"/>
      <c r="HKP96" s="395"/>
      <c r="HKQ96" s="395"/>
      <c r="HKR96" s="395"/>
      <c r="HKS96" s="395"/>
      <c r="HKT96" s="395"/>
      <c r="HKU96" s="395"/>
      <c r="HKV96" s="395"/>
      <c r="HKW96" s="395"/>
      <c r="HKX96" s="395"/>
      <c r="HKY96" s="395"/>
      <c r="HKZ96" s="395"/>
      <c r="HLA96" s="395"/>
      <c r="HLB96" s="395"/>
      <c r="HLC96" s="395"/>
      <c r="HLD96" s="396"/>
      <c r="HLE96" s="394"/>
      <c r="HLF96" s="395"/>
      <c r="HLG96" s="395"/>
      <c r="HLH96" s="395"/>
      <c r="HLI96" s="395"/>
      <c r="HLJ96" s="395"/>
      <c r="HLK96" s="395"/>
      <c r="HLL96" s="395"/>
      <c r="HLM96" s="395"/>
      <c r="HLN96" s="395"/>
      <c r="HLO96" s="395"/>
      <c r="HLP96" s="395"/>
      <c r="HLQ96" s="395"/>
      <c r="HLR96" s="395"/>
      <c r="HLS96" s="395"/>
      <c r="HLT96" s="395"/>
      <c r="HLU96" s="395"/>
      <c r="HLV96" s="395"/>
      <c r="HLW96" s="395"/>
      <c r="HLX96" s="395"/>
      <c r="HLY96" s="395"/>
      <c r="HLZ96" s="395"/>
      <c r="HMA96" s="395"/>
      <c r="HMB96" s="395"/>
      <c r="HMC96" s="395"/>
      <c r="HMD96" s="395"/>
      <c r="HME96" s="396"/>
      <c r="HMF96" s="394"/>
      <c r="HMG96" s="395"/>
      <c r="HMH96" s="395"/>
      <c r="HMI96" s="395"/>
      <c r="HMJ96" s="395"/>
      <c r="HMK96" s="395"/>
      <c r="HML96" s="395"/>
      <c r="HMM96" s="395"/>
      <c r="HMN96" s="395"/>
      <c r="HMO96" s="395"/>
      <c r="HMP96" s="395"/>
      <c r="HMQ96" s="395"/>
      <c r="HMR96" s="395"/>
      <c r="HMS96" s="395"/>
      <c r="HMT96" s="395"/>
      <c r="HMU96" s="395"/>
      <c r="HMV96" s="395"/>
      <c r="HMW96" s="395"/>
      <c r="HMX96" s="395"/>
      <c r="HMY96" s="395"/>
      <c r="HMZ96" s="395"/>
      <c r="HNA96" s="395"/>
      <c r="HNB96" s="395"/>
      <c r="HNC96" s="395"/>
      <c r="HND96" s="395"/>
      <c r="HNE96" s="395"/>
      <c r="HNF96" s="396"/>
      <c r="HNG96" s="394"/>
      <c r="HNH96" s="395"/>
      <c r="HNI96" s="395"/>
      <c r="HNJ96" s="395"/>
      <c r="HNK96" s="395"/>
      <c r="HNL96" s="395"/>
      <c r="HNM96" s="395"/>
      <c r="HNN96" s="395"/>
      <c r="HNO96" s="395"/>
      <c r="HNP96" s="395"/>
      <c r="HNQ96" s="395"/>
      <c r="HNR96" s="395"/>
      <c r="HNS96" s="395"/>
      <c r="HNT96" s="395"/>
      <c r="HNU96" s="395"/>
      <c r="HNV96" s="395"/>
      <c r="HNW96" s="395"/>
      <c r="HNX96" s="395"/>
      <c r="HNY96" s="395"/>
      <c r="HNZ96" s="395"/>
      <c r="HOA96" s="395"/>
      <c r="HOB96" s="395"/>
      <c r="HOC96" s="395"/>
      <c r="HOD96" s="395"/>
      <c r="HOE96" s="395"/>
      <c r="HOF96" s="395"/>
      <c r="HOG96" s="396"/>
      <c r="HOH96" s="394"/>
      <c r="HOI96" s="395"/>
      <c r="HOJ96" s="395"/>
      <c r="HOK96" s="395"/>
      <c r="HOL96" s="395"/>
      <c r="HOM96" s="395"/>
      <c r="HON96" s="395"/>
      <c r="HOO96" s="395"/>
      <c r="HOP96" s="395"/>
      <c r="HOQ96" s="395"/>
      <c r="HOR96" s="395"/>
      <c r="HOS96" s="395"/>
      <c r="HOT96" s="395"/>
      <c r="HOU96" s="395"/>
      <c r="HOV96" s="395"/>
      <c r="HOW96" s="395"/>
      <c r="HOX96" s="395"/>
      <c r="HOY96" s="395"/>
      <c r="HOZ96" s="395"/>
      <c r="HPA96" s="395"/>
      <c r="HPB96" s="395"/>
      <c r="HPC96" s="395"/>
      <c r="HPD96" s="395"/>
      <c r="HPE96" s="395"/>
      <c r="HPF96" s="395"/>
      <c r="HPG96" s="395"/>
      <c r="HPH96" s="396"/>
      <c r="HPI96" s="394"/>
      <c r="HPJ96" s="395"/>
      <c r="HPK96" s="395"/>
      <c r="HPL96" s="395"/>
      <c r="HPM96" s="395"/>
      <c r="HPN96" s="395"/>
      <c r="HPO96" s="395"/>
      <c r="HPP96" s="395"/>
      <c r="HPQ96" s="395"/>
      <c r="HPR96" s="395"/>
      <c r="HPS96" s="395"/>
      <c r="HPT96" s="395"/>
      <c r="HPU96" s="395"/>
      <c r="HPV96" s="395"/>
      <c r="HPW96" s="395"/>
      <c r="HPX96" s="395"/>
      <c r="HPY96" s="395"/>
      <c r="HPZ96" s="395"/>
      <c r="HQA96" s="395"/>
      <c r="HQB96" s="395"/>
      <c r="HQC96" s="395"/>
      <c r="HQD96" s="395"/>
      <c r="HQE96" s="395"/>
      <c r="HQF96" s="395"/>
      <c r="HQG96" s="395"/>
      <c r="HQH96" s="395"/>
      <c r="HQI96" s="396"/>
      <c r="HQJ96" s="394"/>
      <c r="HQK96" s="395"/>
      <c r="HQL96" s="395"/>
      <c r="HQM96" s="395"/>
      <c r="HQN96" s="395"/>
      <c r="HQO96" s="395"/>
      <c r="HQP96" s="395"/>
      <c r="HQQ96" s="395"/>
      <c r="HQR96" s="395"/>
      <c r="HQS96" s="395"/>
      <c r="HQT96" s="395"/>
      <c r="HQU96" s="395"/>
      <c r="HQV96" s="395"/>
      <c r="HQW96" s="395"/>
      <c r="HQX96" s="395"/>
      <c r="HQY96" s="395"/>
      <c r="HQZ96" s="395"/>
      <c r="HRA96" s="395"/>
      <c r="HRB96" s="395"/>
      <c r="HRC96" s="395"/>
      <c r="HRD96" s="395"/>
      <c r="HRE96" s="395"/>
      <c r="HRF96" s="395"/>
      <c r="HRG96" s="395"/>
      <c r="HRH96" s="395"/>
      <c r="HRI96" s="395"/>
      <c r="HRJ96" s="396"/>
      <c r="HRK96" s="394"/>
      <c r="HRL96" s="395"/>
      <c r="HRM96" s="395"/>
      <c r="HRN96" s="395"/>
      <c r="HRO96" s="395"/>
      <c r="HRP96" s="395"/>
      <c r="HRQ96" s="395"/>
      <c r="HRR96" s="395"/>
      <c r="HRS96" s="395"/>
      <c r="HRT96" s="395"/>
      <c r="HRU96" s="395"/>
      <c r="HRV96" s="395"/>
      <c r="HRW96" s="395"/>
      <c r="HRX96" s="395"/>
      <c r="HRY96" s="395"/>
      <c r="HRZ96" s="395"/>
      <c r="HSA96" s="395"/>
      <c r="HSB96" s="395"/>
      <c r="HSC96" s="395"/>
      <c r="HSD96" s="395"/>
      <c r="HSE96" s="395"/>
      <c r="HSF96" s="395"/>
      <c r="HSG96" s="395"/>
      <c r="HSH96" s="395"/>
      <c r="HSI96" s="395"/>
      <c r="HSJ96" s="395"/>
      <c r="HSK96" s="396"/>
      <c r="HSL96" s="394"/>
      <c r="HSM96" s="395"/>
      <c r="HSN96" s="395"/>
      <c r="HSO96" s="395"/>
      <c r="HSP96" s="395"/>
      <c r="HSQ96" s="395"/>
      <c r="HSR96" s="395"/>
      <c r="HSS96" s="395"/>
      <c r="HST96" s="395"/>
      <c r="HSU96" s="395"/>
      <c r="HSV96" s="395"/>
      <c r="HSW96" s="395"/>
      <c r="HSX96" s="395"/>
      <c r="HSY96" s="395"/>
      <c r="HSZ96" s="395"/>
      <c r="HTA96" s="395"/>
      <c r="HTB96" s="395"/>
      <c r="HTC96" s="395"/>
      <c r="HTD96" s="395"/>
      <c r="HTE96" s="395"/>
      <c r="HTF96" s="395"/>
      <c r="HTG96" s="395"/>
      <c r="HTH96" s="395"/>
      <c r="HTI96" s="395"/>
      <c r="HTJ96" s="395"/>
      <c r="HTK96" s="395"/>
      <c r="HTL96" s="396"/>
      <c r="HTM96" s="394"/>
      <c r="HTN96" s="395"/>
      <c r="HTO96" s="395"/>
      <c r="HTP96" s="395"/>
      <c r="HTQ96" s="395"/>
      <c r="HTR96" s="395"/>
      <c r="HTS96" s="395"/>
      <c r="HTT96" s="395"/>
      <c r="HTU96" s="395"/>
      <c r="HTV96" s="395"/>
      <c r="HTW96" s="395"/>
      <c r="HTX96" s="395"/>
      <c r="HTY96" s="395"/>
      <c r="HTZ96" s="395"/>
      <c r="HUA96" s="395"/>
      <c r="HUB96" s="395"/>
      <c r="HUC96" s="395"/>
      <c r="HUD96" s="395"/>
      <c r="HUE96" s="395"/>
      <c r="HUF96" s="395"/>
      <c r="HUG96" s="395"/>
      <c r="HUH96" s="395"/>
      <c r="HUI96" s="395"/>
      <c r="HUJ96" s="395"/>
      <c r="HUK96" s="395"/>
      <c r="HUL96" s="395"/>
      <c r="HUM96" s="396"/>
      <c r="HUN96" s="394"/>
      <c r="HUO96" s="395"/>
      <c r="HUP96" s="395"/>
      <c r="HUQ96" s="395"/>
      <c r="HUR96" s="395"/>
      <c r="HUS96" s="395"/>
      <c r="HUT96" s="395"/>
      <c r="HUU96" s="395"/>
      <c r="HUV96" s="395"/>
      <c r="HUW96" s="395"/>
      <c r="HUX96" s="395"/>
      <c r="HUY96" s="395"/>
      <c r="HUZ96" s="395"/>
      <c r="HVA96" s="395"/>
      <c r="HVB96" s="395"/>
      <c r="HVC96" s="395"/>
      <c r="HVD96" s="395"/>
      <c r="HVE96" s="395"/>
      <c r="HVF96" s="395"/>
      <c r="HVG96" s="395"/>
      <c r="HVH96" s="395"/>
      <c r="HVI96" s="395"/>
      <c r="HVJ96" s="395"/>
      <c r="HVK96" s="395"/>
      <c r="HVL96" s="395"/>
      <c r="HVM96" s="395"/>
      <c r="HVN96" s="396"/>
      <c r="HVO96" s="394"/>
      <c r="HVP96" s="395"/>
      <c r="HVQ96" s="395"/>
      <c r="HVR96" s="395"/>
      <c r="HVS96" s="395"/>
      <c r="HVT96" s="395"/>
      <c r="HVU96" s="395"/>
      <c r="HVV96" s="395"/>
      <c r="HVW96" s="395"/>
      <c r="HVX96" s="395"/>
      <c r="HVY96" s="395"/>
      <c r="HVZ96" s="395"/>
      <c r="HWA96" s="395"/>
      <c r="HWB96" s="395"/>
      <c r="HWC96" s="395"/>
      <c r="HWD96" s="395"/>
      <c r="HWE96" s="395"/>
      <c r="HWF96" s="395"/>
      <c r="HWG96" s="395"/>
      <c r="HWH96" s="395"/>
      <c r="HWI96" s="395"/>
      <c r="HWJ96" s="395"/>
      <c r="HWK96" s="395"/>
      <c r="HWL96" s="395"/>
      <c r="HWM96" s="395"/>
      <c r="HWN96" s="395"/>
      <c r="HWO96" s="396"/>
      <c r="HWP96" s="394"/>
      <c r="HWQ96" s="395"/>
      <c r="HWR96" s="395"/>
      <c r="HWS96" s="395"/>
      <c r="HWT96" s="395"/>
      <c r="HWU96" s="395"/>
      <c r="HWV96" s="395"/>
      <c r="HWW96" s="395"/>
      <c r="HWX96" s="395"/>
      <c r="HWY96" s="395"/>
      <c r="HWZ96" s="395"/>
      <c r="HXA96" s="395"/>
      <c r="HXB96" s="395"/>
      <c r="HXC96" s="395"/>
      <c r="HXD96" s="395"/>
      <c r="HXE96" s="395"/>
      <c r="HXF96" s="395"/>
      <c r="HXG96" s="395"/>
      <c r="HXH96" s="395"/>
      <c r="HXI96" s="395"/>
      <c r="HXJ96" s="395"/>
      <c r="HXK96" s="395"/>
      <c r="HXL96" s="395"/>
      <c r="HXM96" s="395"/>
      <c r="HXN96" s="395"/>
      <c r="HXO96" s="395"/>
      <c r="HXP96" s="396"/>
      <c r="HXQ96" s="394"/>
      <c r="HXR96" s="395"/>
      <c r="HXS96" s="395"/>
      <c r="HXT96" s="395"/>
      <c r="HXU96" s="395"/>
      <c r="HXV96" s="395"/>
      <c r="HXW96" s="395"/>
      <c r="HXX96" s="395"/>
      <c r="HXY96" s="395"/>
      <c r="HXZ96" s="395"/>
      <c r="HYA96" s="395"/>
      <c r="HYB96" s="395"/>
      <c r="HYC96" s="395"/>
      <c r="HYD96" s="395"/>
      <c r="HYE96" s="395"/>
      <c r="HYF96" s="395"/>
      <c r="HYG96" s="395"/>
      <c r="HYH96" s="395"/>
      <c r="HYI96" s="395"/>
      <c r="HYJ96" s="395"/>
      <c r="HYK96" s="395"/>
      <c r="HYL96" s="395"/>
      <c r="HYM96" s="395"/>
      <c r="HYN96" s="395"/>
      <c r="HYO96" s="395"/>
      <c r="HYP96" s="395"/>
      <c r="HYQ96" s="396"/>
      <c r="HYR96" s="394"/>
      <c r="HYS96" s="395"/>
      <c r="HYT96" s="395"/>
      <c r="HYU96" s="395"/>
      <c r="HYV96" s="395"/>
      <c r="HYW96" s="395"/>
      <c r="HYX96" s="395"/>
      <c r="HYY96" s="395"/>
      <c r="HYZ96" s="395"/>
      <c r="HZA96" s="395"/>
      <c r="HZB96" s="395"/>
      <c r="HZC96" s="395"/>
      <c r="HZD96" s="395"/>
      <c r="HZE96" s="395"/>
      <c r="HZF96" s="395"/>
      <c r="HZG96" s="395"/>
      <c r="HZH96" s="395"/>
      <c r="HZI96" s="395"/>
      <c r="HZJ96" s="395"/>
      <c r="HZK96" s="395"/>
      <c r="HZL96" s="395"/>
      <c r="HZM96" s="395"/>
      <c r="HZN96" s="395"/>
      <c r="HZO96" s="395"/>
      <c r="HZP96" s="395"/>
      <c r="HZQ96" s="395"/>
      <c r="HZR96" s="396"/>
      <c r="HZS96" s="394"/>
      <c r="HZT96" s="395"/>
      <c r="HZU96" s="395"/>
      <c r="HZV96" s="395"/>
      <c r="HZW96" s="395"/>
      <c r="HZX96" s="395"/>
      <c r="HZY96" s="395"/>
      <c r="HZZ96" s="395"/>
      <c r="IAA96" s="395"/>
      <c r="IAB96" s="395"/>
      <c r="IAC96" s="395"/>
      <c r="IAD96" s="395"/>
      <c r="IAE96" s="395"/>
      <c r="IAF96" s="395"/>
      <c r="IAG96" s="395"/>
      <c r="IAH96" s="395"/>
      <c r="IAI96" s="395"/>
      <c r="IAJ96" s="395"/>
      <c r="IAK96" s="395"/>
      <c r="IAL96" s="395"/>
      <c r="IAM96" s="395"/>
      <c r="IAN96" s="395"/>
      <c r="IAO96" s="395"/>
      <c r="IAP96" s="395"/>
      <c r="IAQ96" s="395"/>
      <c r="IAR96" s="395"/>
      <c r="IAS96" s="396"/>
      <c r="IAT96" s="394"/>
      <c r="IAU96" s="395"/>
      <c r="IAV96" s="395"/>
      <c r="IAW96" s="395"/>
      <c r="IAX96" s="395"/>
      <c r="IAY96" s="395"/>
      <c r="IAZ96" s="395"/>
      <c r="IBA96" s="395"/>
      <c r="IBB96" s="395"/>
      <c r="IBC96" s="395"/>
      <c r="IBD96" s="395"/>
      <c r="IBE96" s="395"/>
      <c r="IBF96" s="395"/>
      <c r="IBG96" s="395"/>
      <c r="IBH96" s="395"/>
      <c r="IBI96" s="395"/>
      <c r="IBJ96" s="395"/>
      <c r="IBK96" s="395"/>
      <c r="IBL96" s="395"/>
      <c r="IBM96" s="395"/>
      <c r="IBN96" s="395"/>
      <c r="IBO96" s="395"/>
      <c r="IBP96" s="395"/>
      <c r="IBQ96" s="395"/>
      <c r="IBR96" s="395"/>
      <c r="IBS96" s="395"/>
      <c r="IBT96" s="396"/>
      <c r="IBU96" s="394"/>
      <c r="IBV96" s="395"/>
      <c r="IBW96" s="395"/>
      <c r="IBX96" s="395"/>
      <c r="IBY96" s="395"/>
      <c r="IBZ96" s="395"/>
      <c r="ICA96" s="395"/>
      <c r="ICB96" s="395"/>
      <c r="ICC96" s="395"/>
      <c r="ICD96" s="395"/>
      <c r="ICE96" s="395"/>
      <c r="ICF96" s="395"/>
      <c r="ICG96" s="395"/>
      <c r="ICH96" s="395"/>
      <c r="ICI96" s="395"/>
      <c r="ICJ96" s="395"/>
      <c r="ICK96" s="395"/>
      <c r="ICL96" s="395"/>
      <c r="ICM96" s="395"/>
      <c r="ICN96" s="395"/>
      <c r="ICO96" s="395"/>
      <c r="ICP96" s="395"/>
      <c r="ICQ96" s="395"/>
      <c r="ICR96" s="395"/>
      <c r="ICS96" s="395"/>
      <c r="ICT96" s="395"/>
      <c r="ICU96" s="396"/>
      <c r="ICV96" s="394"/>
      <c r="ICW96" s="395"/>
      <c r="ICX96" s="395"/>
      <c r="ICY96" s="395"/>
      <c r="ICZ96" s="395"/>
      <c r="IDA96" s="395"/>
      <c r="IDB96" s="395"/>
      <c r="IDC96" s="395"/>
      <c r="IDD96" s="395"/>
      <c r="IDE96" s="395"/>
      <c r="IDF96" s="395"/>
      <c r="IDG96" s="395"/>
      <c r="IDH96" s="395"/>
      <c r="IDI96" s="395"/>
      <c r="IDJ96" s="395"/>
      <c r="IDK96" s="395"/>
      <c r="IDL96" s="395"/>
      <c r="IDM96" s="395"/>
      <c r="IDN96" s="395"/>
      <c r="IDO96" s="395"/>
      <c r="IDP96" s="395"/>
      <c r="IDQ96" s="395"/>
      <c r="IDR96" s="395"/>
      <c r="IDS96" s="395"/>
      <c r="IDT96" s="395"/>
      <c r="IDU96" s="395"/>
      <c r="IDV96" s="396"/>
      <c r="IDW96" s="394"/>
      <c r="IDX96" s="395"/>
      <c r="IDY96" s="395"/>
      <c r="IDZ96" s="395"/>
      <c r="IEA96" s="395"/>
      <c r="IEB96" s="395"/>
      <c r="IEC96" s="395"/>
      <c r="IED96" s="395"/>
      <c r="IEE96" s="395"/>
      <c r="IEF96" s="395"/>
      <c r="IEG96" s="395"/>
      <c r="IEH96" s="395"/>
      <c r="IEI96" s="395"/>
      <c r="IEJ96" s="395"/>
      <c r="IEK96" s="395"/>
      <c r="IEL96" s="395"/>
      <c r="IEM96" s="395"/>
      <c r="IEN96" s="395"/>
      <c r="IEO96" s="395"/>
      <c r="IEP96" s="395"/>
      <c r="IEQ96" s="395"/>
      <c r="IER96" s="395"/>
      <c r="IES96" s="395"/>
      <c r="IET96" s="395"/>
      <c r="IEU96" s="395"/>
      <c r="IEV96" s="395"/>
      <c r="IEW96" s="396"/>
      <c r="IEX96" s="394"/>
      <c r="IEY96" s="395"/>
      <c r="IEZ96" s="395"/>
      <c r="IFA96" s="395"/>
      <c r="IFB96" s="395"/>
      <c r="IFC96" s="395"/>
      <c r="IFD96" s="395"/>
      <c r="IFE96" s="395"/>
      <c r="IFF96" s="395"/>
      <c r="IFG96" s="395"/>
      <c r="IFH96" s="395"/>
      <c r="IFI96" s="395"/>
      <c r="IFJ96" s="395"/>
      <c r="IFK96" s="395"/>
      <c r="IFL96" s="395"/>
      <c r="IFM96" s="395"/>
      <c r="IFN96" s="395"/>
      <c r="IFO96" s="395"/>
      <c r="IFP96" s="395"/>
      <c r="IFQ96" s="395"/>
      <c r="IFR96" s="395"/>
      <c r="IFS96" s="395"/>
      <c r="IFT96" s="395"/>
      <c r="IFU96" s="395"/>
      <c r="IFV96" s="395"/>
      <c r="IFW96" s="395"/>
      <c r="IFX96" s="396"/>
      <c r="IFY96" s="394"/>
      <c r="IFZ96" s="395"/>
      <c r="IGA96" s="395"/>
      <c r="IGB96" s="395"/>
      <c r="IGC96" s="395"/>
      <c r="IGD96" s="395"/>
      <c r="IGE96" s="395"/>
      <c r="IGF96" s="395"/>
      <c r="IGG96" s="395"/>
      <c r="IGH96" s="395"/>
      <c r="IGI96" s="395"/>
      <c r="IGJ96" s="395"/>
      <c r="IGK96" s="395"/>
      <c r="IGL96" s="395"/>
      <c r="IGM96" s="395"/>
      <c r="IGN96" s="395"/>
      <c r="IGO96" s="395"/>
      <c r="IGP96" s="395"/>
      <c r="IGQ96" s="395"/>
      <c r="IGR96" s="395"/>
      <c r="IGS96" s="395"/>
      <c r="IGT96" s="395"/>
      <c r="IGU96" s="395"/>
      <c r="IGV96" s="395"/>
      <c r="IGW96" s="395"/>
      <c r="IGX96" s="395"/>
      <c r="IGY96" s="396"/>
      <c r="IGZ96" s="394"/>
      <c r="IHA96" s="395"/>
      <c r="IHB96" s="395"/>
      <c r="IHC96" s="395"/>
      <c r="IHD96" s="395"/>
      <c r="IHE96" s="395"/>
      <c r="IHF96" s="395"/>
      <c r="IHG96" s="395"/>
      <c r="IHH96" s="395"/>
      <c r="IHI96" s="395"/>
      <c r="IHJ96" s="395"/>
      <c r="IHK96" s="395"/>
      <c r="IHL96" s="395"/>
      <c r="IHM96" s="395"/>
      <c r="IHN96" s="395"/>
      <c r="IHO96" s="395"/>
      <c r="IHP96" s="395"/>
      <c r="IHQ96" s="395"/>
      <c r="IHR96" s="395"/>
      <c r="IHS96" s="395"/>
      <c r="IHT96" s="395"/>
      <c r="IHU96" s="395"/>
      <c r="IHV96" s="395"/>
      <c r="IHW96" s="395"/>
      <c r="IHX96" s="395"/>
      <c r="IHY96" s="395"/>
      <c r="IHZ96" s="396"/>
      <c r="IIA96" s="394"/>
      <c r="IIB96" s="395"/>
      <c r="IIC96" s="395"/>
      <c r="IID96" s="395"/>
      <c r="IIE96" s="395"/>
      <c r="IIF96" s="395"/>
      <c r="IIG96" s="395"/>
      <c r="IIH96" s="395"/>
      <c r="III96" s="395"/>
      <c r="IIJ96" s="395"/>
      <c r="IIK96" s="395"/>
      <c r="IIL96" s="395"/>
      <c r="IIM96" s="395"/>
      <c r="IIN96" s="395"/>
      <c r="IIO96" s="395"/>
      <c r="IIP96" s="395"/>
      <c r="IIQ96" s="395"/>
      <c r="IIR96" s="395"/>
      <c r="IIS96" s="395"/>
      <c r="IIT96" s="395"/>
      <c r="IIU96" s="395"/>
      <c r="IIV96" s="395"/>
      <c r="IIW96" s="395"/>
      <c r="IIX96" s="395"/>
      <c r="IIY96" s="395"/>
      <c r="IIZ96" s="395"/>
      <c r="IJA96" s="396"/>
      <c r="IJB96" s="394"/>
      <c r="IJC96" s="395"/>
      <c r="IJD96" s="395"/>
      <c r="IJE96" s="395"/>
      <c r="IJF96" s="395"/>
      <c r="IJG96" s="395"/>
      <c r="IJH96" s="395"/>
      <c r="IJI96" s="395"/>
      <c r="IJJ96" s="395"/>
      <c r="IJK96" s="395"/>
      <c r="IJL96" s="395"/>
      <c r="IJM96" s="395"/>
      <c r="IJN96" s="395"/>
      <c r="IJO96" s="395"/>
      <c r="IJP96" s="395"/>
      <c r="IJQ96" s="395"/>
      <c r="IJR96" s="395"/>
      <c r="IJS96" s="395"/>
      <c r="IJT96" s="395"/>
      <c r="IJU96" s="395"/>
      <c r="IJV96" s="395"/>
      <c r="IJW96" s="395"/>
      <c r="IJX96" s="395"/>
      <c r="IJY96" s="395"/>
      <c r="IJZ96" s="395"/>
      <c r="IKA96" s="395"/>
      <c r="IKB96" s="396"/>
      <c r="IKC96" s="394"/>
      <c r="IKD96" s="395"/>
      <c r="IKE96" s="395"/>
      <c r="IKF96" s="395"/>
      <c r="IKG96" s="395"/>
      <c r="IKH96" s="395"/>
      <c r="IKI96" s="395"/>
      <c r="IKJ96" s="395"/>
      <c r="IKK96" s="395"/>
      <c r="IKL96" s="395"/>
      <c r="IKM96" s="395"/>
      <c r="IKN96" s="395"/>
      <c r="IKO96" s="395"/>
      <c r="IKP96" s="395"/>
      <c r="IKQ96" s="395"/>
      <c r="IKR96" s="395"/>
      <c r="IKS96" s="395"/>
      <c r="IKT96" s="395"/>
      <c r="IKU96" s="395"/>
      <c r="IKV96" s="395"/>
      <c r="IKW96" s="395"/>
      <c r="IKX96" s="395"/>
      <c r="IKY96" s="395"/>
      <c r="IKZ96" s="395"/>
      <c r="ILA96" s="395"/>
      <c r="ILB96" s="395"/>
      <c r="ILC96" s="396"/>
      <c r="ILD96" s="394"/>
      <c r="ILE96" s="395"/>
      <c r="ILF96" s="395"/>
      <c r="ILG96" s="395"/>
      <c r="ILH96" s="395"/>
      <c r="ILI96" s="395"/>
      <c r="ILJ96" s="395"/>
      <c r="ILK96" s="395"/>
      <c r="ILL96" s="395"/>
      <c r="ILM96" s="395"/>
      <c r="ILN96" s="395"/>
      <c r="ILO96" s="395"/>
      <c r="ILP96" s="395"/>
      <c r="ILQ96" s="395"/>
      <c r="ILR96" s="395"/>
      <c r="ILS96" s="395"/>
      <c r="ILT96" s="395"/>
      <c r="ILU96" s="395"/>
      <c r="ILV96" s="395"/>
      <c r="ILW96" s="395"/>
      <c r="ILX96" s="395"/>
      <c r="ILY96" s="395"/>
      <c r="ILZ96" s="395"/>
      <c r="IMA96" s="395"/>
      <c r="IMB96" s="395"/>
      <c r="IMC96" s="395"/>
      <c r="IMD96" s="396"/>
      <c r="IME96" s="394"/>
      <c r="IMF96" s="395"/>
      <c r="IMG96" s="395"/>
      <c r="IMH96" s="395"/>
      <c r="IMI96" s="395"/>
      <c r="IMJ96" s="395"/>
      <c r="IMK96" s="395"/>
      <c r="IML96" s="395"/>
      <c r="IMM96" s="395"/>
      <c r="IMN96" s="395"/>
      <c r="IMO96" s="395"/>
      <c r="IMP96" s="395"/>
      <c r="IMQ96" s="395"/>
      <c r="IMR96" s="395"/>
      <c r="IMS96" s="395"/>
      <c r="IMT96" s="395"/>
      <c r="IMU96" s="395"/>
      <c r="IMV96" s="395"/>
      <c r="IMW96" s="395"/>
      <c r="IMX96" s="395"/>
      <c r="IMY96" s="395"/>
      <c r="IMZ96" s="395"/>
      <c r="INA96" s="395"/>
      <c r="INB96" s="395"/>
      <c r="INC96" s="395"/>
      <c r="IND96" s="395"/>
      <c r="INE96" s="396"/>
      <c r="INF96" s="394"/>
      <c r="ING96" s="395"/>
      <c r="INH96" s="395"/>
      <c r="INI96" s="395"/>
      <c r="INJ96" s="395"/>
      <c r="INK96" s="395"/>
      <c r="INL96" s="395"/>
      <c r="INM96" s="395"/>
      <c r="INN96" s="395"/>
      <c r="INO96" s="395"/>
      <c r="INP96" s="395"/>
      <c r="INQ96" s="395"/>
      <c r="INR96" s="395"/>
      <c r="INS96" s="395"/>
      <c r="INT96" s="395"/>
      <c r="INU96" s="395"/>
      <c r="INV96" s="395"/>
      <c r="INW96" s="395"/>
      <c r="INX96" s="395"/>
      <c r="INY96" s="395"/>
      <c r="INZ96" s="395"/>
      <c r="IOA96" s="395"/>
      <c r="IOB96" s="395"/>
      <c r="IOC96" s="395"/>
      <c r="IOD96" s="395"/>
      <c r="IOE96" s="395"/>
      <c r="IOF96" s="396"/>
      <c r="IOG96" s="394"/>
      <c r="IOH96" s="395"/>
      <c r="IOI96" s="395"/>
      <c r="IOJ96" s="395"/>
      <c r="IOK96" s="395"/>
      <c r="IOL96" s="395"/>
      <c r="IOM96" s="395"/>
      <c r="ION96" s="395"/>
      <c r="IOO96" s="395"/>
      <c r="IOP96" s="395"/>
      <c r="IOQ96" s="395"/>
      <c r="IOR96" s="395"/>
      <c r="IOS96" s="395"/>
      <c r="IOT96" s="395"/>
      <c r="IOU96" s="395"/>
      <c r="IOV96" s="395"/>
      <c r="IOW96" s="395"/>
      <c r="IOX96" s="395"/>
      <c r="IOY96" s="395"/>
      <c r="IOZ96" s="395"/>
      <c r="IPA96" s="395"/>
      <c r="IPB96" s="395"/>
      <c r="IPC96" s="395"/>
      <c r="IPD96" s="395"/>
      <c r="IPE96" s="395"/>
      <c r="IPF96" s="395"/>
      <c r="IPG96" s="396"/>
      <c r="IPH96" s="394"/>
      <c r="IPI96" s="395"/>
      <c r="IPJ96" s="395"/>
      <c r="IPK96" s="395"/>
      <c r="IPL96" s="395"/>
      <c r="IPM96" s="395"/>
      <c r="IPN96" s="395"/>
      <c r="IPO96" s="395"/>
      <c r="IPP96" s="395"/>
      <c r="IPQ96" s="395"/>
      <c r="IPR96" s="395"/>
      <c r="IPS96" s="395"/>
      <c r="IPT96" s="395"/>
      <c r="IPU96" s="395"/>
      <c r="IPV96" s="395"/>
      <c r="IPW96" s="395"/>
      <c r="IPX96" s="395"/>
      <c r="IPY96" s="395"/>
      <c r="IPZ96" s="395"/>
      <c r="IQA96" s="395"/>
      <c r="IQB96" s="395"/>
      <c r="IQC96" s="395"/>
      <c r="IQD96" s="395"/>
      <c r="IQE96" s="395"/>
      <c r="IQF96" s="395"/>
      <c r="IQG96" s="395"/>
      <c r="IQH96" s="396"/>
      <c r="IQI96" s="394"/>
      <c r="IQJ96" s="395"/>
      <c r="IQK96" s="395"/>
      <c r="IQL96" s="395"/>
      <c r="IQM96" s="395"/>
      <c r="IQN96" s="395"/>
      <c r="IQO96" s="395"/>
      <c r="IQP96" s="395"/>
      <c r="IQQ96" s="395"/>
      <c r="IQR96" s="395"/>
      <c r="IQS96" s="395"/>
      <c r="IQT96" s="395"/>
      <c r="IQU96" s="395"/>
      <c r="IQV96" s="395"/>
      <c r="IQW96" s="395"/>
      <c r="IQX96" s="395"/>
      <c r="IQY96" s="395"/>
      <c r="IQZ96" s="395"/>
      <c r="IRA96" s="395"/>
      <c r="IRB96" s="395"/>
      <c r="IRC96" s="395"/>
      <c r="IRD96" s="395"/>
      <c r="IRE96" s="395"/>
      <c r="IRF96" s="395"/>
      <c r="IRG96" s="395"/>
      <c r="IRH96" s="395"/>
      <c r="IRI96" s="396"/>
      <c r="IRJ96" s="394"/>
      <c r="IRK96" s="395"/>
      <c r="IRL96" s="395"/>
      <c r="IRM96" s="395"/>
      <c r="IRN96" s="395"/>
      <c r="IRO96" s="395"/>
      <c r="IRP96" s="395"/>
      <c r="IRQ96" s="395"/>
      <c r="IRR96" s="395"/>
      <c r="IRS96" s="395"/>
      <c r="IRT96" s="395"/>
      <c r="IRU96" s="395"/>
      <c r="IRV96" s="395"/>
      <c r="IRW96" s="395"/>
      <c r="IRX96" s="395"/>
      <c r="IRY96" s="395"/>
      <c r="IRZ96" s="395"/>
      <c r="ISA96" s="395"/>
      <c r="ISB96" s="395"/>
      <c r="ISC96" s="395"/>
      <c r="ISD96" s="395"/>
      <c r="ISE96" s="395"/>
      <c r="ISF96" s="395"/>
      <c r="ISG96" s="395"/>
      <c r="ISH96" s="395"/>
      <c r="ISI96" s="395"/>
      <c r="ISJ96" s="396"/>
      <c r="ISK96" s="394"/>
      <c r="ISL96" s="395"/>
      <c r="ISM96" s="395"/>
      <c r="ISN96" s="395"/>
      <c r="ISO96" s="395"/>
      <c r="ISP96" s="395"/>
      <c r="ISQ96" s="395"/>
      <c r="ISR96" s="395"/>
      <c r="ISS96" s="395"/>
      <c r="IST96" s="395"/>
      <c r="ISU96" s="395"/>
      <c r="ISV96" s="395"/>
      <c r="ISW96" s="395"/>
      <c r="ISX96" s="395"/>
      <c r="ISY96" s="395"/>
      <c r="ISZ96" s="395"/>
      <c r="ITA96" s="395"/>
      <c r="ITB96" s="395"/>
      <c r="ITC96" s="395"/>
      <c r="ITD96" s="395"/>
      <c r="ITE96" s="395"/>
      <c r="ITF96" s="395"/>
      <c r="ITG96" s="395"/>
      <c r="ITH96" s="395"/>
      <c r="ITI96" s="395"/>
      <c r="ITJ96" s="395"/>
      <c r="ITK96" s="396"/>
      <c r="ITL96" s="394"/>
      <c r="ITM96" s="395"/>
      <c r="ITN96" s="395"/>
      <c r="ITO96" s="395"/>
      <c r="ITP96" s="395"/>
      <c r="ITQ96" s="395"/>
      <c r="ITR96" s="395"/>
      <c r="ITS96" s="395"/>
      <c r="ITT96" s="395"/>
      <c r="ITU96" s="395"/>
      <c r="ITV96" s="395"/>
      <c r="ITW96" s="395"/>
      <c r="ITX96" s="395"/>
      <c r="ITY96" s="395"/>
      <c r="ITZ96" s="395"/>
      <c r="IUA96" s="395"/>
      <c r="IUB96" s="395"/>
      <c r="IUC96" s="395"/>
      <c r="IUD96" s="395"/>
      <c r="IUE96" s="395"/>
      <c r="IUF96" s="395"/>
      <c r="IUG96" s="395"/>
      <c r="IUH96" s="395"/>
      <c r="IUI96" s="395"/>
      <c r="IUJ96" s="395"/>
      <c r="IUK96" s="395"/>
      <c r="IUL96" s="396"/>
      <c r="IUM96" s="394"/>
      <c r="IUN96" s="395"/>
      <c r="IUO96" s="395"/>
      <c r="IUP96" s="395"/>
      <c r="IUQ96" s="395"/>
      <c r="IUR96" s="395"/>
      <c r="IUS96" s="395"/>
      <c r="IUT96" s="395"/>
      <c r="IUU96" s="395"/>
      <c r="IUV96" s="395"/>
      <c r="IUW96" s="395"/>
      <c r="IUX96" s="395"/>
      <c r="IUY96" s="395"/>
      <c r="IUZ96" s="395"/>
      <c r="IVA96" s="395"/>
      <c r="IVB96" s="395"/>
      <c r="IVC96" s="395"/>
      <c r="IVD96" s="395"/>
      <c r="IVE96" s="395"/>
      <c r="IVF96" s="395"/>
      <c r="IVG96" s="395"/>
      <c r="IVH96" s="395"/>
      <c r="IVI96" s="395"/>
      <c r="IVJ96" s="395"/>
      <c r="IVK96" s="395"/>
      <c r="IVL96" s="395"/>
      <c r="IVM96" s="396"/>
      <c r="IVN96" s="394"/>
      <c r="IVO96" s="395"/>
      <c r="IVP96" s="395"/>
      <c r="IVQ96" s="395"/>
      <c r="IVR96" s="395"/>
      <c r="IVS96" s="395"/>
      <c r="IVT96" s="395"/>
      <c r="IVU96" s="395"/>
      <c r="IVV96" s="395"/>
      <c r="IVW96" s="395"/>
      <c r="IVX96" s="395"/>
      <c r="IVY96" s="395"/>
      <c r="IVZ96" s="395"/>
      <c r="IWA96" s="395"/>
      <c r="IWB96" s="395"/>
      <c r="IWC96" s="395"/>
      <c r="IWD96" s="395"/>
      <c r="IWE96" s="395"/>
      <c r="IWF96" s="395"/>
      <c r="IWG96" s="395"/>
      <c r="IWH96" s="395"/>
      <c r="IWI96" s="395"/>
      <c r="IWJ96" s="395"/>
      <c r="IWK96" s="395"/>
      <c r="IWL96" s="395"/>
      <c r="IWM96" s="395"/>
      <c r="IWN96" s="396"/>
      <c r="IWO96" s="394"/>
      <c r="IWP96" s="395"/>
      <c r="IWQ96" s="395"/>
      <c r="IWR96" s="395"/>
      <c r="IWS96" s="395"/>
      <c r="IWT96" s="395"/>
      <c r="IWU96" s="395"/>
      <c r="IWV96" s="395"/>
      <c r="IWW96" s="395"/>
      <c r="IWX96" s="395"/>
      <c r="IWY96" s="395"/>
      <c r="IWZ96" s="395"/>
      <c r="IXA96" s="395"/>
      <c r="IXB96" s="395"/>
      <c r="IXC96" s="395"/>
      <c r="IXD96" s="395"/>
      <c r="IXE96" s="395"/>
      <c r="IXF96" s="395"/>
      <c r="IXG96" s="395"/>
      <c r="IXH96" s="395"/>
      <c r="IXI96" s="395"/>
      <c r="IXJ96" s="395"/>
      <c r="IXK96" s="395"/>
      <c r="IXL96" s="395"/>
      <c r="IXM96" s="395"/>
      <c r="IXN96" s="395"/>
      <c r="IXO96" s="396"/>
      <c r="IXP96" s="394"/>
      <c r="IXQ96" s="395"/>
      <c r="IXR96" s="395"/>
      <c r="IXS96" s="395"/>
      <c r="IXT96" s="395"/>
      <c r="IXU96" s="395"/>
      <c r="IXV96" s="395"/>
      <c r="IXW96" s="395"/>
      <c r="IXX96" s="395"/>
      <c r="IXY96" s="395"/>
      <c r="IXZ96" s="395"/>
      <c r="IYA96" s="395"/>
      <c r="IYB96" s="395"/>
      <c r="IYC96" s="395"/>
      <c r="IYD96" s="395"/>
      <c r="IYE96" s="395"/>
      <c r="IYF96" s="395"/>
      <c r="IYG96" s="395"/>
      <c r="IYH96" s="395"/>
      <c r="IYI96" s="395"/>
      <c r="IYJ96" s="395"/>
      <c r="IYK96" s="395"/>
      <c r="IYL96" s="395"/>
      <c r="IYM96" s="395"/>
      <c r="IYN96" s="395"/>
      <c r="IYO96" s="395"/>
      <c r="IYP96" s="396"/>
      <c r="IYQ96" s="394"/>
      <c r="IYR96" s="395"/>
      <c r="IYS96" s="395"/>
      <c r="IYT96" s="395"/>
      <c r="IYU96" s="395"/>
      <c r="IYV96" s="395"/>
      <c r="IYW96" s="395"/>
      <c r="IYX96" s="395"/>
      <c r="IYY96" s="395"/>
      <c r="IYZ96" s="395"/>
      <c r="IZA96" s="395"/>
      <c r="IZB96" s="395"/>
      <c r="IZC96" s="395"/>
      <c r="IZD96" s="395"/>
      <c r="IZE96" s="395"/>
      <c r="IZF96" s="395"/>
      <c r="IZG96" s="395"/>
      <c r="IZH96" s="395"/>
      <c r="IZI96" s="395"/>
      <c r="IZJ96" s="395"/>
      <c r="IZK96" s="395"/>
      <c r="IZL96" s="395"/>
      <c r="IZM96" s="395"/>
      <c r="IZN96" s="395"/>
      <c r="IZO96" s="395"/>
      <c r="IZP96" s="395"/>
      <c r="IZQ96" s="396"/>
      <c r="IZR96" s="394"/>
      <c r="IZS96" s="395"/>
      <c r="IZT96" s="395"/>
      <c r="IZU96" s="395"/>
      <c r="IZV96" s="395"/>
      <c r="IZW96" s="395"/>
      <c r="IZX96" s="395"/>
      <c r="IZY96" s="395"/>
      <c r="IZZ96" s="395"/>
      <c r="JAA96" s="395"/>
      <c r="JAB96" s="395"/>
      <c r="JAC96" s="395"/>
      <c r="JAD96" s="395"/>
      <c r="JAE96" s="395"/>
      <c r="JAF96" s="395"/>
      <c r="JAG96" s="395"/>
      <c r="JAH96" s="395"/>
      <c r="JAI96" s="395"/>
      <c r="JAJ96" s="395"/>
      <c r="JAK96" s="395"/>
      <c r="JAL96" s="395"/>
      <c r="JAM96" s="395"/>
      <c r="JAN96" s="395"/>
      <c r="JAO96" s="395"/>
      <c r="JAP96" s="395"/>
      <c r="JAQ96" s="395"/>
      <c r="JAR96" s="396"/>
      <c r="JAS96" s="394"/>
      <c r="JAT96" s="395"/>
      <c r="JAU96" s="395"/>
      <c r="JAV96" s="395"/>
      <c r="JAW96" s="395"/>
      <c r="JAX96" s="395"/>
      <c r="JAY96" s="395"/>
      <c r="JAZ96" s="395"/>
      <c r="JBA96" s="395"/>
      <c r="JBB96" s="395"/>
      <c r="JBC96" s="395"/>
      <c r="JBD96" s="395"/>
      <c r="JBE96" s="395"/>
      <c r="JBF96" s="395"/>
      <c r="JBG96" s="395"/>
      <c r="JBH96" s="395"/>
      <c r="JBI96" s="395"/>
      <c r="JBJ96" s="395"/>
      <c r="JBK96" s="395"/>
      <c r="JBL96" s="395"/>
      <c r="JBM96" s="395"/>
      <c r="JBN96" s="395"/>
      <c r="JBO96" s="395"/>
      <c r="JBP96" s="395"/>
      <c r="JBQ96" s="395"/>
      <c r="JBR96" s="395"/>
      <c r="JBS96" s="396"/>
      <c r="JBT96" s="394"/>
      <c r="JBU96" s="395"/>
      <c r="JBV96" s="395"/>
      <c r="JBW96" s="395"/>
      <c r="JBX96" s="395"/>
      <c r="JBY96" s="395"/>
      <c r="JBZ96" s="395"/>
      <c r="JCA96" s="395"/>
      <c r="JCB96" s="395"/>
      <c r="JCC96" s="395"/>
      <c r="JCD96" s="395"/>
      <c r="JCE96" s="395"/>
      <c r="JCF96" s="395"/>
      <c r="JCG96" s="395"/>
      <c r="JCH96" s="395"/>
      <c r="JCI96" s="395"/>
      <c r="JCJ96" s="395"/>
      <c r="JCK96" s="395"/>
      <c r="JCL96" s="395"/>
      <c r="JCM96" s="395"/>
      <c r="JCN96" s="395"/>
      <c r="JCO96" s="395"/>
      <c r="JCP96" s="395"/>
      <c r="JCQ96" s="395"/>
      <c r="JCR96" s="395"/>
      <c r="JCS96" s="395"/>
      <c r="JCT96" s="396"/>
      <c r="JCU96" s="394"/>
      <c r="JCV96" s="395"/>
      <c r="JCW96" s="395"/>
      <c r="JCX96" s="395"/>
      <c r="JCY96" s="395"/>
      <c r="JCZ96" s="395"/>
      <c r="JDA96" s="395"/>
      <c r="JDB96" s="395"/>
      <c r="JDC96" s="395"/>
      <c r="JDD96" s="395"/>
      <c r="JDE96" s="395"/>
      <c r="JDF96" s="395"/>
      <c r="JDG96" s="395"/>
      <c r="JDH96" s="395"/>
      <c r="JDI96" s="395"/>
      <c r="JDJ96" s="395"/>
      <c r="JDK96" s="395"/>
      <c r="JDL96" s="395"/>
      <c r="JDM96" s="395"/>
      <c r="JDN96" s="395"/>
      <c r="JDO96" s="395"/>
      <c r="JDP96" s="395"/>
      <c r="JDQ96" s="395"/>
      <c r="JDR96" s="395"/>
      <c r="JDS96" s="395"/>
      <c r="JDT96" s="395"/>
      <c r="JDU96" s="396"/>
      <c r="JDV96" s="394"/>
      <c r="JDW96" s="395"/>
      <c r="JDX96" s="395"/>
      <c r="JDY96" s="395"/>
      <c r="JDZ96" s="395"/>
      <c r="JEA96" s="395"/>
      <c r="JEB96" s="395"/>
      <c r="JEC96" s="395"/>
      <c r="JED96" s="395"/>
      <c r="JEE96" s="395"/>
      <c r="JEF96" s="395"/>
      <c r="JEG96" s="395"/>
      <c r="JEH96" s="395"/>
      <c r="JEI96" s="395"/>
      <c r="JEJ96" s="395"/>
      <c r="JEK96" s="395"/>
      <c r="JEL96" s="395"/>
      <c r="JEM96" s="395"/>
      <c r="JEN96" s="395"/>
      <c r="JEO96" s="395"/>
      <c r="JEP96" s="395"/>
      <c r="JEQ96" s="395"/>
      <c r="JER96" s="395"/>
      <c r="JES96" s="395"/>
      <c r="JET96" s="395"/>
      <c r="JEU96" s="395"/>
      <c r="JEV96" s="396"/>
      <c r="JEW96" s="394"/>
      <c r="JEX96" s="395"/>
      <c r="JEY96" s="395"/>
      <c r="JEZ96" s="395"/>
      <c r="JFA96" s="395"/>
      <c r="JFB96" s="395"/>
      <c r="JFC96" s="395"/>
      <c r="JFD96" s="395"/>
      <c r="JFE96" s="395"/>
      <c r="JFF96" s="395"/>
      <c r="JFG96" s="395"/>
      <c r="JFH96" s="395"/>
      <c r="JFI96" s="395"/>
      <c r="JFJ96" s="395"/>
      <c r="JFK96" s="395"/>
      <c r="JFL96" s="395"/>
      <c r="JFM96" s="395"/>
      <c r="JFN96" s="395"/>
      <c r="JFO96" s="395"/>
      <c r="JFP96" s="395"/>
      <c r="JFQ96" s="395"/>
      <c r="JFR96" s="395"/>
      <c r="JFS96" s="395"/>
      <c r="JFT96" s="395"/>
      <c r="JFU96" s="395"/>
      <c r="JFV96" s="395"/>
      <c r="JFW96" s="396"/>
      <c r="JFX96" s="394"/>
      <c r="JFY96" s="395"/>
      <c r="JFZ96" s="395"/>
      <c r="JGA96" s="395"/>
      <c r="JGB96" s="395"/>
      <c r="JGC96" s="395"/>
      <c r="JGD96" s="395"/>
      <c r="JGE96" s="395"/>
      <c r="JGF96" s="395"/>
      <c r="JGG96" s="395"/>
      <c r="JGH96" s="395"/>
      <c r="JGI96" s="395"/>
      <c r="JGJ96" s="395"/>
      <c r="JGK96" s="395"/>
      <c r="JGL96" s="395"/>
      <c r="JGM96" s="395"/>
      <c r="JGN96" s="395"/>
      <c r="JGO96" s="395"/>
      <c r="JGP96" s="395"/>
      <c r="JGQ96" s="395"/>
      <c r="JGR96" s="395"/>
      <c r="JGS96" s="395"/>
      <c r="JGT96" s="395"/>
      <c r="JGU96" s="395"/>
      <c r="JGV96" s="395"/>
      <c r="JGW96" s="395"/>
      <c r="JGX96" s="396"/>
      <c r="JGY96" s="394"/>
      <c r="JGZ96" s="395"/>
      <c r="JHA96" s="395"/>
      <c r="JHB96" s="395"/>
      <c r="JHC96" s="395"/>
      <c r="JHD96" s="395"/>
      <c r="JHE96" s="395"/>
      <c r="JHF96" s="395"/>
      <c r="JHG96" s="395"/>
      <c r="JHH96" s="395"/>
      <c r="JHI96" s="395"/>
      <c r="JHJ96" s="395"/>
      <c r="JHK96" s="395"/>
      <c r="JHL96" s="395"/>
      <c r="JHM96" s="395"/>
      <c r="JHN96" s="395"/>
      <c r="JHO96" s="395"/>
      <c r="JHP96" s="395"/>
      <c r="JHQ96" s="395"/>
      <c r="JHR96" s="395"/>
      <c r="JHS96" s="395"/>
      <c r="JHT96" s="395"/>
      <c r="JHU96" s="395"/>
      <c r="JHV96" s="395"/>
      <c r="JHW96" s="395"/>
      <c r="JHX96" s="395"/>
      <c r="JHY96" s="396"/>
      <c r="JHZ96" s="394"/>
      <c r="JIA96" s="395"/>
      <c r="JIB96" s="395"/>
      <c r="JIC96" s="395"/>
      <c r="JID96" s="395"/>
      <c r="JIE96" s="395"/>
      <c r="JIF96" s="395"/>
      <c r="JIG96" s="395"/>
      <c r="JIH96" s="395"/>
      <c r="JII96" s="395"/>
      <c r="JIJ96" s="395"/>
      <c r="JIK96" s="395"/>
      <c r="JIL96" s="395"/>
      <c r="JIM96" s="395"/>
      <c r="JIN96" s="395"/>
      <c r="JIO96" s="395"/>
      <c r="JIP96" s="395"/>
      <c r="JIQ96" s="395"/>
      <c r="JIR96" s="395"/>
      <c r="JIS96" s="395"/>
      <c r="JIT96" s="395"/>
      <c r="JIU96" s="395"/>
      <c r="JIV96" s="395"/>
      <c r="JIW96" s="395"/>
      <c r="JIX96" s="395"/>
      <c r="JIY96" s="395"/>
      <c r="JIZ96" s="396"/>
      <c r="JJA96" s="394"/>
      <c r="JJB96" s="395"/>
      <c r="JJC96" s="395"/>
      <c r="JJD96" s="395"/>
      <c r="JJE96" s="395"/>
      <c r="JJF96" s="395"/>
      <c r="JJG96" s="395"/>
      <c r="JJH96" s="395"/>
      <c r="JJI96" s="395"/>
      <c r="JJJ96" s="395"/>
      <c r="JJK96" s="395"/>
      <c r="JJL96" s="395"/>
      <c r="JJM96" s="395"/>
      <c r="JJN96" s="395"/>
      <c r="JJO96" s="395"/>
      <c r="JJP96" s="395"/>
      <c r="JJQ96" s="395"/>
      <c r="JJR96" s="395"/>
      <c r="JJS96" s="395"/>
      <c r="JJT96" s="395"/>
      <c r="JJU96" s="395"/>
      <c r="JJV96" s="395"/>
      <c r="JJW96" s="395"/>
      <c r="JJX96" s="395"/>
      <c r="JJY96" s="395"/>
      <c r="JJZ96" s="395"/>
      <c r="JKA96" s="396"/>
      <c r="JKB96" s="394"/>
      <c r="JKC96" s="395"/>
      <c r="JKD96" s="395"/>
      <c r="JKE96" s="395"/>
      <c r="JKF96" s="395"/>
      <c r="JKG96" s="395"/>
      <c r="JKH96" s="395"/>
      <c r="JKI96" s="395"/>
      <c r="JKJ96" s="395"/>
      <c r="JKK96" s="395"/>
      <c r="JKL96" s="395"/>
      <c r="JKM96" s="395"/>
      <c r="JKN96" s="395"/>
      <c r="JKO96" s="395"/>
      <c r="JKP96" s="395"/>
      <c r="JKQ96" s="395"/>
      <c r="JKR96" s="395"/>
      <c r="JKS96" s="395"/>
      <c r="JKT96" s="395"/>
      <c r="JKU96" s="395"/>
      <c r="JKV96" s="395"/>
      <c r="JKW96" s="395"/>
      <c r="JKX96" s="395"/>
      <c r="JKY96" s="395"/>
      <c r="JKZ96" s="395"/>
      <c r="JLA96" s="395"/>
      <c r="JLB96" s="396"/>
      <c r="JLC96" s="394"/>
      <c r="JLD96" s="395"/>
      <c r="JLE96" s="395"/>
      <c r="JLF96" s="395"/>
      <c r="JLG96" s="395"/>
      <c r="JLH96" s="395"/>
      <c r="JLI96" s="395"/>
      <c r="JLJ96" s="395"/>
      <c r="JLK96" s="395"/>
      <c r="JLL96" s="395"/>
      <c r="JLM96" s="395"/>
      <c r="JLN96" s="395"/>
      <c r="JLO96" s="395"/>
      <c r="JLP96" s="395"/>
      <c r="JLQ96" s="395"/>
      <c r="JLR96" s="395"/>
      <c r="JLS96" s="395"/>
      <c r="JLT96" s="395"/>
      <c r="JLU96" s="395"/>
      <c r="JLV96" s="395"/>
      <c r="JLW96" s="395"/>
      <c r="JLX96" s="395"/>
      <c r="JLY96" s="395"/>
      <c r="JLZ96" s="395"/>
      <c r="JMA96" s="395"/>
      <c r="JMB96" s="395"/>
      <c r="JMC96" s="396"/>
      <c r="JMD96" s="394"/>
      <c r="JME96" s="395"/>
      <c r="JMF96" s="395"/>
      <c r="JMG96" s="395"/>
      <c r="JMH96" s="395"/>
      <c r="JMI96" s="395"/>
      <c r="JMJ96" s="395"/>
      <c r="JMK96" s="395"/>
      <c r="JML96" s="395"/>
      <c r="JMM96" s="395"/>
      <c r="JMN96" s="395"/>
      <c r="JMO96" s="395"/>
      <c r="JMP96" s="395"/>
      <c r="JMQ96" s="395"/>
      <c r="JMR96" s="395"/>
      <c r="JMS96" s="395"/>
      <c r="JMT96" s="395"/>
      <c r="JMU96" s="395"/>
      <c r="JMV96" s="395"/>
      <c r="JMW96" s="395"/>
      <c r="JMX96" s="395"/>
      <c r="JMY96" s="395"/>
      <c r="JMZ96" s="395"/>
      <c r="JNA96" s="395"/>
      <c r="JNB96" s="395"/>
      <c r="JNC96" s="395"/>
      <c r="JND96" s="396"/>
      <c r="JNE96" s="394"/>
      <c r="JNF96" s="395"/>
      <c r="JNG96" s="395"/>
      <c r="JNH96" s="395"/>
      <c r="JNI96" s="395"/>
      <c r="JNJ96" s="395"/>
      <c r="JNK96" s="395"/>
      <c r="JNL96" s="395"/>
      <c r="JNM96" s="395"/>
      <c r="JNN96" s="395"/>
      <c r="JNO96" s="395"/>
      <c r="JNP96" s="395"/>
      <c r="JNQ96" s="395"/>
      <c r="JNR96" s="395"/>
      <c r="JNS96" s="395"/>
      <c r="JNT96" s="395"/>
      <c r="JNU96" s="395"/>
      <c r="JNV96" s="395"/>
      <c r="JNW96" s="395"/>
      <c r="JNX96" s="395"/>
      <c r="JNY96" s="395"/>
      <c r="JNZ96" s="395"/>
      <c r="JOA96" s="395"/>
      <c r="JOB96" s="395"/>
      <c r="JOC96" s="395"/>
      <c r="JOD96" s="395"/>
      <c r="JOE96" s="396"/>
      <c r="JOF96" s="394"/>
      <c r="JOG96" s="395"/>
      <c r="JOH96" s="395"/>
      <c r="JOI96" s="395"/>
      <c r="JOJ96" s="395"/>
      <c r="JOK96" s="395"/>
      <c r="JOL96" s="395"/>
      <c r="JOM96" s="395"/>
      <c r="JON96" s="395"/>
      <c r="JOO96" s="395"/>
      <c r="JOP96" s="395"/>
      <c r="JOQ96" s="395"/>
      <c r="JOR96" s="395"/>
      <c r="JOS96" s="395"/>
      <c r="JOT96" s="395"/>
      <c r="JOU96" s="395"/>
      <c r="JOV96" s="395"/>
      <c r="JOW96" s="395"/>
      <c r="JOX96" s="395"/>
      <c r="JOY96" s="395"/>
      <c r="JOZ96" s="395"/>
      <c r="JPA96" s="395"/>
      <c r="JPB96" s="395"/>
      <c r="JPC96" s="395"/>
      <c r="JPD96" s="395"/>
      <c r="JPE96" s="395"/>
      <c r="JPF96" s="396"/>
      <c r="JPG96" s="394"/>
      <c r="JPH96" s="395"/>
      <c r="JPI96" s="395"/>
      <c r="JPJ96" s="395"/>
      <c r="JPK96" s="395"/>
      <c r="JPL96" s="395"/>
      <c r="JPM96" s="395"/>
      <c r="JPN96" s="395"/>
      <c r="JPO96" s="395"/>
      <c r="JPP96" s="395"/>
      <c r="JPQ96" s="395"/>
      <c r="JPR96" s="395"/>
      <c r="JPS96" s="395"/>
      <c r="JPT96" s="395"/>
      <c r="JPU96" s="395"/>
      <c r="JPV96" s="395"/>
      <c r="JPW96" s="395"/>
      <c r="JPX96" s="395"/>
      <c r="JPY96" s="395"/>
      <c r="JPZ96" s="395"/>
      <c r="JQA96" s="395"/>
      <c r="JQB96" s="395"/>
      <c r="JQC96" s="395"/>
      <c r="JQD96" s="395"/>
      <c r="JQE96" s="395"/>
      <c r="JQF96" s="395"/>
      <c r="JQG96" s="396"/>
      <c r="JQH96" s="394"/>
      <c r="JQI96" s="395"/>
      <c r="JQJ96" s="395"/>
      <c r="JQK96" s="395"/>
      <c r="JQL96" s="395"/>
      <c r="JQM96" s="395"/>
      <c r="JQN96" s="395"/>
      <c r="JQO96" s="395"/>
      <c r="JQP96" s="395"/>
      <c r="JQQ96" s="395"/>
      <c r="JQR96" s="395"/>
      <c r="JQS96" s="395"/>
      <c r="JQT96" s="395"/>
      <c r="JQU96" s="395"/>
      <c r="JQV96" s="395"/>
      <c r="JQW96" s="395"/>
      <c r="JQX96" s="395"/>
      <c r="JQY96" s="395"/>
      <c r="JQZ96" s="395"/>
      <c r="JRA96" s="395"/>
      <c r="JRB96" s="395"/>
      <c r="JRC96" s="395"/>
      <c r="JRD96" s="395"/>
      <c r="JRE96" s="395"/>
      <c r="JRF96" s="395"/>
      <c r="JRG96" s="395"/>
      <c r="JRH96" s="396"/>
      <c r="JRI96" s="394"/>
      <c r="JRJ96" s="395"/>
      <c r="JRK96" s="395"/>
      <c r="JRL96" s="395"/>
      <c r="JRM96" s="395"/>
      <c r="JRN96" s="395"/>
      <c r="JRO96" s="395"/>
      <c r="JRP96" s="395"/>
      <c r="JRQ96" s="395"/>
      <c r="JRR96" s="395"/>
      <c r="JRS96" s="395"/>
      <c r="JRT96" s="395"/>
      <c r="JRU96" s="395"/>
      <c r="JRV96" s="395"/>
      <c r="JRW96" s="395"/>
      <c r="JRX96" s="395"/>
      <c r="JRY96" s="395"/>
      <c r="JRZ96" s="395"/>
      <c r="JSA96" s="395"/>
      <c r="JSB96" s="395"/>
      <c r="JSC96" s="395"/>
      <c r="JSD96" s="395"/>
      <c r="JSE96" s="395"/>
      <c r="JSF96" s="395"/>
      <c r="JSG96" s="395"/>
      <c r="JSH96" s="395"/>
      <c r="JSI96" s="396"/>
      <c r="JSJ96" s="394"/>
      <c r="JSK96" s="395"/>
      <c r="JSL96" s="395"/>
      <c r="JSM96" s="395"/>
      <c r="JSN96" s="395"/>
      <c r="JSO96" s="395"/>
      <c r="JSP96" s="395"/>
      <c r="JSQ96" s="395"/>
      <c r="JSR96" s="395"/>
      <c r="JSS96" s="395"/>
      <c r="JST96" s="395"/>
      <c r="JSU96" s="395"/>
      <c r="JSV96" s="395"/>
      <c r="JSW96" s="395"/>
      <c r="JSX96" s="395"/>
      <c r="JSY96" s="395"/>
      <c r="JSZ96" s="395"/>
      <c r="JTA96" s="395"/>
      <c r="JTB96" s="395"/>
      <c r="JTC96" s="395"/>
      <c r="JTD96" s="395"/>
      <c r="JTE96" s="395"/>
      <c r="JTF96" s="395"/>
      <c r="JTG96" s="395"/>
      <c r="JTH96" s="395"/>
      <c r="JTI96" s="395"/>
      <c r="JTJ96" s="396"/>
      <c r="JTK96" s="394"/>
      <c r="JTL96" s="395"/>
      <c r="JTM96" s="395"/>
      <c r="JTN96" s="395"/>
      <c r="JTO96" s="395"/>
      <c r="JTP96" s="395"/>
      <c r="JTQ96" s="395"/>
      <c r="JTR96" s="395"/>
      <c r="JTS96" s="395"/>
      <c r="JTT96" s="395"/>
      <c r="JTU96" s="395"/>
      <c r="JTV96" s="395"/>
      <c r="JTW96" s="395"/>
      <c r="JTX96" s="395"/>
      <c r="JTY96" s="395"/>
      <c r="JTZ96" s="395"/>
      <c r="JUA96" s="395"/>
      <c r="JUB96" s="395"/>
      <c r="JUC96" s="395"/>
      <c r="JUD96" s="395"/>
      <c r="JUE96" s="395"/>
      <c r="JUF96" s="395"/>
      <c r="JUG96" s="395"/>
      <c r="JUH96" s="395"/>
      <c r="JUI96" s="395"/>
      <c r="JUJ96" s="395"/>
      <c r="JUK96" s="396"/>
      <c r="JUL96" s="394"/>
      <c r="JUM96" s="395"/>
      <c r="JUN96" s="395"/>
      <c r="JUO96" s="395"/>
      <c r="JUP96" s="395"/>
      <c r="JUQ96" s="395"/>
      <c r="JUR96" s="395"/>
      <c r="JUS96" s="395"/>
      <c r="JUT96" s="395"/>
      <c r="JUU96" s="395"/>
      <c r="JUV96" s="395"/>
      <c r="JUW96" s="395"/>
      <c r="JUX96" s="395"/>
      <c r="JUY96" s="395"/>
      <c r="JUZ96" s="395"/>
      <c r="JVA96" s="395"/>
      <c r="JVB96" s="395"/>
      <c r="JVC96" s="395"/>
      <c r="JVD96" s="395"/>
      <c r="JVE96" s="395"/>
      <c r="JVF96" s="395"/>
      <c r="JVG96" s="395"/>
      <c r="JVH96" s="395"/>
      <c r="JVI96" s="395"/>
      <c r="JVJ96" s="395"/>
      <c r="JVK96" s="395"/>
      <c r="JVL96" s="396"/>
      <c r="JVM96" s="394"/>
      <c r="JVN96" s="395"/>
      <c r="JVO96" s="395"/>
      <c r="JVP96" s="395"/>
      <c r="JVQ96" s="395"/>
      <c r="JVR96" s="395"/>
      <c r="JVS96" s="395"/>
      <c r="JVT96" s="395"/>
      <c r="JVU96" s="395"/>
      <c r="JVV96" s="395"/>
      <c r="JVW96" s="395"/>
      <c r="JVX96" s="395"/>
      <c r="JVY96" s="395"/>
      <c r="JVZ96" s="395"/>
      <c r="JWA96" s="395"/>
      <c r="JWB96" s="395"/>
      <c r="JWC96" s="395"/>
      <c r="JWD96" s="395"/>
      <c r="JWE96" s="395"/>
      <c r="JWF96" s="395"/>
      <c r="JWG96" s="395"/>
      <c r="JWH96" s="395"/>
      <c r="JWI96" s="395"/>
      <c r="JWJ96" s="395"/>
      <c r="JWK96" s="395"/>
      <c r="JWL96" s="395"/>
      <c r="JWM96" s="396"/>
      <c r="JWN96" s="394"/>
      <c r="JWO96" s="395"/>
      <c r="JWP96" s="395"/>
      <c r="JWQ96" s="395"/>
      <c r="JWR96" s="395"/>
      <c r="JWS96" s="395"/>
      <c r="JWT96" s="395"/>
      <c r="JWU96" s="395"/>
      <c r="JWV96" s="395"/>
      <c r="JWW96" s="395"/>
      <c r="JWX96" s="395"/>
      <c r="JWY96" s="395"/>
      <c r="JWZ96" s="395"/>
      <c r="JXA96" s="395"/>
      <c r="JXB96" s="395"/>
      <c r="JXC96" s="395"/>
      <c r="JXD96" s="395"/>
      <c r="JXE96" s="395"/>
      <c r="JXF96" s="395"/>
      <c r="JXG96" s="395"/>
      <c r="JXH96" s="395"/>
      <c r="JXI96" s="395"/>
      <c r="JXJ96" s="395"/>
      <c r="JXK96" s="395"/>
      <c r="JXL96" s="395"/>
      <c r="JXM96" s="395"/>
      <c r="JXN96" s="396"/>
      <c r="JXO96" s="394"/>
      <c r="JXP96" s="395"/>
      <c r="JXQ96" s="395"/>
      <c r="JXR96" s="395"/>
      <c r="JXS96" s="395"/>
      <c r="JXT96" s="395"/>
      <c r="JXU96" s="395"/>
      <c r="JXV96" s="395"/>
      <c r="JXW96" s="395"/>
      <c r="JXX96" s="395"/>
      <c r="JXY96" s="395"/>
      <c r="JXZ96" s="395"/>
      <c r="JYA96" s="395"/>
      <c r="JYB96" s="395"/>
      <c r="JYC96" s="395"/>
      <c r="JYD96" s="395"/>
      <c r="JYE96" s="395"/>
      <c r="JYF96" s="395"/>
      <c r="JYG96" s="395"/>
      <c r="JYH96" s="395"/>
      <c r="JYI96" s="395"/>
      <c r="JYJ96" s="395"/>
      <c r="JYK96" s="395"/>
      <c r="JYL96" s="395"/>
      <c r="JYM96" s="395"/>
      <c r="JYN96" s="395"/>
      <c r="JYO96" s="396"/>
      <c r="JYP96" s="394"/>
      <c r="JYQ96" s="395"/>
      <c r="JYR96" s="395"/>
      <c r="JYS96" s="395"/>
      <c r="JYT96" s="395"/>
      <c r="JYU96" s="395"/>
      <c r="JYV96" s="395"/>
      <c r="JYW96" s="395"/>
      <c r="JYX96" s="395"/>
      <c r="JYY96" s="395"/>
      <c r="JYZ96" s="395"/>
      <c r="JZA96" s="395"/>
      <c r="JZB96" s="395"/>
      <c r="JZC96" s="395"/>
      <c r="JZD96" s="395"/>
      <c r="JZE96" s="395"/>
      <c r="JZF96" s="395"/>
      <c r="JZG96" s="395"/>
      <c r="JZH96" s="395"/>
      <c r="JZI96" s="395"/>
      <c r="JZJ96" s="395"/>
      <c r="JZK96" s="395"/>
      <c r="JZL96" s="395"/>
      <c r="JZM96" s="395"/>
      <c r="JZN96" s="395"/>
      <c r="JZO96" s="395"/>
      <c r="JZP96" s="396"/>
      <c r="JZQ96" s="394"/>
      <c r="JZR96" s="395"/>
      <c r="JZS96" s="395"/>
      <c r="JZT96" s="395"/>
      <c r="JZU96" s="395"/>
      <c r="JZV96" s="395"/>
      <c r="JZW96" s="395"/>
      <c r="JZX96" s="395"/>
      <c r="JZY96" s="395"/>
      <c r="JZZ96" s="395"/>
      <c r="KAA96" s="395"/>
      <c r="KAB96" s="395"/>
      <c r="KAC96" s="395"/>
      <c r="KAD96" s="395"/>
      <c r="KAE96" s="395"/>
      <c r="KAF96" s="395"/>
      <c r="KAG96" s="395"/>
      <c r="KAH96" s="395"/>
      <c r="KAI96" s="395"/>
      <c r="KAJ96" s="395"/>
      <c r="KAK96" s="395"/>
      <c r="KAL96" s="395"/>
      <c r="KAM96" s="395"/>
      <c r="KAN96" s="395"/>
      <c r="KAO96" s="395"/>
      <c r="KAP96" s="395"/>
      <c r="KAQ96" s="396"/>
      <c r="KAR96" s="394"/>
      <c r="KAS96" s="395"/>
      <c r="KAT96" s="395"/>
      <c r="KAU96" s="395"/>
      <c r="KAV96" s="395"/>
      <c r="KAW96" s="395"/>
      <c r="KAX96" s="395"/>
      <c r="KAY96" s="395"/>
      <c r="KAZ96" s="395"/>
      <c r="KBA96" s="395"/>
      <c r="KBB96" s="395"/>
      <c r="KBC96" s="395"/>
      <c r="KBD96" s="395"/>
      <c r="KBE96" s="395"/>
      <c r="KBF96" s="395"/>
      <c r="KBG96" s="395"/>
      <c r="KBH96" s="395"/>
      <c r="KBI96" s="395"/>
      <c r="KBJ96" s="395"/>
      <c r="KBK96" s="395"/>
      <c r="KBL96" s="395"/>
      <c r="KBM96" s="395"/>
      <c r="KBN96" s="395"/>
      <c r="KBO96" s="395"/>
      <c r="KBP96" s="395"/>
      <c r="KBQ96" s="395"/>
      <c r="KBR96" s="396"/>
      <c r="KBS96" s="394"/>
      <c r="KBT96" s="395"/>
      <c r="KBU96" s="395"/>
      <c r="KBV96" s="395"/>
      <c r="KBW96" s="395"/>
      <c r="KBX96" s="395"/>
      <c r="KBY96" s="395"/>
      <c r="KBZ96" s="395"/>
      <c r="KCA96" s="395"/>
      <c r="KCB96" s="395"/>
      <c r="KCC96" s="395"/>
      <c r="KCD96" s="395"/>
      <c r="KCE96" s="395"/>
      <c r="KCF96" s="395"/>
      <c r="KCG96" s="395"/>
      <c r="KCH96" s="395"/>
      <c r="KCI96" s="395"/>
      <c r="KCJ96" s="395"/>
      <c r="KCK96" s="395"/>
      <c r="KCL96" s="395"/>
      <c r="KCM96" s="395"/>
      <c r="KCN96" s="395"/>
      <c r="KCO96" s="395"/>
      <c r="KCP96" s="395"/>
      <c r="KCQ96" s="395"/>
      <c r="KCR96" s="395"/>
      <c r="KCS96" s="396"/>
      <c r="KCT96" s="394"/>
      <c r="KCU96" s="395"/>
      <c r="KCV96" s="395"/>
      <c r="KCW96" s="395"/>
      <c r="KCX96" s="395"/>
      <c r="KCY96" s="395"/>
      <c r="KCZ96" s="395"/>
      <c r="KDA96" s="395"/>
      <c r="KDB96" s="395"/>
      <c r="KDC96" s="395"/>
      <c r="KDD96" s="395"/>
      <c r="KDE96" s="395"/>
      <c r="KDF96" s="395"/>
      <c r="KDG96" s="395"/>
      <c r="KDH96" s="395"/>
      <c r="KDI96" s="395"/>
      <c r="KDJ96" s="395"/>
      <c r="KDK96" s="395"/>
      <c r="KDL96" s="395"/>
      <c r="KDM96" s="395"/>
      <c r="KDN96" s="395"/>
      <c r="KDO96" s="395"/>
      <c r="KDP96" s="395"/>
      <c r="KDQ96" s="395"/>
      <c r="KDR96" s="395"/>
      <c r="KDS96" s="395"/>
      <c r="KDT96" s="396"/>
      <c r="KDU96" s="394"/>
      <c r="KDV96" s="395"/>
      <c r="KDW96" s="395"/>
      <c r="KDX96" s="395"/>
      <c r="KDY96" s="395"/>
      <c r="KDZ96" s="395"/>
      <c r="KEA96" s="395"/>
      <c r="KEB96" s="395"/>
      <c r="KEC96" s="395"/>
      <c r="KED96" s="395"/>
      <c r="KEE96" s="395"/>
      <c r="KEF96" s="395"/>
      <c r="KEG96" s="395"/>
      <c r="KEH96" s="395"/>
      <c r="KEI96" s="395"/>
      <c r="KEJ96" s="395"/>
      <c r="KEK96" s="395"/>
      <c r="KEL96" s="395"/>
      <c r="KEM96" s="395"/>
      <c r="KEN96" s="395"/>
      <c r="KEO96" s="395"/>
      <c r="KEP96" s="395"/>
      <c r="KEQ96" s="395"/>
      <c r="KER96" s="395"/>
      <c r="KES96" s="395"/>
      <c r="KET96" s="395"/>
      <c r="KEU96" s="396"/>
      <c r="KEV96" s="394"/>
      <c r="KEW96" s="395"/>
      <c r="KEX96" s="395"/>
      <c r="KEY96" s="395"/>
      <c r="KEZ96" s="395"/>
      <c r="KFA96" s="395"/>
      <c r="KFB96" s="395"/>
      <c r="KFC96" s="395"/>
      <c r="KFD96" s="395"/>
      <c r="KFE96" s="395"/>
      <c r="KFF96" s="395"/>
      <c r="KFG96" s="395"/>
      <c r="KFH96" s="395"/>
      <c r="KFI96" s="395"/>
      <c r="KFJ96" s="395"/>
      <c r="KFK96" s="395"/>
      <c r="KFL96" s="395"/>
      <c r="KFM96" s="395"/>
      <c r="KFN96" s="395"/>
      <c r="KFO96" s="395"/>
      <c r="KFP96" s="395"/>
      <c r="KFQ96" s="395"/>
      <c r="KFR96" s="395"/>
      <c r="KFS96" s="395"/>
      <c r="KFT96" s="395"/>
      <c r="KFU96" s="395"/>
      <c r="KFV96" s="396"/>
      <c r="KFW96" s="394"/>
      <c r="KFX96" s="395"/>
      <c r="KFY96" s="395"/>
      <c r="KFZ96" s="395"/>
      <c r="KGA96" s="395"/>
      <c r="KGB96" s="395"/>
      <c r="KGC96" s="395"/>
      <c r="KGD96" s="395"/>
      <c r="KGE96" s="395"/>
      <c r="KGF96" s="395"/>
      <c r="KGG96" s="395"/>
      <c r="KGH96" s="395"/>
      <c r="KGI96" s="395"/>
      <c r="KGJ96" s="395"/>
      <c r="KGK96" s="395"/>
      <c r="KGL96" s="395"/>
      <c r="KGM96" s="395"/>
      <c r="KGN96" s="395"/>
      <c r="KGO96" s="395"/>
      <c r="KGP96" s="395"/>
      <c r="KGQ96" s="395"/>
      <c r="KGR96" s="395"/>
      <c r="KGS96" s="395"/>
      <c r="KGT96" s="395"/>
      <c r="KGU96" s="395"/>
      <c r="KGV96" s="395"/>
      <c r="KGW96" s="396"/>
      <c r="KGX96" s="394"/>
      <c r="KGY96" s="395"/>
      <c r="KGZ96" s="395"/>
      <c r="KHA96" s="395"/>
      <c r="KHB96" s="395"/>
      <c r="KHC96" s="395"/>
      <c r="KHD96" s="395"/>
      <c r="KHE96" s="395"/>
      <c r="KHF96" s="395"/>
      <c r="KHG96" s="395"/>
      <c r="KHH96" s="395"/>
      <c r="KHI96" s="395"/>
      <c r="KHJ96" s="395"/>
      <c r="KHK96" s="395"/>
      <c r="KHL96" s="395"/>
      <c r="KHM96" s="395"/>
      <c r="KHN96" s="395"/>
      <c r="KHO96" s="395"/>
      <c r="KHP96" s="395"/>
      <c r="KHQ96" s="395"/>
      <c r="KHR96" s="395"/>
      <c r="KHS96" s="395"/>
      <c r="KHT96" s="395"/>
      <c r="KHU96" s="395"/>
      <c r="KHV96" s="395"/>
      <c r="KHW96" s="395"/>
      <c r="KHX96" s="396"/>
      <c r="KHY96" s="394"/>
      <c r="KHZ96" s="395"/>
      <c r="KIA96" s="395"/>
      <c r="KIB96" s="395"/>
      <c r="KIC96" s="395"/>
      <c r="KID96" s="395"/>
      <c r="KIE96" s="395"/>
      <c r="KIF96" s="395"/>
      <c r="KIG96" s="395"/>
      <c r="KIH96" s="395"/>
      <c r="KII96" s="395"/>
      <c r="KIJ96" s="395"/>
      <c r="KIK96" s="395"/>
      <c r="KIL96" s="395"/>
      <c r="KIM96" s="395"/>
      <c r="KIN96" s="395"/>
      <c r="KIO96" s="395"/>
      <c r="KIP96" s="395"/>
      <c r="KIQ96" s="395"/>
      <c r="KIR96" s="395"/>
      <c r="KIS96" s="395"/>
      <c r="KIT96" s="395"/>
      <c r="KIU96" s="395"/>
      <c r="KIV96" s="395"/>
      <c r="KIW96" s="395"/>
      <c r="KIX96" s="395"/>
      <c r="KIY96" s="396"/>
      <c r="KIZ96" s="394"/>
      <c r="KJA96" s="395"/>
      <c r="KJB96" s="395"/>
      <c r="KJC96" s="395"/>
      <c r="KJD96" s="395"/>
      <c r="KJE96" s="395"/>
      <c r="KJF96" s="395"/>
      <c r="KJG96" s="395"/>
      <c r="KJH96" s="395"/>
      <c r="KJI96" s="395"/>
      <c r="KJJ96" s="395"/>
      <c r="KJK96" s="395"/>
      <c r="KJL96" s="395"/>
      <c r="KJM96" s="395"/>
      <c r="KJN96" s="395"/>
      <c r="KJO96" s="395"/>
      <c r="KJP96" s="395"/>
      <c r="KJQ96" s="395"/>
      <c r="KJR96" s="395"/>
      <c r="KJS96" s="395"/>
      <c r="KJT96" s="395"/>
      <c r="KJU96" s="395"/>
      <c r="KJV96" s="395"/>
      <c r="KJW96" s="395"/>
      <c r="KJX96" s="395"/>
      <c r="KJY96" s="395"/>
      <c r="KJZ96" s="396"/>
      <c r="KKA96" s="394"/>
      <c r="KKB96" s="395"/>
      <c r="KKC96" s="395"/>
      <c r="KKD96" s="395"/>
      <c r="KKE96" s="395"/>
      <c r="KKF96" s="395"/>
      <c r="KKG96" s="395"/>
      <c r="KKH96" s="395"/>
      <c r="KKI96" s="395"/>
      <c r="KKJ96" s="395"/>
      <c r="KKK96" s="395"/>
      <c r="KKL96" s="395"/>
      <c r="KKM96" s="395"/>
      <c r="KKN96" s="395"/>
      <c r="KKO96" s="395"/>
      <c r="KKP96" s="395"/>
      <c r="KKQ96" s="395"/>
      <c r="KKR96" s="395"/>
      <c r="KKS96" s="395"/>
      <c r="KKT96" s="395"/>
      <c r="KKU96" s="395"/>
      <c r="KKV96" s="395"/>
      <c r="KKW96" s="395"/>
      <c r="KKX96" s="395"/>
      <c r="KKY96" s="395"/>
      <c r="KKZ96" s="395"/>
      <c r="KLA96" s="396"/>
      <c r="KLB96" s="394"/>
      <c r="KLC96" s="395"/>
      <c r="KLD96" s="395"/>
      <c r="KLE96" s="395"/>
      <c r="KLF96" s="395"/>
      <c r="KLG96" s="395"/>
      <c r="KLH96" s="395"/>
      <c r="KLI96" s="395"/>
      <c r="KLJ96" s="395"/>
      <c r="KLK96" s="395"/>
      <c r="KLL96" s="395"/>
      <c r="KLM96" s="395"/>
      <c r="KLN96" s="395"/>
      <c r="KLO96" s="395"/>
      <c r="KLP96" s="395"/>
      <c r="KLQ96" s="395"/>
      <c r="KLR96" s="395"/>
      <c r="KLS96" s="395"/>
      <c r="KLT96" s="395"/>
      <c r="KLU96" s="395"/>
      <c r="KLV96" s="395"/>
      <c r="KLW96" s="395"/>
      <c r="KLX96" s="395"/>
      <c r="KLY96" s="395"/>
      <c r="KLZ96" s="395"/>
      <c r="KMA96" s="395"/>
      <c r="KMB96" s="396"/>
      <c r="KMC96" s="394"/>
      <c r="KMD96" s="395"/>
      <c r="KME96" s="395"/>
      <c r="KMF96" s="395"/>
      <c r="KMG96" s="395"/>
      <c r="KMH96" s="395"/>
      <c r="KMI96" s="395"/>
      <c r="KMJ96" s="395"/>
      <c r="KMK96" s="395"/>
      <c r="KML96" s="395"/>
      <c r="KMM96" s="395"/>
      <c r="KMN96" s="395"/>
      <c r="KMO96" s="395"/>
      <c r="KMP96" s="395"/>
      <c r="KMQ96" s="395"/>
      <c r="KMR96" s="395"/>
      <c r="KMS96" s="395"/>
      <c r="KMT96" s="395"/>
      <c r="KMU96" s="395"/>
      <c r="KMV96" s="395"/>
      <c r="KMW96" s="395"/>
      <c r="KMX96" s="395"/>
      <c r="KMY96" s="395"/>
      <c r="KMZ96" s="395"/>
      <c r="KNA96" s="395"/>
      <c r="KNB96" s="395"/>
      <c r="KNC96" s="396"/>
      <c r="KND96" s="394"/>
      <c r="KNE96" s="395"/>
      <c r="KNF96" s="395"/>
      <c r="KNG96" s="395"/>
      <c r="KNH96" s="395"/>
      <c r="KNI96" s="395"/>
      <c r="KNJ96" s="395"/>
      <c r="KNK96" s="395"/>
      <c r="KNL96" s="395"/>
      <c r="KNM96" s="395"/>
      <c r="KNN96" s="395"/>
      <c r="KNO96" s="395"/>
      <c r="KNP96" s="395"/>
      <c r="KNQ96" s="395"/>
      <c r="KNR96" s="395"/>
      <c r="KNS96" s="395"/>
      <c r="KNT96" s="395"/>
      <c r="KNU96" s="395"/>
      <c r="KNV96" s="395"/>
      <c r="KNW96" s="395"/>
      <c r="KNX96" s="395"/>
      <c r="KNY96" s="395"/>
      <c r="KNZ96" s="395"/>
      <c r="KOA96" s="395"/>
      <c r="KOB96" s="395"/>
      <c r="KOC96" s="395"/>
      <c r="KOD96" s="396"/>
      <c r="KOE96" s="394"/>
      <c r="KOF96" s="395"/>
      <c r="KOG96" s="395"/>
      <c r="KOH96" s="395"/>
      <c r="KOI96" s="395"/>
      <c r="KOJ96" s="395"/>
      <c r="KOK96" s="395"/>
      <c r="KOL96" s="395"/>
      <c r="KOM96" s="395"/>
      <c r="KON96" s="395"/>
      <c r="KOO96" s="395"/>
      <c r="KOP96" s="395"/>
      <c r="KOQ96" s="395"/>
      <c r="KOR96" s="395"/>
      <c r="KOS96" s="395"/>
      <c r="KOT96" s="395"/>
      <c r="KOU96" s="395"/>
      <c r="KOV96" s="395"/>
      <c r="KOW96" s="395"/>
      <c r="KOX96" s="395"/>
      <c r="KOY96" s="395"/>
      <c r="KOZ96" s="395"/>
      <c r="KPA96" s="395"/>
      <c r="KPB96" s="395"/>
      <c r="KPC96" s="395"/>
      <c r="KPD96" s="395"/>
      <c r="KPE96" s="396"/>
      <c r="KPF96" s="394"/>
      <c r="KPG96" s="395"/>
      <c r="KPH96" s="395"/>
      <c r="KPI96" s="395"/>
      <c r="KPJ96" s="395"/>
      <c r="KPK96" s="395"/>
      <c r="KPL96" s="395"/>
      <c r="KPM96" s="395"/>
      <c r="KPN96" s="395"/>
      <c r="KPO96" s="395"/>
      <c r="KPP96" s="395"/>
      <c r="KPQ96" s="395"/>
      <c r="KPR96" s="395"/>
      <c r="KPS96" s="395"/>
      <c r="KPT96" s="395"/>
      <c r="KPU96" s="395"/>
      <c r="KPV96" s="395"/>
      <c r="KPW96" s="395"/>
      <c r="KPX96" s="395"/>
      <c r="KPY96" s="395"/>
      <c r="KPZ96" s="395"/>
      <c r="KQA96" s="395"/>
      <c r="KQB96" s="395"/>
      <c r="KQC96" s="395"/>
      <c r="KQD96" s="395"/>
      <c r="KQE96" s="395"/>
      <c r="KQF96" s="396"/>
      <c r="KQG96" s="394"/>
      <c r="KQH96" s="395"/>
      <c r="KQI96" s="395"/>
      <c r="KQJ96" s="395"/>
      <c r="KQK96" s="395"/>
      <c r="KQL96" s="395"/>
      <c r="KQM96" s="395"/>
      <c r="KQN96" s="395"/>
      <c r="KQO96" s="395"/>
      <c r="KQP96" s="395"/>
      <c r="KQQ96" s="395"/>
      <c r="KQR96" s="395"/>
      <c r="KQS96" s="395"/>
      <c r="KQT96" s="395"/>
      <c r="KQU96" s="395"/>
      <c r="KQV96" s="395"/>
      <c r="KQW96" s="395"/>
      <c r="KQX96" s="395"/>
      <c r="KQY96" s="395"/>
      <c r="KQZ96" s="395"/>
      <c r="KRA96" s="395"/>
      <c r="KRB96" s="395"/>
      <c r="KRC96" s="395"/>
      <c r="KRD96" s="395"/>
      <c r="KRE96" s="395"/>
      <c r="KRF96" s="395"/>
      <c r="KRG96" s="396"/>
      <c r="KRH96" s="394"/>
      <c r="KRI96" s="395"/>
      <c r="KRJ96" s="395"/>
      <c r="KRK96" s="395"/>
      <c r="KRL96" s="395"/>
      <c r="KRM96" s="395"/>
      <c r="KRN96" s="395"/>
      <c r="KRO96" s="395"/>
      <c r="KRP96" s="395"/>
      <c r="KRQ96" s="395"/>
      <c r="KRR96" s="395"/>
      <c r="KRS96" s="395"/>
      <c r="KRT96" s="395"/>
      <c r="KRU96" s="395"/>
      <c r="KRV96" s="395"/>
      <c r="KRW96" s="395"/>
      <c r="KRX96" s="395"/>
      <c r="KRY96" s="395"/>
      <c r="KRZ96" s="395"/>
      <c r="KSA96" s="395"/>
      <c r="KSB96" s="395"/>
      <c r="KSC96" s="395"/>
      <c r="KSD96" s="395"/>
      <c r="KSE96" s="395"/>
      <c r="KSF96" s="395"/>
      <c r="KSG96" s="395"/>
      <c r="KSH96" s="396"/>
      <c r="KSI96" s="394"/>
      <c r="KSJ96" s="395"/>
      <c r="KSK96" s="395"/>
      <c r="KSL96" s="395"/>
      <c r="KSM96" s="395"/>
      <c r="KSN96" s="395"/>
      <c r="KSO96" s="395"/>
      <c r="KSP96" s="395"/>
      <c r="KSQ96" s="395"/>
      <c r="KSR96" s="395"/>
      <c r="KSS96" s="395"/>
      <c r="KST96" s="395"/>
      <c r="KSU96" s="395"/>
      <c r="KSV96" s="395"/>
      <c r="KSW96" s="395"/>
      <c r="KSX96" s="395"/>
      <c r="KSY96" s="395"/>
      <c r="KSZ96" s="395"/>
      <c r="KTA96" s="395"/>
      <c r="KTB96" s="395"/>
      <c r="KTC96" s="395"/>
      <c r="KTD96" s="395"/>
      <c r="KTE96" s="395"/>
      <c r="KTF96" s="395"/>
      <c r="KTG96" s="395"/>
      <c r="KTH96" s="395"/>
      <c r="KTI96" s="396"/>
      <c r="KTJ96" s="394"/>
      <c r="KTK96" s="395"/>
      <c r="KTL96" s="395"/>
      <c r="KTM96" s="395"/>
      <c r="KTN96" s="395"/>
      <c r="KTO96" s="395"/>
      <c r="KTP96" s="395"/>
      <c r="KTQ96" s="395"/>
      <c r="KTR96" s="395"/>
      <c r="KTS96" s="395"/>
      <c r="KTT96" s="395"/>
      <c r="KTU96" s="395"/>
      <c r="KTV96" s="395"/>
      <c r="KTW96" s="395"/>
      <c r="KTX96" s="395"/>
      <c r="KTY96" s="395"/>
      <c r="KTZ96" s="395"/>
      <c r="KUA96" s="395"/>
      <c r="KUB96" s="395"/>
      <c r="KUC96" s="395"/>
      <c r="KUD96" s="395"/>
      <c r="KUE96" s="395"/>
      <c r="KUF96" s="395"/>
      <c r="KUG96" s="395"/>
      <c r="KUH96" s="395"/>
      <c r="KUI96" s="395"/>
      <c r="KUJ96" s="396"/>
      <c r="KUK96" s="394"/>
      <c r="KUL96" s="395"/>
      <c r="KUM96" s="395"/>
      <c r="KUN96" s="395"/>
      <c r="KUO96" s="395"/>
      <c r="KUP96" s="395"/>
      <c r="KUQ96" s="395"/>
      <c r="KUR96" s="395"/>
      <c r="KUS96" s="395"/>
      <c r="KUT96" s="395"/>
      <c r="KUU96" s="395"/>
      <c r="KUV96" s="395"/>
      <c r="KUW96" s="395"/>
      <c r="KUX96" s="395"/>
      <c r="KUY96" s="395"/>
      <c r="KUZ96" s="395"/>
      <c r="KVA96" s="395"/>
      <c r="KVB96" s="395"/>
      <c r="KVC96" s="395"/>
      <c r="KVD96" s="395"/>
      <c r="KVE96" s="395"/>
      <c r="KVF96" s="395"/>
      <c r="KVG96" s="395"/>
      <c r="KVH96" s="395"/>
      <c r="KVI96" s="395"/>
      <c r="KVJ96" s="395"/>
      <c r="KVK96" s="396"/>
      <c r="KVL96" s="394"/>
      <c r="KVM96" s="395"/>
      <c r="KVN96" s="395"/>
      <c r="KVO96" s="395"/>
      <c r="KVP96" s="395"/>
      <c r="KVQ96" s="395"/>
      <c r="KVR96" s="395"/>
      <c r="KVS96" s="395"/>
      <c r="KVT96" s="395"/>
      <c r="KVU96" s="395"/>
      <c r="KVV96" s="395"/>
      <c r="KVW96" s="395"/>
      <c r="KVX96" s="395"/>
      <c r="KVY96" s="395"/>
      <c r="KVZ96" s="395"/>
      <c r="KWA96" s="395"/>
      <c r="KWB96" s="395"/>
      <c r="KWC96" s="395"/>
      <c r="KWD96" s="395"/>
      <c r="KWE96" s="395"/>
      <c r="KWF96" s="395"/>
      <c r="KWG96" s="395"/>
      <c r="KWH96" s="395"/>
      <c r="KWI96" s="395"/>
      <c r="KWJ96" s="395"/>
      <c r="KWK96" s="395"/>
      <c r="KWL96" s="396"/>
      <c r="KWM96" s="394"/>
      <c r="KWN96" s="395"/>
      <c r="KWO96" s="395"/>
      <c r="KWP96" s="395"/>
      <c r="KWQ96" s="395"/>
      <c r="KWR96" s="395"/>
      <c r="KWS96" s="395"/>
      <c r="KWT96" s="395"/>
      <c r="KWU96" s="395"/>
      <c r="KWV96" s="395"/>
      <c r="KWW96" s="395"/>
      <c r="KWX96" s="395"/>
      <c r="KWY96" s="395"/>
      <c r="KWZ96" s="395"/>
      <c r="KXA96" s="395"/>
      <c r="KXB96" s="395"/>
      <c r="KXC96" s="395"/>
      <c r="KXD96" s="395"/>
      <c r="KXE96" s="395"/>
      <c r="KXF96" s="395"/>
      <c r="KXG96" s="395"/>
      <c r="KXH96" s="395"/>
      <c r="KXI96" s="395"/>
      <c r="KXJ96" s="395"/>
      <c r="KXK96" s="395"/>
      <c r="KXL96" s="395"/>
      <c r="KXM96" s="396"/>
      <c r="KXN96" s="394"/>
      <c r="KXO96" s="395"/>
      <c r="KXP96" s="395"/>
      <c r="KXQ96" s="395"/>
      <c r="KXR96" s="395"/>
      <c r="KXS96" s="395"/>
      <c r="KXT96" s="395"/>
      <c r="KXU96" s="395"/>
      <c r="KXV96" s="395"/>
      <c r="KXW96" s="395"/>
      <c r="KXX96" s="395"/>
      <c r="KXY96" s="395"/>
      <c r="KXZ96" s="395"/>
      <c r="KYA96" s="395"/>
      <c r="KYB96" s="395"/>
      <c r="KYC96" s="395"/>
      <c r="KYD96" s="395"/>
      <c r="KYE96" s="395"/>
      <c r="KYF96" s="395"/>
      <c r="KYG96" s="395"/>
      <c r="KYH96" s="395"/>
      <c r="KYI96" s="395"/>
      <c r="KYJ96" s="395"/>
      <c r="KYK96" s="395"/>
      <c r="KYL96" s="395"/>
      <c r="KYM96" s="395"/>
      <c r="KYN96" s="396"/>
      <c r="KYO96" s="394"/>
      <c r="KYP96" s="395"/>
      <c r="KYQ96" s="395"/>
      <c r="KYR96" s="395"/>
      <c r="KYS96" s="395"/>
      <c r="KYT96" s="395"/>
      <c r="KYU96" s="395"/>
      <c r="KYV96" s="395"/>
      <c r="KYW96" s="395"/>
      <c r="KYX96" s="395"/>
      <c r="KYY96" s="395"/>
      <c r="KYZ96" s="395"/>
      <c r="KZA96" s="395"/>
      <c r="KZB96" s="395"/>
      <c r="KZC96" s="395"/>
      <c r="KZD96" s="395"/>
      <c r="KZE96" s="395"/>
      <c r="KZF96" s="395"/>
      <c r="KZG96" s="395"/>
      <c r="KZH96" s="395"/>
      <c r="KZI96" s="395"/>
      <c r="KZJ96" s="395"/>
      <c r="KZK96" s="395"/>
      <c r="KZL96" s="395"/>
      <c r="KZM96" s="395"/>
      <c r="KZN96" s="395"/>
      <c r="KZO96" s="396"/>
      <c r="KZP96" s="394"/>
      <c r="KZQ96" s="395"/>
      <c r="KZR96" s="395"/>
      <c r="KZS96" s="395"/>
      <c r="KZT96" s="395"/>
      <c r="KZU96" s="395"/>
      <c r="KZV96" s="395"/>
      <c r="KZW96" s="395"/>
      <c r="KZX96" s="395"/>
      <c r="KZY96" s="395"/>
      <c r="KZZ96" s="395"/>
      <c r="LAA96" s="395"/>
      <c r="LAB96" s="395"/>
      <c r="LAC96" s="395"/>
      <c r="LAD96" s="395"/>
      <c r="LAE96" s="395"/>
      <c r="LAF96" s="395"/>
      <c r="LAG96" s="395"/>
      <c r="LAH96" s="395"/>
      <c r="LAI96" s="395"/>
      <c r="LAJ96" s="395"/>
      <c r="LAK96" s="395"/>
      <c r="LAL96" s="395"/>
      <c r="LAM96" s="395"/>
      <c r="LAN96" s="395"/>
      <c r="LAO96" s="395"/>
      <c r="LAP96" s="396"/>
      <c r="LAQ96" s="394"/>
      <c r="LAR96" s="395"/>
      <c r="LAS96" s="395"/>
      <c r="LAT96" s="395"/>
      <c r="LAU96" s="395"/>
      <c r="LAV96" s="395"/>
      <c r="LAW96" s="395"/>
      <c r="LAX96" s="395"/>
      <c r="LAY96" s="395"/>
      <c r="LAZ96" s="395"/>
      <c r="LBA96" s="395"/>
      <c r="LBB96" s="395"/>
      <c r="LBC96" s="395"/>
      <c r="LBD96" s="395"/>
      <c r="LBE96" s="395"/>
      <c r="LBF96" s="395"/>
      <c r="LBG96" s="395"/>
      <c r="LBH96" s="395"/>
      <c r="LBI96" s="395"/>
      <c r="LBJ96" s="395"/>
      <c r="LBK96" s="395"/>
      <c r="LBL96" s="395"/>
      <c r="LBM96" s="395"/>
      <c r="LBN96" s="395"/>
      <c r="LBO96" s="395"/>
      <c r="LBP96" s="395"/>
      <c r="LBQ96" s="396"/>
      <c r="LBR96" s="394"/>
      <c r="LBS96" s="395"/>
      <c r="LBT96" s="395"/>
      <c r="LBU96" s="395"/>
      <c r="LBV96" s="395"/>
      <c r="LBW96" s="395"/>
      <c r="LBX96" s="395"/>
      <c r="LBY96" s="395"/>
      <c r="LBZ96" s="395"/>
      <c r="LCA96" s="395"/>
      <c r="LCB96" s="395"/>
      <c r="LCC96" s="395"/>
      <c r="LCD96" s="395"/>
      <c r="LCE96" s="395"/>
      <c r="LCF96" s="395"/>
      <c r="LCG96" s="395"/>
      <c r="LCH96" s="395"/>
      <c r="LCI96" s="395"/>
      <c r="LCJ96" s="395"/>
      <c r="LCK96" s="395"/>
      <c r="LCL96" s="395"/>
      <c r="LCM96" s="395"/>
      <c r="LCN96" s="395"/>
      <c r="LCO96" s="395"/>
      <c r="LCP96" s="395"/>
      <c r="LCQ96" s="395"/>
      <c r="LCR96" s="396"/>
      <c r="LCS96" s="394"/>
      <c r="LCT96" s="395"/>
      <c r="LCU96" s="395"/>
      <c r="LCV96" s="395"/>
      <c r="LCW96" s="395"/>
      <c r="LCX96" s="395"/>
      <c r="LCY96" s="395"/>
      <c r="LCZ96" s="395"/>
      <c r="LDA96" s="395"/>
      <c r="LDB96" s="395"/>
      <c r="LDC96" s="395"/>
      <c r="LDD96" s="395"/>
      <c r="LDE96" s="395"/>
      <c r="LDF96" s="395"/>
      <c r="LDG96" s="395"/>
      <c r="LDH96" s="395"/>
      <c r="LDI96" s="395"/>
      <c r="LDJ96" s="395"/>
      <c r="LDK96" s="395"/>
      <c r="LDL96" s="395"/>
      <c r="LDM96" s="395"/>
      <c r="LDN96" s="395"/>
      <c r="LDO96" s="395"/>
      <c r="LDP96" s="395"/>
      <c r="LDQ96" s="395"/>
      <c r="LDR96" s="395"/>
      <c r="LDS96" s="396"/>
      <c r="LDT96" s="394"/>
      <c r="LDU96" s="395"/>
      <c r="LDV96" s="395"/>
      <c r="LDW96" s="395"/>
      <c r="LDX96" s="395"/>
      <c r="LDY96" s="395"/>
      <c r="LDZ96" s="395"/>
      <c r="LEA96" s="395"/>
      <c r="LEB96" s="395"/>
      <c r="LEC96" s="395"/>
      <c r="LED96" s="395"/>
      <c r="LEE96" s="395"/>
      <c r="LEF96" s="395"/>
      <c r="LEG96" s="395"/>
      <c r="LEH96" s="395"/>
      <c r="LEI96" s="395"/>
      <c r="LEJ96" s="395"/>
      <c r="LEK96" s="395"/>
      <c r="LEL96" s="395"/>
      <c r="LEM96" s="395"/>
      <c r="LEN96" s="395"/>
      <c r="LEO96" s="395"/>
      <c r="LEP96" s="395"/>
      <c r="LEQ96" s="395"/>
      <c r="LER96" s="395"/>
      <c r="LES96" s="395"/>
      <c r="LET96" s="396"/>
      <c r="LEU96" s="394"/>
      <c r="LEV96" s="395"/>
      <c r="LEW96" s="395"/>
      <c r="LEX96" s="395"/>
      <c r="LEY96" s="395"/>
      <c r="LEZ96" s="395"/>
      <c r="LFA96" s="395"/>
      <c r="LFB96" s="395"/>
      <c r="LFC96" s="395"/>
      <c r="LFD96" s="395"/>
      <c r="LFE96" s="395"/>
      <c r="LFF96" s="395"/>
      <c r="LFG96" s="395"/>
      <c r="LFH96" s="395"/>
      <c r="LFI96" s="395"/>
      <c r="LFJ96" s="395"/>
      <c r="LFK96" s="395"/>
      <c r="LFL96" s="395"/>
      <c r="LFM96" s="395"/>
      <c r="LFN96" s="395"/>
      <c r="LFO96" s="395"/>
      <c r="LFP96" s="395"/>
      <c r="LFQ96" s="395"/>
      <c r="LFR96" s="395"/>
      <c r="LFS96" s="395"/>
      <c r="LFT96" s="395"/>
      <c r="LFU96" s="396"/>
      <c r="LFV96" s="394"/>
      <c r="LFW96" s="395"/>
      <c r="LFX96" s="395"/>
      <c r="LFY96" s="395"/>
      <c r="LFZ96" s="395"/>
      <c r="LGA96" s="395"/>
      <c r="LGB96" s="395"/>
      <c r="LGC96" s="395"/>
      <c r="LGD96" s="395"/>
      <c r="LGE96" s="395"/>
      <c r="LGF96" s="395"/>
      <c r="LGG96" s="395"/>
      <c r="LGH96" s="395"/>
      <c r="LGI96" s="395"/>
      <c r="LGJ96" s="395"/>
      <c r="LGK96" s="395"/>
      <c r="LGL96" s="395"/>
      <c r="LGM96" s="395"/>
      <c r="LGN96" s="395"/>
      <c r="LGO96" s="395"/>
      <c r="LGP96" s="395"/>
      <c r="LGQ96" s="395"/>
      <c r="LGR96" s="395"/>
      <c r="LGS96" s="395"/>
      <c r="LGT96" s="395"/>
      <c r="LGU96" s="395"/>
      <c r="LGV96" s="396"/>
      <c r="LGW96" s="394"/>
      <c r="LGX96" s="395"/>
      <c r="LGY96" s="395"/>
      <c r="LGZ96" s="395"/>
      <c r="LHA96" s="395"/>
      <c r="LHB96" s="395"/>
      <c r="LHC96" s="395"/>
      <c r="LHD96" s="395"/>
      <c r="LHE96" s="395"/>
      <c r="LHF96" s="395"/>
      <c r="LHG96" s="395"/>
      <c r="LHH96" s="395"/>
      <c r="LHI96" s="395"/>
      <c r="LHJ96" s="395"/>
      <c r="LHK96" s="395"/>
      <c r="LHL96" s="395"/>
      <c r="LHM96" s="395"/>
      <c r="LHN96" s="395"/>
      <c r="LHO96" s="395"/>
      <c r="LHP96" s="395"/>
      <c r="LHQ96" s="395"/>
      <c r="LHR96" s="395"/>
      <c r="LHS96" s="395"/>
      <c r="LHT96" s="395"/>
      <c r="LHU96" s="395"/>
      <c r="LHV96" s="395"/>
      <c r="LHW96" s="396"/>
      <c r="LHX96" s="394"/>
      <c r="LHY96" s="395"/>
      <c r="LHZ96" s="395"/>
      <c r="LIA96" s="395"/>
      <c r="LIB96" s="395"/>
      <c r="LIC96" s="395"/>
      <c r="LID96" s="395"/>
      <c r="LIE96" s="395"/>
      <c r="LIF96" s="395"/>
      <c r="LIG96" s="395"/>
      <c r="LIH96" s="395"/>
      <c r="LII96" s="395"/>
      <c r="LIJ96" s="395"/>
      <c r="LIK96" s="395"/>
      <c r="LIL96" s="395"/>
      <c r="LIM96" s="395"/>
      <c r="LIN96" s="395"/>
      <c r="LIO96" s="395"/>
      <c r="LIP96" s="395"/>
      <c r="LIQ96" s="395"/>
      <c r="LIR96" s="395"/>
      <c r="LIS96" s="395"/>
      <c r="LIT96" s="395"/>
      <c r="LIU96" s="395"/>
      <c r="LIV96" s="395"/>
      <c r="LIW96" s="395"/>
      <c r="LIX96" s="396"/>
      <c r="LIY96" s="394"/>
      <c r="LIZ96" s="395"/>
      <c r="LJA96" s="395"/>
      <c r="LJB96" s="395"/>
      <c r="LJC96" s="395"/>
      <c r="LJD96" s="395"/>
      <c r="LJE96" s="395"/>
      <c r="LJF96" s="395"/>
      <c r="LJG96" s="395"/>
      <c r="LJH96" s="395"/>
      <c r="LJI96" s="395"/>
      <c r="LJJ96" s="395"/>
      <c r="LJK96" s="395"/>
      <c r="LJL96" s="395"/>
      <c r="LJM96" s="395"/>
      <c r="LJN96" s="395"/>
      <c r="LJO96" s="395"/>
      <c r="LJP96" s="395"/>
      <c r="LJQ96" s="395"/>
      <c r="LJR96" s="395"/>
      <c r="LJS96" s="395"/>
      <c r="LJT96" s="395"/>
      <c r="LJU96" s="395"/>
      <c r="LJV96" s="395"/>
      <c r="LJW96" s="395"/>
      <c r="LJX96" s="395"/>
      <c r="LJY96" s="396"/>
      <c r="LJZ96" s="394"/>
      <c r="LKA96" s="395"/>
      <c r="LKB96" s="395"/>
      <c r="LKC96" s="395"/>
      <c r="LKD96" s="395"/>
      <c r="LKE96" s="395"/>
      <c r="LKF96" s="395"/>
      <c r="LKG96" s="395"/>
      <c r="LKH96" s="395"/>
      <c r="LKI96" s="395"/>
      <c r="LKJ96" s="395"/>
      <c r="LKK96" s="395"/>
      <c r="LKL96" s="395"/>
      <c r="LKM96" s="395"/>
      <c r="LKN96" s="395"/>
      <c r="LKO96" s="395"/>
      <c r="LKP96" s="395"/>
      <c r="LKQ96" s="395"/>
      <c r="LKR96" s="395"/>
      <c r="LKS96" s="395"/>
      <c r="LKT96" s="395"/>
      <c r="LKU96" s="395"/>
      <c r="LKV96" s="395"/>
      <c r="LKW96" s="395"/>
      <c r="LKX96" s="395"/>
      <c r="LKY96" s="395"/>
      <c r="LKZ96" s="396"/>
      <c r="LLA96" s="394"/>
      <c r="LLB96" s="395"/>
      <c r="LLC96" s="395"/>
      <c r="LLD96" s="395"/>
      <c r="LLE96" s="395"/>
      <c r="LLF96" s="395"/>
      <c r="LLG96" s="395"/>
      <c r="LLH96" s="395"/>
      <c r="LLI96" s="395"/>
      <c r="LLJ96" s="395"/>
      <c r="LLK96" s="395"/>
      <c r="LLL96" s="395"/>
      <c r="LLM96" s="395"/>
      <c r="LLN96" s="395"/>
      <c r="LLO96" s="395"/>
      <c r="LLP96" s="395"/>
      <c r="LLQ96" s="395"/>
      <c r="LLR96" s="395"/>
      <c r="LLS96" s="395"/>
      <c r="LLT96" s="395"/>
      <c r="LLU96" s="395"/>
      <c r="LLV96" s="395"/>
      <c r="LLW96" s="395"/>
      <c r="LLX96" s="395"/>
      <c r="LLY96" s="395"/>
      <c r="LLZ96" s="395"/>
      <c r="LMA96" s="396"/>
      <c r="LMB96" s="394"/>
      <c r="LMC96" s="395"/>
      <c r="LMD96" s="395"/>
      <c r="LME96" s="395"/>
      <c r="LMF96" s="395"/>
      <c r="LMG96" s="395"/>
      <c r="LMH96" s="395"/>
      <c r="LMI96" s="395"/>
      <c r="LMJ96" s="395"/>
      <c r="LMK96" s="395"/>
      <c r="LML96" s="395"/>
      <c r="LMM96" s="395"/>
      <c r="LMN96" s="395"/>
      <c r="LMO96" s="395"/>
      <c r="LMP96" s="395"/>
      <c r="LMQ96" s="395"/>
      <c r="LMR96" s="395"/>
      <c r="LMS96" s="395"/>
      <c r="LMT96" s="395"/>
      <c r="LMU96" s="395"/>
      <c r="LMV96" s="395"/>
      <c r="LMW96" s="395"/>
      <c r="LMX96" s="395"/>
      <c r="LMY96" s="395"/>
      <c r="LMZ96" s="395"/>
      <c r="LNA96" s="395"/>
      <c r="LNB96" s="396"/>
      <c r="LNC96" s="394"/>
      <c r="LND96" s="395"/>
      <c r="LNE96" s="395"/>
      <c r="LNF96" s="395"/>
      <c r="LNG96" s="395"/>
      <c r="LNH96" s="395"/>
      <c r="LNI96" s="395"/>
      <c r="LNJ96" s="395"/>
      <c r="LNK96" s="395"/>
      <c r="LNL96" s="395"/>
      <c r="LNM96" s="395"/>
      <c r="LNN96" s="395"/>
      <c r="LNO96" s="395"/>
      <c r="LNP96" s="395"/>
      <c r="LNQ96" s="395"/>
      <c r="LNR96" s="395"/>
      <c r="LNS96" s="395"/>
      <c r="LNT96" s="395"/>
      <c r="LNU96" s="395"/>
      <c r="LNV96" s="395"/>
      <c r="LNW96" s="395"/>
      <c r="LNX96" s="395"/>
      <c r="LNY96" s="395"/>
      <c r="LNZ96" s="395"/>
      <c r="LOA96" s="395"/>
      <c r="LOB96" s="395"/>
      <c r="LOC96" s="396"/>
      <c r="LOD96" s="394"/>
      <c r="LOE96" s="395"/>
      <c r="LOF96" s="395"/>
      <c r="LOG96" s="395"/>
      <c r="LOH96" s="395"/>
      <c r="LOI96" s="395"/>
      <c r="LOJ96" s="395"/>
      <c r="LOK96" s="395"/>
      <c r="LOL96" s="395"/>
      <c r="LOM96" s="395"/>
      <c r="LON96" s="395"/>
      <c r="LOO96" s="395"/>
      <c r="LOP96" s="395"/>
      <c r="LOQ96" s="395"/>
      <c r="LOR96" s="395"/>
      <c r="LOS96" s="395"/>
      <c r="LOT96" s="395"/>
      <c r="LOU96" s="395"/>
      <c r="LOV96" s="395"/>
      <c r="LOW96" s="395"/>
      <c r="LOX96" s="395"/>
      <c r="LOY96" s="395"/>
      <c r="LOZ96" s="395"/>
      <c r="LPA96" s="395"/>
      <c r="LPB96" s="395"/>
      <c r="LPC96" s="395"/>
      <c r="LPD96" s="396"/>
      <c r="LPE96" s="394"/>
      <c r="LPF96" s="395"/>
      <c r="LPG96" s="395"/>
      <c r="LPH96" s="395"/>
      <c r="LPI96" s="395"/>
      <c r="LPJ96" s="395"/>
      <c r="LPK96" s="395"/>
      <c r="LPL96" s="395"/>
      <c r="LPM96" s="395"/>
      <c r="LPN96" s="395"/>
      <c r="LPO96" s="395"/>
      <c r="LPP96" s="395"/>
      <c r="LPQ96" s="395"/>
      <c r="LPR96" s="395"/>
      <c r="LPS96" s="395"/>
      <c r="LPT96" s="395"/>
      <c r="LPU96" s="395"/>
      <c r="LPV96" s="395"/>
      <c r="LPW96" s="395"/>
      <c r="LPX96" s="395"/>
      <c r="LPY96" s="395"/>
      <c r="LPZ96" s="395"/>
      <c r="LQA96" s="395"/>
      <c r="LQB96" s="395"/>
      <c r="LQC96" s="395"/>
      <c r="LQD96" s="395"/>
      <c r="LQE96" s="396"/>
      <c r="LQF96" s="394"/>
      <c r="LQG96" s="395"/>
      <c r="LQH96" s="395"/>
      <c r="LQI96" s="395"/>
      <c r="LQJ96" s="395"/>
      <c r="LQK96" s="395"/>
      <c r="LQL96" s="395"/>
      <c r="LQM96" s="395"/>
      <c r="LQN96" s="395"/>
      <c r="LQO96" s="395"/>
      <c r="LQP96" s="395"/>
      <c r="LQQ96" s="395"/>
      <c r="LQR96" s="395"/>
      <c r="LQS96" s="395"/>
      <c r="LQT96" s="395"/>
      <c r="LQU96" s="395"/>
      <c r="LQV96" s="395"/>
      <c r="LQW96" s="395"/>
      <c r="LQX96" s="395"/>
      <c r="LQY96" s="395"/>
      <c r="LQZ96" s="395"/>
      <c r="LRA96" s="395"/>
      <c r="LRB96" s="395"/>
      <c r="LRC96" s="395"/>
      <c r="LRD96" s="395"/>
      <c r="LRE96" s="395"/>
      <c r="LRF96" s="396"/>
      <c r="LRG96" s="394"/>
      <c r="LRH96" s="395"/>
      <c r="LRI96" s="395"/>
      <c r="LRJ96" s="395"/>
      <c r="LRK96" s="395"/>
      <c r="LRL96" s="395"/>
      <c r="LRM96" s="395"/>
      <c r="LRN96" s="395"/>
      <c r="LRO96" s="395"/>
      <c r="LRP96" s="395"/>
      <c r="LRQ96" s="395"/>
      <c r="LRR96" s="395"/>
      <c r="LRS96" s="395"/>
      <c r="LRT96" s="395"/>
      <c r="LRU96" s="395"/>
      <c r="LRV96" s="395"/>
      <c r="LRW96" s="395"/>
      <c r="LRX96" s="395"/>
      <c r="LRY96" s="395"/>
      <c r="LRZ96" s="395"/>
      <c r="LSA96" s="395"/>
      <c r="LSB96" s="395"/>
      <c r="LSC96" s="395"/>
      <c r="LSD96" s="395"/>
      <c r="LSE96" s="395"/>
      <c r="LSF96" s="395"/>
      <c r="LSG96" s="396"/>
      <c r="LSH96" s="394"/>
      <c r="LSI96" s="395"/>
      <c r="LSJ96" s="395"/>
      <c r="LSK96" s="395"/>
      <c r="LSL96" s="395"/>
      <c r="LSM96" s="395"/>
      <c r="LSN96" s="395"/>
      <c r="LSO96" s="395"/>
      <c r="LSP96" s="395"/>
      <c r="LSQ96" s="395"/>
      <c r="LSR96" s="395"/>
      <c r="LSS96" s="395"/>
      <c r="LST96" s="395"/>
      <c r="LSU96" s="395"/>
      <c r="LSV96" s="395"/>
      <c r="LSW96" s="395"/>
      <c r="LSX96" s="395"/>
      <c r="LSY96" s="395"/>
      <c r="LSZ96" s="395"/>
      <c r="LTA96" s="395"/>
      <c r="LTB96" s="395"/>
      <c r="LTC96" s="395"/>
      <c r="LTD96" s="395"/>
      <c r="LTE96" s="395"/>
      <c r="LTF96" s="395"/>
      <c r="LTG96" s="395"/>
      <c r="LTH96" s="396"/>
      <c r="LTI96" s="394"/>
      <c r="LTJ96" s="395"/>
      <c r="LTK96" s="395"/>
      <c r="LTL96" s="395"/>
      <c r="LTM96" s="395"/>
      <c r="LTN96" s="395"/>
      <c r="LTO96" s="395"/>
      <c r="LTP96" s="395"/>
      <c r="LTQ96" s="395"/>
      <c r="LTR96" s="395"/>
      <c r="LTS96" s="395"/>
      <c r="LTT96" s="395"/>
      <c r="LTU96" s="395"/>
      <c r="LTV96" s="395"/>
      <c r="LTW96" s="395"/>
      <c r="LTX96" s="395"/>
      <c r="LTY96" s="395"/>
      <c r="LTZ96" s="395"/>
      <c r="LUA96" s="395"/>
      <c r="LUB96" s="395"/>
      <c r="LUC96" s="395"/>
      <c r="LUD96" s="395"/>
      <c r="LUE96" s="395"/>
      <c r="LUF96" s="395"/>
      <c r="LUG96" s="395"/>
      <c r="LUH96" s="395"/>
      <c r="LUI96" s="396"/>
      <c r="LUJ96" s="394"/>
      <c r="LUK96" s="395"/>
      <c r="LUL96" s="395"/>
      <c r="LUM96" s="395"/>
      <c r="LUN96" s="395"/>
      <c r="LUO96" s="395"/>
      <c r="LUP96" s="395"/>
      <c r="LUQ96" s="395"/>
      <c r="LUR96" s="395"/>
      <c r="LUS96" s="395"/>
      <c r="LUT96" s="395"/>
      <c r="LUU96" s="395"/>
      <c r="LUV96" s="395"/>
      <c r="LUW96" s="395"/>
      <c r="LUX96" s="395"/>
      <c r="LUY96" s="395"/>
      <c r="LUZ96" s="395"/>
      <c r="LVA96" s="395"/>
      <c r="LVB96" s="395"/>
      <c r="LVC96" s="395"/>
      <c r="LVD96" s="395"/>
      <c r="LVE96" s="395"/>
      <c r="LVF96" s="395"/>
      <c r="LVG96" s="395"/>
      <c r="LVH96" s="395"/>
      <c r="LVI96" s="395"/>
      <c r="LVJ96" s="396"/>
      <c r="LVK96" s="394"/>
      <c r="LVL96" s="395"/>
      <c r="LVM96" s="395"/>
      <c r="LVN96" s="395"/>
      <c r="LVO96" s="395"/>
      <c r="LVP96" s="395"/>
      <c r="LVQ96" s="395"/>
      <c r="LVR96" s="395"/>
      <c r="LVS96" s="395"/>
      <c r="LVT96" s="395"/>
      <c r="LVU96" s="395"/>
      <c r="LVV96" s="395"/>
      <c r="LVW96" s="395"/>
      <c r="LVX96" s="395"/>
      <c r="LVY96" s="395"/>
      <c r="LVZ96" s="395"/>
      <c r="LWA96" s="395"/>
      <c r="LWB96" s="395"/>
      <c r="LWC96" s="395"/>
      <c r="LWD96" s="395"/>
      <c r="LWE96" s="395"/>
      <c r="LWF96" s="395"/>
      <c r="LWG96" s="395"/>
      <c r="LWH96" s="395"/>
      <c r="LWI96" s="395"/>
      <c r="LWJ96" s="395"/>
      <c r="LWK96" s="396"/>
      <c r="LWL96" s="394"/>
      <c r="LWM96" s="395"/>
      <c r="LWN96" s="395"/>
      <c r="LWO96" s="395"/>
      <c r="LWP96" s="395"/>
      <c r="LWQ96" s="395"/>
      <c r="LWR96" s="395"/>
      <c r="LWS96" s="395"/>
      <c r="LWT96" s="395"/>
      <c r="LWU96" s="395"/>
      <c r="LWV96" s="395"/>
      <c r="LWW96" s="395"/>
      <c r="LWX96" s="395"/>
      <c r="LWY96" s="395"/>
      <c r="LWZ96" s="395"/>
      <c r="LXA96" s="395"/>
      <c r="LXB96" s="395"/>
      <c r="LXC96" s="395"/>
      <c r="LXD96" s="395"/>
      <c r="LXE96" s="395"/>
      <c r="LXF96" s="395"/>
      <c r="LXG96" s="395"/>
      <c r="LXH96" s="395"/>
      <c r="LXI96" s="395"/>
      <c r="LXJ96" s="395"/>
      <c r="LXK96" s="395"/>
      <c r="LXL96" s="396"/>
      <c r="LXM96" s="394"/>
      <c r="LXN96" s="395"/>
      <c r="LXO96" s="395"/>
      <c r="LXP96" s="395"/>
      <c r="LXQ96" s="395"/>
      <c r="LXR96" s="395"/>
      <c r="LXS96" s="395"/>
      <c r="LXT96" s="395"/>
      <c r="LXU96" s="395"/>
      <c r="LXV96" s="395"/>
      <c r="LXW96" s="395"/>
      <c r="LXX96" s="395"/>
      <c r="LXY96" s="395"/>
      <c r="LXZ96" s="395"/>
      <c r="LYA96" s="395"/>
      <c r="LYB96" s="395"/>
      <c r="LYC96" s="395"/>
      <c r="LYD96" s="395"/>
      <c r="LYE96" s="395"/>
      <c r="LYF96" s="395"/>
      <c r="LYG96" s="395"/>
      <c r="LYH96" s="395"/>
      <c r="LYI96" s="395"/>
      <c r="LYJ96" s="395"/>
      <c r="LYK96" s="395"/>
      <c r="LYL96" s="395"/>
      <c r="LYM96" s="396"/>
      <c r="LYN96" s="394"/>
      <c r="LYO96" s="395"/>
      <c r="LYP96" s="395"/>
      <c r="LYQ96" s="395"/>
      <c r="LYR96" s="395"/>
      <c r="LYS96" s="395"/>
      <c r="LYT96" s="395"/>
      <c r="LYU96" s="395"/>
      <c r="LYV96" s="395"/>
      <c r="LYW96" s="395"/>
      <c r="LYX96" s="395"/>
      <c r="LYY96" s="395"/>
      <c r="LYZ96" s="395"/>
      <c r="LZA96" s="395"/>
      <c r="LZB96" s="395"/>
      <c r="LZC96" s="395"/>
      <c r="LZD96" s="395"/>
      <c r="LZE96" s="395"/>
      <c r="LZF96" s="395"/>
      <c r="LZG96" s="395"/>
      <c r="LZH96" s="395"/>
      <c r="LZI96" s="395"/>
      <c r="LZJ96" s="395"/>
      <c r="LZK96" s="395"/>
      <c r="LZL96" s="395"/>
      <c r="LZM96" s="395"/>
      <c r="LZN96" s="396"/>
      <c r="LZO96" s="394"/>
      <c r="LZP96" s="395"/>
      <c r="LZQ96" s="395"/>
      <c r="LZR96" s="395"/>
      <c r="LZS96" s="395"/>
      <c r="LZT96" s="395"/>
      <c r="LZU96" s="395"/>
      <c r="LZV96" s="395"/>
      <c r="LZW96" s="395"/>
      <c r="LZX96" s="395"/>
      <c r="LZY96" s="395"/>
      <c r="LZZ96" s="395"/>
      <c r="MAA96" s="395"/>
      <c r="MAB96" s="395"/>
      <c r="MAC96" s="395"/>
      <c r="MAD96" s="395"/>
      <c r="MAE96" s="395"/>
      <c r="MAF96" s="395"/>
      <c r="MAG96" s="395"/>
      <c r="MAH96" s="395"/>
      <c r="MAI96" s="395"/>
      <c r="MAJ96" s="395"/>
      <c r="MAK96" s="395"/>
      <c r="MAL96" s="395"/>
      <c r="MAM96" s="395"/>
      <c r="MAN96" s="395"/>
      <c r="MAO96" s="396"/>
      <c r="MAP96" s="394"/>
      <c r="MAQ96" s="395"/>
      <c r="MAR96" s="395"/>
      <c r="MAS96" s="395"/>
      <c r="MAT96" s="395"/>
      <c r="MAU96" s="395"/>
      <c r="MAV96" s="395"/>
      <c r="MAW96" s="395"/>
      <c r="MAX96" s="395"/>
      <c r="MAY96" s="395"/>
      <c r="MAZ96" s="395"/>
      <c r="MBA96" s="395"/>
      <c r="MBB96" s="395"/>
      <c r="MBC96" s="395"/>
      <c r="MBD96" s="395"/>
      <c r="MBE96" s="395"/>
      <c r="MBF96" s="395"/>
      <c r="MBG96" s="395"/>
      <c r="MBH96" s="395"/>
      <c r="MBI96" s="395"/>
      <c r="MBJ96" s="395"/>
      <c r="MBK96" s="395"/>
      <c r="MBL96" s="395"/>
      <c r="MBM96" s="395"/>
      <c r="MBN96" s="395"/>
      <c r="MBO96" s="395"/>
      <c r="MBP96" s="396"/>
      <c r="MBQ96" s="394"/>
      <c r="MBR96" s="395"/>
      <c r="MBS96" s="395"/>
      <c r="MBT96" s="395"/>
      <c r="MBU96" s="395"/>
      <c r="MBV96" s="395"/>
      <c r="MBW96" s="395"/>
      <c r="MBX96" s="395"/>
      <c r="MBY96" s="395"/>
      <c r="MBZ96" s="395"/>
      <c r="MCA96" s="395"/>
      <c r="MCB96" s="395"/>
      <c r="MCC96" s="395"/>
      <c r="MCD96" s="395"/>
      <c r="MCE96" s="395"/>
      <c r="MCF96" s="395"/>
      <c r="MCG96" s="395"/>
      <c r="MCH96" s="395"/>
      <c r="MCI96" s="395"/>
      <c r="MCJ96" s="395"/>
      <c r="MCK96" s="395"/>
      <c r="MCL96" s="395"/>
      <c r="MCM96" s="395"/>
      <c r="MCN96" s="395"/>
      <c r="MCO96" s="395"/>
      <c r="MCP96" s="395"/>
      <c r="MCQ96" s="396"/>
      <c r="MCR96" s="394"/>
      <c r="MCS96" s="395"/>
      <c r="MCT96" s="395"/>
      <c r="MCU96" s="395"/>
      <c r="MCV96" s="395"/>
      <c r="MCW96" s="395"/>
      <c r="MCX96" s="395"/>
      <c r="MCY96" s="395"/>
      <c r="MCZ96" s="395"/>
      <c r="MDA96" s="395"/>
      <c r="MDB96" s="395"/>
      <c r="MDC96" s="395"/>
      <c r="MDD96" s="395"/>
      <c r="MDE96" s="395"/>
      <c r="MDF96" s="395"/>
      <c r="MDG96" s="395"/>
      <c r="MDH96" s="395"/>
      <c r="MDI96" s="395"/>
      <c r="MDJ96" s="395"/>
      <c r="MDK96" s="395"/>
      <c r="MDL96" s="395"/>
      <c r="MDM96" s="395"/>
      <c r="MDN96" s="395"/>
      <c r="MDO96" s="395"/>
      <c r="MDP96" s="395"/>
      <c r="MDQ96" s="395"/>
      <c r="MDR96" s="396"/>
      <c r="MDS96" s="394"/>
      <c r="MDT96" s="395"/>
      <c r="MDU96" s="395"/>
      <c r="MDV96" s="395"/>
      <c r="MDW96" s="395"/>
      <c r="MDX96" s="395"/>
      <c r="MDY96" s="395"/>
      <c r="MDZ96" s="395"/>
      <c r="MEA96" s="395"/>
      <c r="MEB96" s="395"/>
      <c r="MEC96" s="395"/>
      <c r="MED96" s="395"/>
      <c r="MEE96" s="395"/>
      <c r="MEF96" s="395"/>
      <c r="MEG96" s="395"/>
      <c r="MEH96" s="395"/>
      <c r="MEI96" s="395"/>
      <c r="MEJ96" s="395"/>
      <c r="MEK96" s="395"/>
      <c r="MEL96" s="395"/>
      <c r="MEM96" s="395"/>
      <c r="MEN96" s="395"/>
      <c r="MEO96" s="395"/>
      <c r="MEP96" s="395"/>
      <c r="MEQ96" s="395"/>
      <c r="MER96" s="395"/>
      <c r="MES96" s="396"/>
      <c r="MET96" s="394"/>
      <c r="MEU96" s="395"/>
      <c r="MEV96" s="395"/>
      <c r="MEW96" s="395"/>
      <c r="MEX96" s="395"/>
      <c r="MEY96" s="395"/>
      <c r="MEZ96" s="395"/>
      <c r="MFA96" s="395"/>
      <c r="MFB96" s="395"/>
      <c r="MFC96" s="395"/>
      <c r="MFD96" s="395"/>
      <c r="MFE96" s="395"/>
      <c r="MFF96" s="395"/>
      <c r="MFG96" s="395"/>
      <c r="MFH96" s="395"/>
      <c r="MFI96" s="395"/>
      <c r="MFJ96" s="395"/>
      <c r="MFK96" s="395"/>
      <c r="MFL96" s="395"/>
      <c r="MFM96" s="395"/>
      <c r="MFN96" s="395"/>
      <c r="MFO96" s="395"/>
      <c r="MFP96" s="395"/>
      <c r="MFQ96" s="395"/>
      <c r="MFR96" s="395"/>
      <c r="MFS96" s="395"/>
      <c r="MFT96" s="396"/>
      <c r="MFU96" s="394"/>
      <c r="MFV96" s="395"/>
      <c r="MFW96" s="395"/>
      <c r="MFX96" s="395"/>
      <c r="MFY96" s="395"/>
      <c r="MFZ96" s="395"/>
      <c r="MGA96" s="395"/>
      <c r="MGB96" s="395"/>
      <c r="MGC96" s="395"/>
      <c r="MGD96" s="395"/>
      <c r="MGE96" s="395"/>
      <c r="MGF96" s="395"/>
      <c r="MGG96" s="395"/>
      <c r="MGH96" s="395"/>
      <c r="MGI96" s="395"/>
      <c r="MGJ96" s="395"/>
      <c r="MGK96" s="395"/>
      <c r="MGL96" s="395"/>
      <c r="MGM96" s="395"/>
      <c r="MGN96" s="395"/>
      <c r="MGO96" s="395"/>
      <c r="MGP96" s="395"/>
      <c r="MGQ96" s="395"/>
      <c r="MGR96" s="395"/>
      <c r="MGS96" s="395"/>
      <c r="MGT96" s="395"/>
      <c r="MGU96" s="396"/>
      <c r="MGV96" s="394"/>
      <c r="MGW96" s="395"/>
      <c r="MGX96" s="395"/>
      <c r="MGY96" s="395"/>
      <c r="MGZ96" s="395"/>
      <c r="MHA96" s="395"/>
      <c r="MHB96" s="395"/>
      <c r="MHC96" s="395"/>
      <c r="MHD96" s="395"/>
      <c r="MHE96" s="395"/>
      <c r="MHF96" s="395"/>
      <c r="MHG96" s="395"/>
      <c r="MHH96" s="395"/>
      <c r="MHI96" s="395"/>
      <c r="MHJ96" s="395"/>
      <c r="MHK96" s="395"/>
      <c r="MHL96" s="395"/>
      <c r="MHM96" s="395"/>
      <c r="MHN96" s="395"/>
      <c r="MHO96" s="395"/>
      <c r="MHP96" s="395"/>
      <c r="MHQ96" s="395"/>
      <c r="MHR96" s="395"/>
      <c r="MHS96" s="395"/>
      <c r="MHT96" s="395"/>
      <c r="MHU96" s="395"/>
      <c r="MHV96" s="396"/>
      <c r="MHW96" s="394"/>
      <c r="MHX96" s="395"/>
      <c r="MHY96" s="395"/>
      <c r="MHZ96" s="395"/>
      <c r="MIA96" s="395"/>
      <c r="MIB96" s="395"/>
      <c r="MIC96" s="395"/>
      <c r="MID96" s="395"/>
      <c r="MIE96" s="395"/>
      <c r="MIF96" s="395"/>
      <c r="MIG96" s="395"/>
      <c r="MIH96" s="395"/>
      <c r="MII96" s="395"/>
      <c r="MIJ96" s="395"/>
      <c r="MIK96" s="395"/>
      <c r="MIL96" s="395"/>
      <c r="MIM96" s="395"/>
      <c r="MIN96" s="395"/>
      <c r="MIO96" s="395"/>
      <c r="MIP96" s="395"/>
      <c r="MIQ96" s="395"/>
      <c r="MIR96" s="395"/>
      <c r="MIS96" s="395"/>
      <c r="MIT96" s="395"/>
      <c r="MIU96" s="395"/>
      <c r="MIV96" s="395"/>
      <c r="MIW96" s="396"/>
      <c r="MIX96" s="394"/>
      <c r="MIY96" s="395"/>
      <c r="MIZ96" s="395"/>
      <c r="MJA96" s="395"/>
      <c r="MJB96" s="395"/>
      <c r="MJC96" s="395"/>
      <c r="MJD96" s="395"/>
      <c r="MJE96" s="395"/>
      <c r="MJF96" s="395"/>
      <c r="MJG96" s="395"/>
      <c r="MJH96" s="395"/>
      <c r="MJI96" s="395"/>
      <c r="MJJ96" s="395"/>
      <c r="MJK96" s="395"/>
      <c r="MJL96" s="395"/>
      <c r="MJM96" s="395"/>
      <c r="MJN96" s="395"/>
      <c r="MJO96" s="395"/>
      <c r="MJP96" s="395"/>
      <c r="MJQ96" s="395"/>
      <c r="MJR96" s="395"/>
      <c r="MJS96" s="395"/>
      <c r="MJT96" s="395"/>
      <c r="MJU96" s="395"/>
      <c r="MJV96" s="395"/>
      <c r="MJW96" s="395"/>
      <c r="MJX96" s="396"/>
      <c r="MJY96" s="394"/>
      <c r="MJZ96" s="395"/>
      <c r="MKA96" s="395"/>
      <c r="MKB96" s="395"/>
      <c r="MKC96" s="395"/>
      <c r="MKD96" s="395"/>
      <c r="MKE96" s="395"/>
      <c r="MKF96" s="395"/>
      <c r="MKG96" s="395"/>
      <c r="MKH96" s="395"/>
      <c r="MKI96" s="395"/>
      <c r="MKJ96" s="395"/>
      <c r="MKK96" s="395"/>
      <c r="MKL96" s="395"/>
      <c r="MKM96" s="395"/>
      <c r="MKN96" s="395"/>
      <c r="MKO96" s="395"/>
      <c r="MKP96" s="395"/>
      <c r="MKQ96" s="395"/>
      <c r="MKR96" s="395"/>
      <c r="MKS96" s="395"/>
      <c r="MKT96" s="395"/>
      <c r="MKU96" s="395"/>
      <c r="MKV96" s="395"/>
      <c r="MKW96" s="395"/>
      <c r="MKX96" s="395"/>
      <c r="MKY96" s="396"/>
      <c r="MKZ96" s="394"/>
      <c r="MLA96" s="395"/>
      <c r="MLB96" s="395"/>
      <c r="MLC96" s="395"/>
      <c r="MLD96" s="395"/>
      <c r="MLE96" s="395"/>
      <c r="MLF96" s="395"/>
      <c r="MLG96" s="395"/>
      <c r="MLH96" s="395"/>
      <c r="MLI96" s="395"/>
      <c r="MLJ96" s="395"/>
      <c r="MLK96" s="395"/>
      <c r="MLL96" s="395"/>
      <c r="MLM96" s="395"/>
      <c r="MLN96" s="395"/>
      <c r="MLO96" s="395"/>
      <c r="MLP96" s="395"/>
      <c r="MLQ96" s="395"/>
      <c r="MLR96" s="395"/>
      <c r="MLS96" s="395"/>
      <c r="MLT96" s="395"/>
      <c r="MLU96" s="395"/>
      <c r="MLV96" s="395"/>
      <c r="MLW96" s="395"/>
      <c r="MLX96" s="395"/>
      <c r="MLY96" s="395"/>
      <c r="MLZ96" s="396"/>
      <c r="MMA96" s="394"/>
      <c r="MMB96" s="395"/>
      <c r="MMC96" s="395"/>
      <c r="MMD96" s="395"/>
      <c r="MME96" s="395"/>
      <c r="MMF96" s="395"/>
      <c r="MMG96" s="395"/>
      <c r="MMH96" s="395"/>
      <c r="MMI96" s="395"/>
      <c r="MMJ96" s="395"/>
      <c r="MMK96" s="395"/>
      <c r="MML96" s="395"/>
      <c r="MMM96" s="395"/>
      <c r="MMN96" s="395"/>
      <c r="MMO96" s="395"/>
      <c r="MMP96" s="395"/>
      <c r="MMQ96" s="395"/>
      <c r="MMR96" s="395"/>
      <c r="MMS96" s="395"/>
      <c r="MMT96" s="395"/>
      <c r="MMU96" s="395"/>
      <c r="MMV96" s="395"/>
      <c r="MMW96" s="395"/>
      <c r="MMX96" s="395"/>
      <c r="MMY96" s="395"/>
      <c r="MMZ96" s="395"/>
      <c r="MNA96" s="396"/>
      <c r="MNB96" s="394"/>
      <c r="MNC96" s="395"/>
      <c r="MND96" s="395"/>
      <c r="MNE96" s="395"/>
      <c r="MNF96" s="395"/>
      <c r="MNG96" s="395"/>
      <c r="MNH96" s="395"/>
      <c r="MNI96" s="395"/>
      <c r="MNJ96" s="395"/>
      <c r="MNK96" s="395"/>
      <c r="MNL96" s="395"/>
      <c r="MNM96" s="395"/>
      <c r="MNN96" s="395"/>
      <c r="MNO96" s="395"/>
      <c r="MNP96" s="395"/>
      <c r="MNQ96" s="395"/>
      <c r="MNR96" s="395"/>
      <c r="MNS96" s="395"/>
      <c r="MNT96" s="395"/>
      <c r="MNU96" s="395"/>
      <c r="MNV96" s="395"/>
      <c r="MNW96" s="395"/>
      <c r="MNX96" s="395"/>
      <c r="MNY96" s="395"/>
      <c r="MNZ96" s="395"/>
      <c r="MOA96" s="395"/>
      <c r="MOB96" s="396"/>
      <c r="MOC96" s="394"/>
      <c r="MOD96" s="395"/>
      <c r="MOE96" s="395"/>
      <c r="MOF96" s="395"/>
      <c r="MOG96" s="395"/>
      <c r="MOH96" s="395"/>
      <c r="MOI96" s="395"/>
      <c r="MOJ96" s="395"/>
      <c r="MOK96" s="395"/>
      <c r="MOL96" s="395"/>
      <c r="MOM96" s="395"/>
      <c r="MON96" s="395"/>
      <c r="MOO96" s="395"/>
      <c r="MOP96" s="395"/>
      <c r="MOQ96" s="395"/>
      <c r="MOR96" s="395"/>
      <c r="MOS96" s="395"/>
      <c r="MOT96" s="395"/>
      <c r="MOU96" s="395"/>
      <c r="MOV96" s="395"/>
      <c r="MOW96" s="395"/>
      <c r="MOX96" s="395"/>
      <c r="MOY96" s="395"/>
      <c r="MOZ96" s="395"/>
      <c r="MPA96" s="395"/>
      <c r="MPB96" s="395"/>
      <c r="MPC96" s="396"/>
      <c r="MPD96" s="394"/>
      <c r="MPE96" s="395"/>
      <c r="MPF96" s="395"/>
      <c r="MPG96" s="395"/>
      <c r="MPH96" s="395"/>
      <c r="MPI96" s="395"/>
      <c r="MPJ96" s="395"/>
      <c r="MPK96" s="395"/>
      <c r="MPL96" s="395"/>
      <c r="MPM96" s="395"/>
      <c r="MPN96" s="395"/>
      <c r="MPO96" s="395"/>
      <c r="MPP96" s="395"/>
      <c r="MPQ96" s="395"/>
      <c r="MPR96" s="395"/>
      <c r="MPS96" s="395"/>
      <c r="MPT96" s="395"/>
      <c r="MPU96" s="395"/>
      <c r="MPV96" s="395"/>
      <c r="MPW96" s="395"/>
      <c r="MPX96" s="395"/>
      <c r="MPY96" s="395"/>
      <c r="MPZ96" s="395"/>
      <c r="MQA96" s="395"/>
      <c r="MQB96" s="395"/>
      <c r="MQC96" s="395"/>
      <c r="MQD96" s="396"/>
      <c r="MQE96" s="394"/>
      <c r="MQF96" s="395"/>
      <c r="MQG96" s="395"/>
      <c r="MQH96" s="395"/>
      <c r="MQI96" s="395"/>
      <c r="MQJ96" s="395"/>
      <c r="MQK96" s="395"/>
      <c r="MQL96" s="395"/>
      <c r="MQM96" s="395"/>
      <c r="MQN96" s="395"/>
      <c r="MQO96" s="395"/>
      <c r="MQP96" s="395"/>
      <c r="MQQ96" s="395"/>
      <c r="MQR96" s="395"/>
      <c r="MQS96" s="395"/>
      <c r="MQT96" s="395"/>
      <c r="MQU96" s="395"/>
      <c r="MQV96" s="395"/>
      <c r="MQW96" s="395"/>
      <c r="MQX96" s="395"/>
      <c r="MQY96" s="395"/>
      <c r="MQZ96" s="395"/>
      <c r="MRA96" s="395"/>
      <c r="MRB96" s="395"/>
      <c r="MRC96" s="395"/>
      <c r="MRD96" s="395"/>
      <c r="MRE96" s="396"/>
      <c r="MRF96" s="394"/>
      <c r="MRG96" s="395"/>
      <c r="MRH96" s="395"/>
      <c r="MRI96" s="395"/>
      <c r="MRJ96" s="395"/>
      <c r="MRK96" s="395"/>
      <c r="MRL96" s="395"/>
      <c r="MRM96" s="395"/>
      <c r="MRN96" s="395"/>
      <c r="MRO96" s="395"/>
      <c r="MRP96" s="395"/>
      <c r="MRQ96" s="395"/>
      <c r="MRR96" s="395"/>
      <c r="MRS96" s="395"/>
      <c r="MRT96" s="395"/>
      <c r="MRU96" s="395"/>
      <c r="MRV96" s="395"/>
      <c r="MRW96" s="395"/>
      <c r="MRX96" s="395"/>
      <c r="MRY96" s="395"/>
      <c r="MRZ96" s="395"/>
      <c r="MSA96" s="395"/>
      <c r="MSB96" s="395"/>
      <c r="MSC96" s="395"/>
      <c r="MSD96" s="395"/>
      <c r="MSE96" s="395"/>
      <c r="MSF96" s="396"/>
      <c r="MSG96" s="394"/>
      <c r="MSH96" s="395"/>
      <c r="MSI96" s="395"/>
      <c r="MSJ96" s="395"/>
      <c r="MSK96" s="395"/>
      <c r="MSL96" s="395"/>
      <c r="MSM96" s="395"/>
      <c r="MSN96" s="395"/>
      <c r="MSO96" s="395"/>
      <c r="MSP96" s="395"/>
      <c r="MSQ96" s="395"/>
      <c r="MSR96" s="395"/>
      <c r="MSS96" s="395"/>
      <c r="MST96" s="395"/>
      <c r="MSU96" s="395"/>
      <c r="MSV96" s="395"/>
      <c r="MSW96" s="395"/>
      <c r="MSX96" s="395"/>
      <c r="MSY96" s="395"/>
      <c r="MSZ96" s="395"/>
      <c r="MTA96" s="395"/>
      <c r="MTB96" s="395"/>
      <c r="MTC96" s="395"/>
      <c r="MTD96" s="395"/>
      <c r="MTE96" s="395"/>
      <c r="MTF96" s="395"/>
      <c r="MTG96" s="396"/>
      <c r="MTH96" s="394"/>
      <c r="MTI96" s="395"/>
      <c r="MTJ96" s="395"/>
      <c r="MTK96" s="395"/>
      <c r="MTL96" s="395"/>
      <c r="MTM96" s="395"/>
      <c r="MTN96" s="395"/>
      <c r="MTO96" s="395"/>
      <c r="MTP96" s="395"/>
      <c r="MTQ96" s="395"/>
      <c r="MTR96" s="395"/>
      <c r="MTS96" s="395"/>
      <c r="MTT96" s="395"/>
      <c r="MTU96" s="395"/>
      <c r="MTV96" s="395"/>
      <c r="MTW96" s="395"/>
      <c r="MTX96" s="395"/>
      <c r="MTY96" s="395"/>
      <c r="MTZ96" s="395"/>
      <c r="MUA96" s="395"/>
      <c r="MUB96" s="395"/>
      <c r="MUC96" s="395"/>
      <c r="MUD96" s="395"/>
      <c r="MUE96" s="395"/>
      <c r="MUF96" s="395"/>
      <c r="MUG96" s="395"/>
      <c r="MUH96" s="396"/>
      <c r="MUI96" s="394"/>
      <c r="MUJ96" s="395"/>
      <c r="MUK96" s="395"/>
      <c r="MUL96" s="395"/>
      <c r="MUM96" s="395"/>
      <c r="MUN96" s="395"/>
      <c r="MUO96" s="395"/>
      <c r="MUP96" s="395"/>
      <c r="MUQ96" s="395"/>
      <c r="MUR96" s="395"/>
      <c r="MUS96" s="395"/>
      <c r="MUT96" s="395"/>
      <c r="MUU96" s="395"/>
      <c r="MUV96" s="395"/>
      <c r="MUW96" s="395"/>
      <c r="MUX96" s="395"/>
      <c r="MUY96" s="395"/>
      <c r="MUZ96" s="395"/>
      <c r="MVA96" s="395"/>
      <c r="MVB96" s="395"/>
      <c r="MVC96" s="395"/>
      <c r="MVD96" s="395"/>
      <c r="MVE96" s="395"/>
      <c r="MVF96" s="395"/>
      <c r="MVG96" s="395"/>
      <c r="MVH96" s="395"/>
      <c r="MVI96" s="396"/>
      <c r="MVJ96" s="394"/>
      <c r="MVK96" s="395"/>
      <c r="MVL96" s="395"/>
      <c r="MVM96" s="395"/>
      <c r="MVN96" s="395"/>
      <c r="MVO96" s="395"/>
      <c r="MVP96" s="395"/>
      <c r="MVQ96" s="395"/>
      <c r="MVR96" s="395"/>
      <c r="MVS96" s="395"/>
      <c r="MVT96" s="395"/>
      <c r="MVU96" s="395"/>
      <c r="MVV96" s="395"/>
      <c r="MVW96" s="395"/>
      <c r="MVX96" s="395"/>
      <c r="MVY96" s="395"/>
      <c r="MVZ96" s="395"/>
      <c r="MWA96" s="395"/>
      <c r="MWB96" s="395"/>
      <c r="MWC96" s="395"/>
      <c r="MWD96" s="395"/>
      <c r="MWE96" s="395"/>
      <c r="MWF96" s="395"/>
      <c r="MWG96" s="395"/>
      <c r="MWH96" s="395"/>
      <c r="MWI96" s="395"/>
      <c r="MWJ96" s="396"/>
      <c r="MWK96" s="394"/>
      <c r="MWL96" s="395"/>
      <c r="MWM96" s="395"/>
      <c r="MWN96" s="395"/>
      <c r="MWO96" s="395"/>
      <c r="MWP96" s="395"/>
      <c r="MWQ96" s="395"/>
      <c r="MWR96" s="395"/>
      <c r="MWS96" s="395"/>
      <c r="MWT96" s="395"/>
      <c r="MWU96" s="395"/>
      <c r="MWV96" s="395"/>
      <c r="MWW96" s="395"/>
      <c r="MWX96" s="395"/>
      <c r="MWY96" s="395"/>
      <c r="MWZ96" s="395"/>
      <c r="MXA96" s="395"/>
      <c r="MXB96" s="395"/>
      <c r="MXC96" s="395"/>
      <c r="MXD96" s="395"/>
      <c r="MXE96" s="395"/>
      <c r="MXF96" s="395"/>
      <c r="MXG96" s="395"/>
      <c r="MXH96" s="395"/>
      <c r="MXI96" s="395"/>
      <c r="MXJ96" s="395"/>
      <c r="MXK96" s="396"/>
      <c r="MXL96" s="394"/>
      <c r="MXM96" s="395"/>
      <c r="MXN96" s="395"/>
      <c r="MXO96" s="395"/>
      <c r="MXP96" s="395"/>
      <c r="MXQ96" s="395"/>
      <c r="MXR96" s="395"/>
      <c r="MXS96" s="395"/>
      <c r="MXT96" s="395"/>
      <c r="MXU96" s="395"/>
      <c r="MXV96" s="395"/>
      <c r="MXW96" s="395"/>
      <c r="MXX96" s="395"/>
      <c r="MXY96" s="395"/>
      <c r="MXZ96" s="395"/>
      <c r="MYA96" s="395"/>
      <c r="MYB96" s="395"/>
      <c r="MYC96" s="395"/>
      <c r="MYD96" s="395"/>
      <c r="MYE96" s="395"/>
      <c r="MYF96" s="395"/>
      <c r="MYG96" s="395"/>
      <c r="MYH96" s="395"/>
      <c r="MYI96" s="395"/>
      <c r="MYJ96" s="395"/>
      <c r="MYK96" s="395"/>
      <c r="MYL96" s="396"/>
      <c r="MYM96" s="394"/>
      <c r="MYN96" s="395"/>
      <c r="MYO96" s="395"/>
      <c r="MYP96" s="395"/>
      <c r="MYQ96" s="395"/>
      <c r="MYR96" s="395"/>
      <c r="MYS96" s="395"/>
      <c r="MYT96" s="395"/>
      <c r="MYU96" s="395"/>
      <c r="MYV96" s="395"/>
      <c r="MYW96" s="395"/>
      <c r="MYX96" s="395"/>
      <c r="MYY96" s="395"/>
      <c r="MYZ96" s="395"/>
      <c r="MZA96" s="395"/>
      <c r="MZB96" s="395"/>
      <c r="MZC96" s="395"/>
      <c r="MZD96" s="395"/>
      <c r="MZE96" s="395"/>
      <c r="MZF96" s="395"/>
      <c r="MZG96" s="395"/>
      <c r="MZH96" s="395"/>
      <c r="MZI96" s="395"/>
      <c r="MZJ96" s="395"/>
      <c r="MZK96" s="395"/>
      <c r="MZL96" s="395"/>
      <c r="MZM96" s="396"/>
      <c r="MZN96" s="394"/>
      <c r="MZO96" s="395"/>
      <c r="MZP96" s="395"/>
      <c r="MZQ96" s="395"/>
      <c r="MZR96" s="395"/>
      <c r="MZS96" s="395"/>
      <c r="MZT96" s="395"/>
      <c r="MZU96" s="395"/>
      <c r="MZV96" s="395"/>
      <c r="MZW96" s="395"/>
      <c r="MZX96" s="395"/>
      <c r="MZY96" s="395"/>
      <c r="MZZ96" s="395"/>
      <c r="NAA96" s="395"/>
      <c r="NAB96" s="395"/>
      <c r="NAC96" s="395"/>
      <c r="NAD96" s="395"/>
      <c r="NAE96" s="395"/>
      <c r="NAF96" s="395"/>
      <c r="NAG96" s="395"/>
      <c r="NAH96" s="395"/>
      <c r="NAI96" s="395"/>
      <c r="NAJ96" s="395"/>
      <c r="NAK96" s="395"/>
      <c r="NAL96" s="395"/>
      <c r="NAM96" s="395"/>
      <c r="NAN96" s="396"/>
      <c r="NAO96" s="394"/>
      <c r="NAP96" s="395"/>
      <c r="NAQ96" s="395"/>
      <c r="NAR96" s="395"/>
      <c r="NAS96" s="395"/>
      <c r="NAT96" s="395"/>
      <c r="NAU96" s="395"/>
      <c r="NAV96" s="395"/>
      <c r="NAW96" s="395"/>
      <c r="NAX96" s="395"/>
      <c r="NAY96" s="395"/>
      <c r="NAZ96" s="395"/>
      <c r="NBA96" s="395"/>
      <c r="NBB96" s="395"/>
      <c r="NBC96" s="395"/>
      <c r="NBD96" s="395"/>
      <c r="NBE96" s="395"/>
      <c r="NBF96" s="395"/>
      <c r="NBG96" s="395"/>
      <c r="NBH96" s="395"/>
      <c r="NBI96" s="395"/>
      <c r="NBJ96" s="395"/>
      <c r="NBK96" s="395"/>
      <c r="NBL96" s="395"/>
      <c r="NBM96" s="395"/>
      <c r="NBN96" s="395"/>
      <c r="NBO96" s="396"/>
      <c r="NBP96" s="394"/>
      <c r="NBQ96" s="395"/>
      <c r="NBR96" s="395"/>
      <c r="NBS96" s="395"/>
      <c r="NBT96" s="395"/>
      <c r="NBU96" s="395"/>
      <c r="NBV96" s="395"/>
      <c r="NBW96" s="395"/>
      <c r="NBX96" s="395"/>
      <c r="NBY96" s="395"/>
      <c r="NBZ96" s="395"/>
      <c r="NCA96" s="395"/>
      <c r="NCB96" s="395"/>
      <c r="NCC96" s="395"/>
      <c r="NCD96" s="395"/>
      <c r="NCE96" s="395"/>
      <c r="NCF96" s="395"/>
      <c r="NCG96" s="395"/>
      <c r="NCH96" s="395"/>
      <c r="NCI96" s="395"/>
      <c r="NCJ96" s="395"/>
      <c r="NCK96" s="395"/>
      <c r="NCL96" s="395"/>
      <c r="NCM96" s="395"/>
      <c r="NCN96" s="395"/>
      <c r="NCO96" s="395"/>
      <c r="NCP96" s="396"/>
      <c r="NCQ96" s="394"/>
      <c r="NCR96" s="395"/>
      <c r="NCS96" s="395"/>
      <c r="NCT96" s="395"/>
      <c r="NCU96" s="395"/>
      <c r="NCV96" s="395"/>
      <c r="NCW96" s="395"/>
      <c r="NCX96" s="395"/>
      <c r="NCY96" s="395"/>
      <c r="NCZ96" s="395"/>
      <c r="NDA96" s="395"/>
      <c r="NDB96" s="395"/>
      <c r="NDC96" s="395"/>
      <c r="NDD96" s="395"/>
      <c r="NDE96" s="395"/>
      <c r="NDF96" s="395"/>
      <c r="NDG96" s="395"/>
      <c r="NDH96" s="395"/>
      <c r="NDI96" s="395"/>
      <c r="NDJ96" s="395"/>
      <c r="NDK96" s="395"/>
      <c r="NDL96" s="395"/>
      <c r="NDM96" s="395"/>
      <c r="NDN96" s="395"/>
      <c r="NDO96" s="395"/>
      <c r="NDP96" s="395"/>
      <c r="NDQ96" s="396"/>
      <c r="NDR96" s="394"/>
      <c r="NDS96" s="395"/>
      <c r="NDT96" s="395"/>
      <c r="NDU96" s="395"/>
      <c r="NDV96" s="395"/>
      <c r="NDW96" s="395"/>
      <c r="NDX96" s="395"/>
      <c r="NDY96" s="395"/>
      <c r="NDZ96" s="395"/>
      <c r="NEA96" s="395"/>
      <c r="NEB96" s="395"/>
      <c r="NEC96" s="395"/>
      <c r="NED96" s="395"/>
      <c r="NEE96" s="395"/>
      <c r="NEF96" s="395"/>
      <c r="NEG96" s="395"/>
      <c r="NEH96" s="395"/>
      <c r="NEI96" s="395"/>
      <c r="NEJ96" s="395"/>
      <c r="NEK96" s="395"/>
      <c r="NEL96" s="395"/>
      <c r="NEM96" s="395"/>
      <c r="NEN96" s="395"/>
      <c r="NEO96" s="395"/>
      <c r="NEP96" s="395"/>
      <c r="NEQ96" s="395"/>
      <c r="NER96" s="396"/>
      <c r="NES96" s="394"/>
      <c r="NET96" s="395"/>
      <c r="NEU96" s="395"/>
      <c r="NEV96" s="395"/>
      <c r="NEW96" s="395"/>
      <c r="NEX96" s="395"/>
      <c r="NEY96" s="395"/>
      <c r="NEZ96" s="395"/>
      <c r="NFA96" s="395"/>
      <c r="NFB96" s="395"/>
      <c r="NFC96" s="395"/>
      <c r="NFD96" s="395"/>
      <c r="NFE96" s="395"/>
      <c r="NFF96" s="395"/>
      <c r="NFG96" s="395"/>
      <c r="NFH96" s="395"/>
      <c r="NFI96" s="395"/>
      <c r="NFJ96" s="395"/>
      <c r="NFK96" s="395"/>
      <c r="NFL96" s="395"/>
      <c r="NFM96" s="395"/>
      <c r="NFN96" s="395"/>
      <c r="NFO96" s="395"/>
      <c r="NFP96" s="395"/>
      <c r="NFQ96" s="395"/>
      <c r="NFR96" s="395"/>
      <c r="NFS96" s="396"/>
      <c r="NFT96" s="394"/>
      <c r="NFU96" s="395"/>
      <c r="NFV96" s="395"/>
      <c r="NFW96" s="395"/>
      <c r="NFX96" s="395"/>
      <c r="NFY96" s="395"/>
      <c r="NFZ96" s="395"/>
      <c r="NGA96" s="395"/>
      <c r="NGB96" s="395"/>
      <c r="NGC96" s="395"/>
      <c r="NGD96" s="395"/>
      <c r="NGE96" s="395"/>
      <c r="NGF96" s="395"/>
      <c r="NGG96" s="395"/>
      <c r="NGH96" s="395"/>
      <c r="NGI96" s="395"/>
      <c r="NGJ96" s="395"/>
      <c r="NGK96" s="395"/>
      <c r="NGL96" s="395"/>
      <c r="NGM96" s="395"/>
      <c r="NGN96" s="395"/>
      <c r="NGO96" s="395"/>
      <c r="NGP96" s="395"/>
      <c r="NGQ96" s="395"/>
      <c r="NGR96" s="395"/>
      <c r="NGS96" s="395"/>
      <c r="NGT96" s="396"/>
      <c r="NGU96" s="394"/>
      <c r="NGV96" s="395"/>
      <c r="NGW96" s="395"/>
      <c r="NGX96" s="395"/>
      <c r="NGY96" s="395"/>
      <c r="NGZ96" s="395"/>
      <c r="NHA96" s="395"/>
      <c r="NHB96" s="395"/>
      <c r="NHC96" s="395"/>
      <c r="NHD96" s="395"/>
      <c r="NHE96" s="395"/>
      <c r="NHF96" s="395"/>
      <c r="NHG96" s="395"/>
      <c r="NHH96" s="395"/>
      <c r="NHI96" s="395"/>
      <c r="NHJ96" s="395"/>
      <c r="NHK96" s="395"/>
      <c r="NHL96" s="395"/>
      <c r="NHM96" s="395"/>
      <c r="NHN96" s="395"/>
      <c r="NHO96" s="395"/>
      <c r="NHP96" s="395"/>
      <c r="NHQ96" s="395"/>
      <c r="NHR96" s="395"/>
      <c r="NHS96" s="395"/>
      <c r="NHT96" s="395"/>
      <c r="NHU96" s="396"/>
      <c r="NHV96" s="394"/>
      <c r="NHW96" s="395"/>
      <c r="NHX96" s="395"/>
      <c r="NHY96" s="395"/>
      <c r="NHZ96" s="395"/>
      <c r="NIA96" s="395"/>
      <c r="NIB96" s="395"/>
      <c r="NIC96" s="395"/>
      <c r="NID96" s="395"/>
      <c r="NIE96" s="395"/>
      <c r="NIF96" s="395"/>
      <c r="NIG96" s="395"/>
      <c r="NIH96" s="395"/>
      <c r="NII96" s="395"/>
      <c r="NIJ96" s="395"/>
      <c r="NIK96" s="395"/>
      <c r="NIL96" s="395"/>
      <c r="NIM96" s="395"/>
      <c r="NIN96" s="395"/>
      <c r="NIO96" s="395"/>
      <c r="NIP96" s="395"/>
      <c r="NIQ96" s="395"/>
      <c r="NIR96" s="395"/>
      <c r="NIS96" s="395"/>
      <c r="NIT96" s="395"/>
      <c r="NIU96" s="395"/>
      <c r="NIV96" s="396"/>
      <c r="NIW96" s="394"/>
      <c r="NIX96" s="395"/>
      <c r="NIY96" s="395"/>
      <c r="NIZ96" s="395"/>
      <c r="NJA96" s="395"/>
      <c r="NJB96" s="395"/>
      <c r="NJC96" s="395"/>
      <c r="NJD96" s="395"/>
      <c r="NJE96" s="395"/>
      <c r="NJF96" s="395"/>
      <c r="NJG96" s="395"/>
      <c r="NJH96" s="395"/>
      <c r="NJI96" s="395"/>
      <c r="NJJ96" s="395"/>
      <c r="NJK96" s="395"/>
      <c r="NJL96" s="395"/>
      <c r="NJM96" s="395"/>
      <c r="NJN96" s="395"/>
      <c r="NJO96" s="395"/>
      <c r="NJP96" s="395"/>
      <c r="NJQ96" s="395"/>
      <c r="NJR96" s="395"/>
      <c r="NJS96" s="395"/>
      <c r="NJT96" s="395"/>
      <c r="NJU96" s="395"/>
      <c r="NJV96" s="395"/>
      <c r="NJW96" s="396"/>
      <c r="NJX96" s="394"/>
      <c r="NJY96" s="395"/>
      <c r="NJZ96" s="395"/>
      <c r="NKA96" s="395"/>
      <c r="NKB96" s="395"/>
      <c r="NKC96" s="395"/>
      <c r="NKD96" s="395"/>
      <c r="NKE96" s="395"/>
      <c r="NKF96" s="395"/>
      <c r="NKG96" s="395"/>
      <c r="NKH96" s="395"/>
      <c r="NKI96" s="395"/>
      <c r="NKJ96" s="395"/>
      <c r="NKK96" s="395"/>
      <c r="NKL96" s="395"/>
      <c r="NKM96" s="395"/>
      <c r="NKN96" s="395"/>
      <c r="NKO96" s="395"/>
      <c r="NKP96" s="395"/>
      <c r="NKQ96" s="395"/>
      <c r="NKR96" s="395"/>
      <c r="NKS96" s="395"/>
      <c r="NKT96" s="395"/>
      <c r="NKU96" s="395"/>
      <c r="NKV96" s="395"/>
      <c r="NKW96" s="395"/>
      <c r="NKX96" s="396"/>
      <c r="NKY96" s="394"/>
      <c r="NKZ96" s="395"/>
      <c r="NLA96" s="395"/>
      <c r="NLB96" s="395"/>
      <c r="NLC96" s="395"/>
      <c r="NLD96" s="395"/>
      <c r="NLE96" s="395"/>
      <c r="NLF96" s="395"/>
      <c r="NLG96" s="395"/>
      <c r="NLH96" s="395"/>
      <c r="NLI96" s="395"/>
      <c r="NLJ96" s="395"/>
      <c r="NLK96" s="395"/>
      <c r="NLL96" s="395"/>
      <c r="NLM96" s="395"/>
      <c r="NLN96" s="395"/>
      <c r="NLO96" s="395"/>
      <c r="NLP96" s="395"/>
      <c r="NLQ96" s="395"/>
      <c r="NLR96" s="395"/>
      <c r="NLS96" s="395"/>
      <c r="NLT96" s="395"/>
      <c r="NLU96" s="395"/>
      <c r="NLV96" s="395"/>
      <c r="NLW96" s="395"/>
      <c r="NLX96" s="395"/>
      <c r="NLY96" s="396"/>
      <c r="NLZ96" s="394"/>
      <c r="NMA96" s="395"/>
      <c r="NMB96" s="395"/>
      <c r="NMC96" s="395"/>
      <c r="NMD96" s="395"/>
      <c r="NME96" s="395"/>
      <c r="NMF96" s="395"/>
      <c r="NMG96" s="395"/>
      <c r="NMH96" s="395"/>
      <c r="NMI96" s="395"/>
      <c r="NMJ96" s="395"/>
      <c r="NMK96" s="395"/>
      <c r="NML96" s="395"/>
      <c r="NMM96" s="395"/>
      <c r="NMN96" s="395"/>
      <c r="NMO96" s="395"/>
      <c r="NMP96" s="395"/>
      <c r="NMQ96" s="395"/>
      <c r="NMR96" s="395"/>
      <c r="NMS96" s="395"/>
      <c r="NMT96" s="395"/>
      <c r="NMU96" s="395"/>
      <c r="NMV96" s="395"/>
      <c r="NMW96" s="395"/>
      <c r="NMX96" s="395"/>
      <c r="NMY96" s="395"/>
      <c r="NMZ96" s="396"/>
      <c r="NNA96" s="394"/>
      <c r="NNB96" s="395"/>
      <c r="NNC96" s="395"/>
      <c r="NND96" s="395"/>
      <c r="NNE96" s="395"/>
      <c r="NNF96" s="395"/>
      <c r="NNG96" s="395"/>
      <c r="NNH96" s="395"/>
      <c r="NNI96" s="395"/>
      <c r="NNJ96" s="395"/>
      <c r="NNK96" s="395"/>
      <c r="NNL96" s="395"/>
      <c r="NNM96" s="395"/>
      <c r="NNN96" s="395"/>
      <c r="NNO96" s="395"/>
      <c r="NNP96" s="395"/>
      <c r="NNQ96" s="395"/>
      <c r="NNR96" s="395"/>
      <c r="NNS96" s="395"/>
      <c r="NNT96" s="395"/>
      <c r="NNU96" s="395"/>
      <c r="NNV96" s="395"/>
      <c r="NNW96" s="395"/>
      <c r="NNX96" s="395"/>
      <c r="NNY96" s="395"/>
      <c r="NNZ96" s="395"/>
      <c r="NOA96" s="396"/>
      <c r="NOB96" s="394"/>
      <c r="NOC96" s="395"/>
      <c r="NOD96" s="395"/>
      <c r="NOE96" s="395"/>
      <c r="NOF96" s="395"/>
      <c r="NOG96" s="395"/>
      <c r="NOH96" s="395"/>
      <c r="NOI96" s="395"/>
      <c r="NOJ96" s="395"/>
      <c r="NOK96" s="395"/>
      <c r="NOL96" s="395"/>
      <c r="NOM96" s="395"/>
      <c r="NON96" s="395"/>
      <c r="NOO96" s="395"/>
      <c r="NOP96" s="395"/>
      <c r="NOQ96" s="395"/>
      <c r="NOR96" s="395"/>
      <c r="NOS96" s="395"/>
      <c r="NOT96" s="395"/>
      <c r="NOU96" s="395"/>
      <c r="NOV96" s="395"/>
      <c r="NOW96" s="395"/>
      <c r="NOX96" s="395"/>
      <c r="NOY96" s="395"/>
      <c r="NOZ96" s="395"/>
      <c r="NPA96" s="395"/>
      <c r="NPB96" s="396"/>
      <c r="NPC96" s="394"/>
      <c r="NPD96" s="395"/>
      <c r="NPE96" s="395"/>
      <c r="NPF96" s="395"/>
      <c r="NPG96" s="395"/>
      <c r="NPH96" s="395"/>
      <c r="NPI96" s="395"/>
      <c r="NPJ96" s="395"/>
      <c r="NPK96" s="395"/>
      <c r="NPL96" s="395"/>
      <c r="NPM96" s="395"/>
      <c r="NPN96" s="395"/>
      <c r="NPO96" s="395"/>
      <c r="NPP96" s="395"/>
      <c r="NPQ96" s="395"/>
      <c r="NPR96" s="395"/>
      <c r="NPS96" s="395"/>
      <c r="NPT96" s="395"/>
      <c r="NPU96" s="395"/>
      <c r="NPV96" s="395"/>
      <c r="NPW96" s="395"/>
      <c r="NPX96" s="395"/>
      <c r="NPY96" s="395"/>
      <c r="NPZ96" s="395"/>
      <c r="NQA96" s="395"/>
      <c r="NQB96" s="395"/>
      <c r="NQC96" s="396"/>
      <c r="NQD96" s="394"/>
      <c r="NQE96" s="395"/>
      <c r="NQF96" s="395"/>
      <c r="NQG96" s="395"/>
      <c r="NQH96" s="395"/>
      <c r="NQI96" s="395"/>
      <c r="NQJ96" s="395"/>
      <c r="NQK96" s="395"/>
      <c r="NQL96" s="395"/>
      <c r="NQM96" s="395"/>
      <c r="NQN96" s="395"/>
      <c r="NQO96" s="395"/>
      <c r="NQP96" s="395"/>
      <c r="NQQ96" s="395"/>
      <c r="NQR96" s="395"/>
      <c r="NQS96" s="395"/>
      <c r="NQT96" s="395"/>
      <c r="NQU96" s="395"/>
      <c r="NQV96" s="395"/>
      <c r="NQW96" s="395"/>
      <c r="NQX96" s="395"/>
      <c r="NQY96" s="395"/>
      <c r="NQZ96" s="395"/>
      <c r="NRA96" s="395"/>
      <c r="NRB96" s="395"/>
      <c r="NRC96" s="395"/>
      <c r="NRD96" s="396"/>
      <c r="NRE96" s="394"/>
      <c r="NRF96" s="395"/>
      <c r="NRG96" s="395"/>
      <c r="NRH96" s="395"/>
      <c r="NRI96" s="395"/>
      <c r="NRJ96" s="395"/>
      <c r="NRK96" s="395"/>
      <c r="NRL96" s="395"/>
      <c r="NRM96" s="395"/>
      <c r="NRN96" s="395"/>
      <c r="NRO96" s="395"/>
      <c r="NRP96" s="395"/>
      <c r="NRQ96" s="395"/>
      <c r="NRR96" s="395"/>
      <c r="NRS96" s="395"/>
      <c r="NRT96" s="395"/>
      <c r="NRU96" s="395"/>
      <c r="NRV96" s="395"/>
      <c r="NRW96" s="395"/>
      <c r="NRX96" s="395"/>
      <c r="NRY96" s="395"/>
      <c r="NRZ96" s="395"/>
      <c r="NSA96" s="395"/>
      <c r="NSB96" s="395"/>
      <c r="NSC96" s="395"/>
      <c r="NSD96" s="395"/>
      <c r="NSE96" s="396"/>
      <c r="NSF96" s="394"/>
      <c r="NSG96" s="395"/>
      <c r="NSH96" s="395"/>
      <c r="NSI96" s="395"/>
      <c r="NSJ96" s="395"/>
      <c r="NSK96" s="395"/>
      <c r="NSL96" s="395"/>
      <c r="NSM96" s="395"/>
      <c r="NSN96" s="395"/>
      <c r="NSO96" s="395"/>
      <c r="NSP96" s="395"/>
      <c r="NSQ96" s="395"/>
      <c r="NSR96" s="395"/>
      <c r="NSS96" s="395"/>
      <c r="NST96" s="395"/>
      <c r="NSU96" s="395"/>
      <c r="NSV96" s="395"/>
      <c r="NSW96" s="395"/>
      <c r="NSX96" s="395"/>
      <c r="NSY96" s="395"/>
      <c r="NSZ96" s="395"/>
      <c r="NTA96" s="395"/>
      <c r="NTB96" s="395"/>
      <c r="NTC96" s="395"/>
      <c r="NTD96" s="395"/>
      <c r="NTE96" s="395"/>
      <c r="NTF96" s="396"/>
      <c r="NTG96" s="394"/>
      <c r="NTH96" s="395"/>
      <c r="NTI96" s="395"/>
      <c r="NTJ96" s="395"/>
      <c r="NTK96" s="395"/>
      <c r="NTL96" s="395"/>
      <c r="NTM96" s="395"/>
      <c r="NTN96" s="395"/>
      <c r="NTO96" s="395"/>
      <c r="NTP96" s="395"/>
      <c r="NTQ96" s="395"/>
      <c r="NTR96" s="395"/>
      <c r="NTS96" s="395"/>
      <c r="NTT96" s="395"/>
      <c r="NTU96" s="395"/>
      <c r="NTV96" s="395"/>
      <c r="NTW96" s="395"/>
      <c r="NTX96" s="395"/>
      <c r="NTY96" s="395"/>
      <c r="NTZ96" s="395"/>
      <c r="NUA96" s="395"/>
      <c r="NUB96" s="395"/>
      <c r="NUC96" s="395"/>
      <c r="NUD96" s="395"/>
      <c r="NUE96" s="395"/>
      <c r="NUF96" s="395"/>
      <c r="NUG96" s="396"/>
      <c r="NUH96" s="394"/>
      <c r="NUI96" s="395"/>
      <c r="NUJ96" s="395"/>
      <c r="NUK96" s="395"/>
      <c r="NUL96" s="395"/>
      <c r="NUM96" s="395"/>
      <c r="NUN96" s="395"/>
      <c r="NUO96" s="395"/>
      <c r="NUP96" s="395"/>
      <c r="NUQ96" s="395"/>
      <c r="NUR96" s="395"/>
      <c r="NUS96" s="395"/>
      <c r="NUT96" s="395"/>
      <c r="NUU96" s="395"/>
      <c r="NUV96" s="395"/>
      <c r="NUW96" s="395"/>
      <c r="NUX96" s="395"/>
      <c r="NUY96" s="395"/>
      <c r="NUZ96" s="395"/>
      <c r="NVA96" s="395"/>
      <c r="NVB96" s="395"/>
      <c r="NVC96" s="395"/>
      <c r="NVD96" s="395"/>
      <c r="NVE96" s="395"/>
      <c r="NVF96" s="395"/>
      <c r="NVG96" s="395"/>
      <c r="NVH96" s="396"/>
      <c r="NVI96" s="394"/>
      <c r="NVJ96" s="395"/>
      <c r="NVK96" s="395"/>
      <c r="NVL96" s="395"/>
      <c r="NVM96" s="395"/>
      <c r="NVN96" s="395"/>
      <c r="NVO96" s="395"/>
      <c r="NVP96" s="395"/>
      <c r="NVQ96" s="395"/>
      <c r="NVR96" s="395"/>
      <c r="NVS96" s="395"/>
      <c r="NVT96" s="395"/>
      <c r="NVU96" s="395"/>
      <c r="NVV96" s="395"/>
      <c r="NVW96" s="395"/>
      <c r="NVX96" s="395"/>
      <c r="NVY96" s="395"/>
      <c r="NVZ96" s="395"/>
      <c r="NWA96" s="395"/>
      <c r="NWB96" s="395"/>
      <c r="NWC96" s="395"/>
      <c r="NWD96" s="395"/>
      <c r="NWE96" s="395"/>
      <c r="NWF96" s="395"/>
      <c r="NWG96" s="395"/>
      <c r="NWH96" s="395"/>
      <c r="NWI96" s="396"/>
      <c r="NWJ96" s="394"/>
      <c r="NWK96" s="395"/>
      <c r="NWL96" s="395"/>
      <c r="NWM96" s="395"/>
      <c r="NWN96" s="395"/>
      <c r="NWO96" s="395"/>
      <c r="NWP96" s="395"/>
      <c r="NWQ96" s="395"/>
      <c r="NWR96" s="395"/>
      <c r="NWS96" s="395"/>
      <c r="NWT96" s="395"/>
      <c r="NWU96" s="395"/>
      <c r="NWV96" s="395"/>
      <c r="NWW96" s="395"/>
      <c r="NWX96" s="395"/>
      <c r="NWY96" s="395"/>
      <c r="NWZ96" s="395"/>
      <c r="NXA96" s="395"/>
      <c r="NXB96" s="395"/>
      <c r="NXC96" s="395"/>
      <c r="NXD96" s="395"/>
      <c r="NXE96" s="395"/>
      <c r="NXF96" s="395"/>
      <c r="NXG96" s="395"/>
      <c r="NXH96" s="395"/>
      <c r="NXI96" s="395"/>
      <c r="NXJ96" s="396"/>
      <c r="NXK96" s="394"/>
      <c r="NXL96" s="395"/>
      <c r="NXM96" s="395"/>
      <c r="NXN96" s="395"/>
      <c r="NXO96" s="395"/>
      <c r="NXP96" s="395"/>
      <c r="NXQ96" s="395"/>
      <c r="NXR96" s="395"/>
      <c r="NXS96" s="395"/>
      <c r="NXT96" s="395"/>
      <c r="NXU96" s="395"/>
      <c r="NXV96" s="395"/>
      <c r="NXW96" s="395"/>
      <c r="NXX96" s="395"/>
      <c r="NXY96" s="395"/>
      <c r="NXZ96" s="395"/>
      <c r="NYA96" s="395"/>
      <c r="NYB96" s="395"/>
      <c r="NYC96" s="395"/>
      <c r="NYD96" s="395"/>
      <c r="NYE96" s="395"/>
      <c r="NYF96" s="395"/>
      <c r="NYG96" s="395"/>
      <c r="NYH96" s="395"/>
      <c r="NYI96" s="395"/>
      <c r="NYJ96" s="395"/>
      <c r="NYK96" s="396"/>
      <c r="NYL96" s="394"/>
      <c r="NYM96" s="395"/>
      <c r="NYN96" s="395"/>
      <c r="NYO96" s="395"/>
      <c r="NYP96" s="395"/>
      <c r="NYQ96" s="395"/>
      <c r="NYR96" s="395"/>
      <c r="NYS96" s="395"/>
      <c r="NYT96" s="395"/>
      <c r="NYU96" s="395"/>
      <c r="NYV96" s="395"/>
      <c r="NYW96" s="395"/>
      <c r="NYX96" s="395"/>
      <c r="NYY96" s="395"/>
      <c r="NYZ96" s="395"/>
      <c r="NZA96" s="395"/>
      <c r="NZB96" s="395"/>
      <c r="NZC96" s="395"/>
      <c r="NZD96" s="395"/>
      <c r="NZE96" s="395"/>
      <c r="NZF96" s="395"/>
      <c r="NZG96" s="395"/>
      <c r="NZH96" s="395"/>
      <c r="NZI96" s="395"/>
      <c r="NZJ96" s="395"/>
      <c r="NZK96" s="395"/>
      <c r="NZL96" s="396"/>
      <c r="NZM96" s="394"/>
      <c r="NZN96" s="395"/>
      <c r="NZO96" s="395"/>
      <c r="NZP96" s="395"/>
      <c r="NZQ96" s="395"/>
      <c r="NZR96" s="395"/>
      <c r="NZS96" s="395"/>
      <c r="NZT96" s="395"/>
      <c r="NZU96" s="395"/>
      <c r="NZV96" s="395"/>
      <c r="NZW96" s="395"/>
      <c r="NZX96" s="395"/>
      <c r="NZY96" s="395"/>
      <c r="NZZ96" s="395"/>
      <c r="OAA96" s="395"/>
      <c r="OAB96" s="395"/>
      <c r="OAC96" s="395"/>
      <c r="OAD96" s="395"/>
      <c r="OAE96" s="395"/>
      <c r="OAF96" s="395"/>
      <c r="OAG96" s="395"/>
      <c r="OAH96" s="395"/>
      <c r="OAI96" s="395"/>
      <c r="OAJ96" s="395"/>
      <c r="OAK96" s="395"/>
      <c r="OAL96" s="395"/>
      <c r="OAM96" s="396"/>
      <c r="OAN96" s="394"/>
      <c r="OAO96" s="395"/>
      <c r="OAP96" s="395"/>
      <c r="OAQ96" s="395"/>
      <c r="OAR96" s="395"/>
      <c r="OAS96" s="395"/>
      <c r="OAT96" s="395"/>
      <c r="OAU96" s="395"/>
      <c r="OAV96" s="395"/>
      <c r="OAW96" s="395"/>
      <c r="OAX96" s="395"/>
      <c r="OAY96" s="395"/>
      <c r="OAZ96" s="395"/>
      <c r="OBA96" s="395"/>
      <c r="OBB96" s="395"/>
      <c r="OBC96" s="395"/>
      <c r="OBD96" s="395"/>
      <c r="OBE96" s="395"/>
      <c r="OBF96" s="395"/>
      <c r="OBG96" s="395"/>
      <c r="OBH96" s="395"/>
      <c r="OBI96" s="395"/>
      <c r="OBJ96" s="395"/>
      <c r="OBK96" s="395"/>
      <c r="OBL96" s="395"/>
      <c r="OBM96" s="395"/>
      <c r="OBN96" s="396"/>
      <c r="OBO96" s="394"/>
      <c r="OBP96" s="395"/>
      <c r="OBQ96" s="395"/>
      <c r="OBR96" s="395"/>
      <c r="OBS96" s="395"/>
      <c r="OBT96" s="395"/>
      <c r="OBU96" s="395"/>
      <c r="OBV96" s="395"/>
      <c r="OBW96" s="395"/>
      <c r="OBX96" s="395"/>
      <c r="OBY96" s="395"/>
      <c r="OBZ96" s="395"/>
      <c r="OCA96" s="395"/>
      <c r="OCB96" s="395"/>
      <c r="OCC96" s="395"/>
      <c r="OCD96" s="395"/>
      <c r="OCE96" s="395"/>
      <c r="OCF96" s="395"/>
      <c r="OCG96" s="395"/>
      <c r="OCH96" s="395"/>
      <c r="OCI96" s="395"/>
      <c r="OCJ96" s="395"/>
      <c r="OCK96" s="395"/>
      <c r="OCL96" s="395"/>
      <c r="OCM96" s="395"/>
      <c r="OCN96" s="395"/>
      <c r="OCO96" s="396"/>
      <c r="OCP96" s="394"/>
      <c r="OCQ96" s="395"/>
      <c r="OCR96" s="395"/>
      <c r="OCS96" s="395"/>
      <c r="OCT96" s="395"/>
      <c r="OCU96" s="395"/>
      <c r="OCV96" s="395"/>
      <c r="OCW96" s="395"/>
      <c r="OCX96" s="395"/>
      <c r="OCY96" s="395"/>
      <c r="OCZ96" s="395"/>
      <c r="ODA96" s="395"/>
      <c r="ODB96" s="395"/>
      <c r="ODC96" s="395"/>
      <c r="ODD96" s="395"/>
      <c r="ODE96" s="395"/>
      <c r="ODF96" s="395"/>
      <c r="ODG96" s="395"/>
      <c r="ODH96" s="395"/>
      <c r="ODI96" s="395"/>
      <c r="ODJ96" s="395"/>
      <c r="ODK96" s="395"/>
      <c r="ODL96" s="395"/>
      <c r="ODM96" s="395"/>
      <c r="ODN96" s="395"/>
      <c r="ODO96" s="395"/>
      <c r="ODP96" s="396"/>
      <c r="ODQ96" s="394"/>
      <c r="ODR96" s="395"/>
      <c r="ODS96" s="395"/>
      <c r="ODT96" s="395"/>
      <c r="ODU96" s="395"/>
      <c r="ODV96" s="395"/>
      <c r="ODW96" s="395"/>
      <c r="ODX96" s="395"/>
      <c r="ODY96" s="395"/>
      <c r="ODZ96" s="395"/>
      <c r="OEA96" s="395"/>
      <c r="OEB96" s="395"/>
      <c r="OEC96" s="395"/>
      <c r="OED96" s="395"/>
      <c r="OEE96" s="395"/>
      <c r="OEF96" s="395"/>
      <c r="OEG96" s="395"/>
      <c r="OEH96" s="395"/>
      <c r="OEI96" s="395"/>
      <c r="OEJ96" s="395"/>
      <c r="OEK96" s="395"/>
      <c r="OEL96" s="395"/>
      <c r="OEM96" s="395"/>
      <c r="OEN96" s="395"/>
      <c r="OEO96" s="395"/>
      <c r="OEP96" s="395"/>
      <c r="OEQ96" s="396"/>
      <c r="OER96" s="394"/>
      <c r="OES96" s="395"/>
      <c r="OET96" s="395"/>
      <c r="OEU96" s="395"/>
      <c r="OEV96" s="395"/>
      <c r="OEW96" s="395"/>
      <c r="OEX96" s="395"/>
      <c r="OEY96" s="395"/>
      <c r="OEZ96" s="395"/>
      <c r="OFA96" s="395"/>
      <c r="OFB96" s="395"/>
      <c r="OFC96" s="395"/>
      <c r="OFD96" s="395"/>
      <c r="OFE96" s="395"/>
      <c r="OFF96" s="395"/>
      <c r="OFG96" s="395"/>
      <c r="OFH96" s="395"/>
      <c r="OFI96" s="395"/>
      <c r="OFJ96" s="395"/>
      <c r="OFK96" s="395"/>
      <c r="OFL96" s="395"/>
      <c r="OFM96" s="395"/>
      <c r="OFN96" s="395"/>
      <c r="OFO96" s="395"/>
      <c r="OFP96" s="395"/>
      <c r="OFQ96" s="395"/>
      <c r="OFR96" s="396"/>
      <c r="OFS96" s="394"/>
      <c r="OFT96" s="395"/>
      <c r="OFU96" s="395"/>
      <c r="OFV96" s="395"/>
      <c r="OFW96" s="395"/>
      <c r="OFX96" s="395"/>
      <c r="OFY96" s="395"/>
      <c r="OFZ96" s="395"/>
      <c r="OGA96" s="395"/>
      <c r="OGB96" s="395"/>
      <c r="OGC96" s="395"/>
      <c r="OGD96" s="395"/>
      <c r="OGE96" s="395"/>
      <c r="OGF96" s="395"/>
      <c r="OGG96" s="395"/>
      <c r="OGH96" s="395"/>
      <c r="OGI96" s="395"/>
      <c r="OGJ96" s="395"/>
      <c r="OGK96" s="395"/>
      <c r="OGL96" s="395"/>
      <c r="OGM96" s="395"/>
      <c r="OGN96" s="395"/>
      <c r="OGO96" s="395"/>
      <c r="OGP96" s="395"/>
      <c r="OGQ96" s="395"/>
      <c r="OGR96" s="395"/>
      <c r="OGS96" s="396"/>
      <c r="OGT96" s="394"/>
      <c r="OGU96" s="395"/>
      <c r="OGV96" s="395"/>
      <c r="OGW96" s="395"/>
      <c r="OGX96" s="395"/>
      <c r="OGY96" s="395"/>
      <c r="OGZ96" s="395"/>
      <c r="OHA96" s="395"/>
      <c r="OHB96" s="395"/>
      <c r="OHC96" s="395"/>
      <c r="OHD96" s="395"/>
      <c r="OHE96" s="395"/>
      <c r="OHF96" s="395"/>
      <c r="OHG96" s="395"/>
      <c r="OHH96" s="395"/>
      <c r="OHI96" s="395"/>
      <c r="OHJ96" s="395"/>
      <c r="OHK96" s="395"/>
      <c r="OHL96" s="395"/>
      <c r="OHM96" s="395"/>
      <c r="OHN96" s="395"/>
      <c r="OHO96" s="395"/>
      <c r="OHP96" s="395"/>
      <c r="OHQ96" s="395"/>
      <c r="OHR96" s="395"/>
      <c r="OHS96" s="395"/>
      <c r="OHT96" s="396"/>
      <c r="OHU96" s="394"/>
      <c r="OHV96" s="395"/>
      <c r="OHW96" s="395"/>
      <c r="OHX96" s="395"/>
      <c r="OHY96" s="395"/>
      <c r="OHZ96" s="395"/>
      <c r="OIA96" s="395"/>
      <c r="OIB96" s="395"/>
      <c r="OIC96" s="395"/>
      <c r="OID96" s="395"/>
      <c r="OIE96" s="395"/>
      <c r="OIF96" s="395"/>
      <c r="OIG96" s="395"/>
      <c r="OIH96" s="395"/>
      <c r="OII96" s="395"/>
      <c r="OIJ96" s="395"/>
      <c r="OIK96" s="395"/>
      <c r="OIL96" s="395"/>
      <c r="OIM96" s="395"/>
      <c r="OIN96" s="395"/>
      <c r="OIO96" s="395"/>
      <c r="OIP96" s="395"/>
      <c r="OIQ96" s="395"/>
      <c r="OIR96" s="395"/>
      <c r="OIS96" s="395"/>
      <c r="OIT96" s="395"/>
      <c r="OIU96" s="396"/>
      <c r="OIV96" s="394"/>
      <c r="OIW96" s="395"/>
      <c r="OIX96" s="395"/>
      <c r="OIY96" s="395"/>
      <c r="OIZ96" s="395"/>
      <c r="OJA96" s="395"/>
      <c r="OJB96" s="395"/>
      <c r="OJC96" s="395"/>
      <c r="OJD96" s="395"/>
      <c r="OJE96" s="395"/>
      <c r="OJF96" s="395"/>
      <c r="OJG96" s="395"/>
      <c r="OJH96" s="395"/>
      <c r="OJI96" s="395"/>
      <c r="OJJ96" s="395"/>
      <c r="OJK96" s="395"/>
      <c r="OJL96" s="395"/>
      <c r="OJM96" s="395"/>
      <c r="OJN96" s="395"/>
      <c r="OJO96" s="395"/>
      <c r="OJP96" s="395"/>
      <c r="OJQ96" s="395"/>
      <c r="OJR96" s="395"/>
      <c r="OJS96" s="395"/>
      <c r="OJT96" s="395"/>
      <c r="OJU96" s="395"/>
      <c r="OJV96" s="396"/>
      <c r="OJW96" s="394"/>
      <c r="OJX96" s="395"/>
      <c r="OJY96" s="395"/>
      <c r="OJZ96" s="395"/>
      <c r="OKA96" s="395"/>
      <c r="OKB96" s="395"/>
      <c r="OKC96" s="395"/>
      <c r="OKD96" s="395"/>
      <c r="OKE96" s="395"/>
      <c r="OKF96" s="395"/>
      <c r="OKG96" s="395"/>
      <c r="OKH96" s="395"/>
      <c r="OKI96" s="395"/>
      <c r="OKJ96" s="395"/>
      <c r="OKK96" s="395"/>
      <c r="OKL96" s="395"/>
      <c r="OKM96" s="395"/>
      <c r="OKN96" s="395"/>
      <c r="OKO96" s="395"/>
      <c r="OKP96" s="395"/>
      <c r="OKQ96" s="395"/>
      <c r="OKR96" s="395"/>
      <c r="OKS96" s="395"/>
      <c r="OKT96" s="395"/>
      <c r="OKU96" s="395"/>
      <c r="OKV96" s="395"/>
      <c r="OKW96" s="396"/>
      <c r="OKX96" s="394"/>
      <c r="OKY96" s="395"/>
      <c r="OKZ96" s="395"/>
      <c r="OLA96" s="395"/>
      <c r="OLB96" s="395"/>
      <c r="OLC96" s="395"/>
      <c r="OLD96" s="395"/>
      <c r="OLE96" s="395"/>
      <c r="OLF96" s="395"/>
      <c r="OLG96" s="395"/>
      <c r="OLH96" s="395"/>
      <c r="OLI96" s="395"/>
      <c r="OLJ96" s="395"/>
      <c r="OLK96" s="395"/>
      <c r="OLL96" s="395"/>
      <c r="OLM96" s="395"/>
      <c r="OLN96" s="395"/>
      <c r="OLO96" s="395"/>
      <c r="OLP96" s="395"/>
      <c r="OLQ96" s="395"/>
      <c r="OLR96" s="395"/>
      <c r="OLS96" s="395"/>
      <c r="OLT96" s="395"/>
      <c r="OLU96" s="395"/>
      <c r="OLV96" s="395"/>
      <c r="OLW96" s="395"/>
      <c r="OLX96" s="396"/>
      <c r="OLY96" s="394"/>
      <c r="OLZ96" s="395"/>
      <c r="OMA96" s="395"/>
      <c r="OMB96" s="395"/>
      <c r="OMC96" s="395"/>
      <c r="OMD96" s="395"/>
      <c r="OME96" s="395"/>
      <c r="OMF96" s="395"/>
      <c r="OMG96" s="395"/>
      <c r="OMH96" s="395"/>
      <c r="OMI96" s="395"/>
      <c r="OMJ96" s="395"/>
      <c r="OMK96" s="395"/>
      <c r="OML96" s="395"/>
      <c r="OMM96" s="395"/>
      <c r="OMN96" s="395"/>
      <c r="OMO96" s="395"/>
      <c r="OMP96" s="395"/>
      <c r="OMQ96" s="395"/>
      <c r="OMR96" s="395"/>
      <c r="OMS96" s="395"/>
      <c r="OMT96" s="395"/>
      <c r="OMU96" s="395"/>
      <c r="OMV96" s="395"/>
      <c r="OMW96" s="395"/>
      <c r="OMX96" s="395"/>
      <c r="OMY96" s="396"/>
      <c r="OMZ96" s="394"/>
      <c r="ONA96" s="395"/>
      <c r="ONB96" s="395"/>
      <c r="ONC96" s="395"/>
      <c r="OND96" s="395"/>
      <c r="ONE96" s="395"/>
      <c r="ONF96" s="395"/>
      <c r="ONG96" s="395"/>
      <c r="ONH96" s="395"/>
      <c r="ONI96" s="395"/>
      <c r="ONJ96" s="395"/>
      <c r="ONK96" s="395"/>
      <c r="ONL96" s="395"/>
      <c r="ONM96" s="395"/>
      <c r="ONN96" s="395"/>
      <c r="ONO96" s="395"/>
      <c r="ONP96" s="395"/>
      <c r="ONQ96" s="395"/>
      <c r="ONR96" s="395"/>
      <c r="ONS96" s="395"/>
      <c r="ONT96" s="395"/>
      <c r="ONU96" s="395"/>
      <c r="ONV96" s="395"/>
      <c r="ONW96" s="395"/>
      <c r="ONX96" s="395"/>
      <c r="ONY96" s="395"/>
      <c r="ONZ96" s="396"/>
      <c r="OOA96" s="394"/>
      <c r="OOB96" s="395"/>
      <c r="OOC96" s="395"/>
      <c r="OOD96" s="395"/>
      <c r="OOE96" s="395"/>
      <c r="OOF96" s="395"/>
      <c r="OOG96" s="395"/>
      <c r="OOH96" s="395"/>
      <c r="OOI96" s="395"/>
      <c r="OOJ96" s="395"/>
      <c r="OOK96" s="395"/>
      <c r="OOL96" s="395"/>
      <c r="OOM96" s="395"/>
      <c r="OON96" s="395"/>
      <c r="OOO96" s="395"/>
      <c r="OOP96" s="395"/>
      <c r="OOQ96" s="395"/>
      <c r="OOR96" s="395"/>
      <c r="OOS96" s="395"/>
      <c r="OOT96" s="395"/>
      <c r="OOU96" s="395"/>
      <c r="OOV96" s="395"/>
      <c r="OOW96" s="395"/>
      <c r="OOX96" s="395"/>
      <c r="OOY96" s="395"/>
      <c r="OOZ96" s="395"/>
      <c r="OPA96" s="396"/>
      <c r="OPB96" s="394"/>
      <c r="OPC96" s="395"/>
      <c r="OPD96" s="395"/>
      <c r="OPE96" s="395"/>
      <c r="OPF96" s="395"/>
      <c r="OPG96" s="395"/>
      <c r="OPH96" s="395"/>
      <c r="OPI96" s="395"/>
      <c r="OPJ96" s="395"/>
      <c r="OPK96" s="395"/>
      <c r="OPL96" s="395"/>
      <c r="OPM96" s="395"/>
      <c r="OPN96" s="395"/>
      <c r="OPO96" s="395"/>
      <c r="OPP96" s="395"/>
      <c r="OPQ96" s="395"/>
      <c r="OPR96" s="395"/>
      <c r="OPS96" s="395"/>
      <c r="OPT96" s="395"/>
      <c r="OPU96" s="395"/>
      <c r="OPV96" s="395"/>
      <c r="OPW96" s="395"/>
      <c r="OPX96" s="395"/>
      <c r="OPY96" s="395"/>
      <c r="OPZ96" s="395"/>
      <c r="OQA96" s="395"/>
      <c r="OQB96" s="396"/>
      <c r="OQC96" s="394"/>
      <c r="OQD96" s="395"/>
      <c r="OQE96" s="395"/>
      <c r="OQF96" s="395"/>
      <c r="OQG96" s="395"/>
      <c r="OQH96" s="395"/>
      <c r="OQI96" s="395"/>
      <c r="OQJ96" s="395"/>
      <c r="OQK96" s="395"/>
      <c r="OQL96" s="395"/>
      <c r="OQM96" s="395"/>
      <c r="OQN96" s="395"/>
      <c r="OQO96" s="395"/>
      <c r="OQP96" s="395"/>
      <c r="OQQ96" s="395"/>
      <c r="OQR96" s="395"/>
      <c r="OQS96" s="395"/>
      <c r="OQT96" s="395"/>
      <c r="OQU96" s="395"/>
      <c r="OQV96" s="395"/>
      <c r="OQW96" s="395"/>
      <c r="OQX96" s="395"/>
      <c r="OQY96" s="395"/>
      <c r="OQZ96" s="395"/>
      <c r="ORA96" s="395"/>
      <c r="ORB96" s="395"/>
      <c r="ORC96" s="396"/>
      <c r="ORD96" s="394"/>
      <c r="ORE96" s="395"/>
      <c r="ORF96" s="395"/>
      <c r="ORG96" s="395"/>
      <c r="ORH96" s="395"/>
      <c r="ORI96" s="395"/>
      <c r="ORJ96" s="395"/>
      <c r="ORK96" s="395"/>
      <c r="ORL96" s="395"/>
      <c r="ORM96" s="395"/>
      <c r="ORN96" s="395"/>
      <c r="ORO96" s="395"/>
      <c r="ORP96" s="395"/>
      <c r="ORQ96" s="395"/>
      <c r="ORR96" s="395"/>
      <c r="ORS96" s="395"/>
      <c r="ORT96" s="395"/>
      <c r="ORU96" s="395"/>
      <c r="ORV96" s="395"/>
      <c r="ORW96" s="395"/>
      <c r="ORX96" s="395"/>
      <c r="ORY96" s="395"/>
      <c r="ORZ96" s="395"/>
      <c r="OSA96" s="395"/>
      <c r="OSB96" s="395"/>
      <c r="OSC96" s="395"/>
      <c r="OSD96" s="396"/>
      <c r="OSE96" s="394"/>
      <c r="OSF96" s="395"/>
      <c r="OSG96" s="395"/>
      <c r="OSH96" s="395"/>
      <c r="OSI96" s="395"/>
      <c r="OSJ96" s="395"/>
      <c r="OSK96" s="395"/>
      <c r="OSL96" s="395"/>
      <c r="OSM96" s="395"/>
      <c r="OSN96" s="395"/>
      <c r="OSO96" s="395"/>
      <c r="OSP96" s="395"/>
      <c r="OSQ96" s="395"/>
      <c r="OSR96" s="395"/>
      <c r="OSS96" s="395"/>
      <c r="OST96" s="395"/>
      <c r="OSU96" s="395"/>
      <c r="OSV96" s="395"/>
      <c r="OSW96" s="395"/>
      <c r="OSX96" s="395"/>
      <c r="OSY96" s="395"/>
      <c r="OSZ96" s="395"/>
      <c r="OTA96" s="395"/>
      <c r="OTB96" s="395"/>
      <c r="OTC96" s="395"/>
      <c r="OTD96" s="395"/>
      <c r="OTE96" s="396"/>
      <c r="OTF96" s="394"/>
      <c r="OTG96" s="395"/>
      <c r="OTH96" s="395"/>
      <c r="OTI96" s="395"/>
      <c r="OTJ96" s="395"/>
      <c r="OTK96" s="395"/>
      <c r="OTL96" s="395"/>
      <c r="OTM96" s="395"/>
      <c r="OTN96" s="395"/>
      <c r="OTO96" s="395"/>
      <c r="OTP96" s="395"/>
      <c r="OTQ96" s="395"/>
      <c r="OTR96" s="395"/>
      <c r="OTS96" s="395"/>
      <c r="OTT96" s="395"/>
      <c r="OTU96" s="395"/>
      <c r="OTV96" s="395"/>
      <c r="OTW96" s="395"/>
      <c r="OTX96" s="395"/>
      <c r="OTY96" s="395"/>
      <c r="OTZ96" s="395"/>
      <c r="OUA96" s="395"/>
      <c r="OUB96" s="395"/>
      <c r="OUC96" s="395"/>
      <c r="OUD96" s="395"/>
      <c r="OUE96" s="395"/>
      <c r="OUF96" s="396"/>
      <c r="OUG96" s="394"/>
      <c r="OUH96" s="395"/>
      <c r="OUI96" s="395"/>
      <c r="OUJ96" s="395"/>
      <c r="OUK96" s="395"/>
      <c r="OUL96" s="395"/>
      <c r="OUM96" s="395"/>
      <c r="OUN96" s="395"/>
      <c r="OUO96" s="395"/>
      <c r="OUP96" s="395"/>
      <c r="OUQ96" s="395"/>
      <c r="OUR96" s="395"/>
      <c r="OUS96" s="395"/>
      <c r="OUT96" s="395"/>
      <c r="OUU96" s="395"/>
      <c r="OUV96" s="395"/>
      <c r="OUW96" s="395"/>
      <c r="OUX96" s="395"/>
      <c r="OUY96" s="395"/>
      <c r="OUZ96" s="395"/>
      <c r="OVA96" s="395"/>
      <c r="OVB96" s="395"/>
      <c r="OVC96" s="395"/>
      <c r="OVD96" s="395"/>
      <c r="OVE96" s="395"/>
      <c r="OVF96" s="395"/>
      <c r="OVG96" s="396"/>
      <c r="OVH96" s="394"/>
      <c r="OVI96" s="395"/>
      <c r="OVJ96" s="395"/>
      <c r="OVK96" s="395"/>
      <c r="OVL96" s="395"/>
      <c r="OVM96" s="395"/>
      <c r="OVN96" s="395"/>
      <c r="OVO96" s="395"/>
      <c r="OVP96" s="395"/>
      <c r="OVQ96" s="395"/>
      <c r="OVR96" s="395"/>
      <c r="OVS96" s="395"/>
      <c r="OVT96" s="395"/>
      <c r="OVU96" s="395"/>
      <c r="OVV96" s="395"/>
      <c r="OVW96" s="395"/>
      <c r="OVX96" s="395"/>
      <c r="OVY96" s="395"/>
      <c r="OVZ96" s="395"/>
      <c r="OWA96" s="395"/>
      <c r="OWB96" s="395"/>
      <c r="OWC96" s="395"/>
      <c r="OWD96" s="395"/>
      <c r="OWE96" s="395"/>
      <c r="OWF96" s="395"/>
      <c r="OWG96" s="395"/>
      <c r="OWH96" s="396"/>
      <c r="OWI96" s="394"/>
      <c r="OWJ96" s="395"/>
      <c r="OWK96" s="395"/>
      <c r="OWL96" s="395"/>
      <c r="OWM96" s="395"/>
      <c r="OWN96" s="395"/>
      <c r="OWO96" s="395"/>
      <c r="OWP96" s="395"/>
      <c r="OWQ96" s="395"/>
      <c r="OWR96" s="395"/>
      <c r="OWS96" s="395"/>
      <c r="OWT96" s="395"/>
      <c r="OWU96" s="395"/>
      <c r="OWV96" s="395"/>
      <c r="OWW96" s="395"/>
      <c r="OWX96" s="395"/>
      <c r="OWY96" s="395"/>
      <c r="OWZ96" s="395"/>
      <c r="OXA96" s="395"/>
      <c r="OXB96" s="395"/>
      <c r="OXC96" s="395"/>
      <c r="OXD96" s="395"/>
      <c r="OXE96" s="395"/>
      <c r="OXF96" s="395"/>
      <c r="OXG96" s="395"/>
      <c r="OXH96" s="395"/>
      <c r="OXI96" s="396"/>
      <c r="OXJ96" s="394"/>
      <c r="OXK96" s="395"/>
      <c r="OXL96" s="395"/>
      <c r="OXM96" s="395"/>
      <c r="OXN96" s="395"/>
      <c r="OXO96" s="395"/>
      <c r="OXP96" s="395"/>
      <c r="OXQ96" s="395"/>
      <c r="OXR96" s="395"/>
      <c r="OXS96" s="395"/>
      <c r="OXT96" s="395"/>
      <c r="OXU96" s="395"/>
      <c r="OXV96" s="395"/>
      <c r="OXW96" s="395"/>
      <c r="OXX96" s="395"/>
      <c r="OXY96" s="395"/>
      <c r="OXZ96" s="395"/>
      <c r="OYA96" s="395"/>
      <c r="OYB96" s="395"/>
      <c r="OYC96" s="395"/>
      <c r="OYD96" s="395"/>
      <c r="OYE96" s="395"/>
      <c r="OYF96" s="395"/>
      <c r="OYG96" s="395"/>
      <c r="OYH96" s="395"/>
      <c r="OYI96" s="395"/>
      <c r="OYJ96" s="396"/>
      <c r="OYK96" s="394"/>
      <c r="OYL96" s="395"/>
      <c r="OYM96" s="395"/>
      <c r="OYN96" s="395"/>
      <c r="OYO96" s="395"/>
      <c r="OYP96" s="395"/>
      <c r="OYQ96" s="395"/>
      <c r="OYR96" s="395"/>
      <c r="OYS96" s="395"/>
      <c r="OYT96" s="395"/>
      <c r="OYU96" s="395"/>
      <c r="OYV96" s="395"/>
      <c r="OYW96" s="395"/>
      <c r="OYX96" s="395"/>
      <c r="OYY96" s="395"/>
      <c r="OYZ96" s="395"/>
      <c r="OZA96" s="395"/>
      <c r="OZB96" s="395"/>
      <c r="OZC96" s="395"/>
      <c r="OZD96" s="395"/>
      <c r="OZE96" s="395"/>
      <c r="OZF96" s="395"/>
      <c r="OZG96" s="395"/>
      <c r="OZH96" s="395"/>
      <c r="OZI96" s="395"/>
      <c r="OZJ96" s="395"/>
      <c r="OZK96" s="396"/>
      <c r="OZL96" s="394"/>
      <c r="OZM96" s="395"/>
      <c r="OZN96" s="395"/>
      <c r="OZO96" s="395"/>
      <c r="OZP96" s="395"/>
      <c r="OZQ96" s="395"/>
      <c r="OZR96" s="395"/>
      <c r="OZS96" s="395"/>
      <c r="OZT96" s="395"/>
      <c r="OZU96" s="395"/>
      <c r="OZV96" s="395"/>
      <c r="OZW96" s="395"/>
      <c r="OZX96" s="395"/>
      <c r="OZY96" s="395"/>
      <c r="OZZ96" s="395"/>
      <c r="PAA96" s="395"/>
      <c r="PAB96" s="395"/>
      <c r="PAC96" s="395"/>
      <c r="PAD96" s="395"/>
      <c r="PAE96" s="395"/>
      <c r="PAF96" s="395"/>
      <c r="PAG96" s="395"/>
      <c r="PAH96" s="395"/>
      <c r="PAI96" s="395"/>
      <c r="PAJ96" s="395"/>
      <c r="PAK96" s="395"/>
      <c r="PAL96" s="396"/>
      <c r="PAM96" s="394"/>
      <c r="PAN96" s="395"/>
      <c r="PAO96" s="395"/>
      <c r="PAP96" s="395"/>
      <c r="PAQ96" s="395"/>
      <c r="PAR96" s="395"/>
      <c r="PAS96" s="395"/>
      <c r="PAT96" s="395"/>
      <c r="PAU96" s="395"/>
      <c r="PAV96" s="395"/>
      <c r="PAW96" s="395"/>
      <c r="PAX96" s="395"/>
      <c r="PAY96" s="395"/>
      <c r="PAZ96" s="395"/>
      <c r="PBA96" s="395"/>
      <c r="PBB96" s="395"/>
      <c r="PBC96" s="395"/>
      <c r="PBD96" s="395"/>
      <c r="PBE96" s="395"/>
      <c r="PBF96" s="395"/>
      <c r="PBG96" s="395"/>
      <c r="PBH96" s="395"/>
      <c r="PBI96" s="395"/>
      <c r="PBJ96" s="395"/>
      <c r="PBK96" s="395"/>
      <c r="PBL96" s="395"/>
      <c r="PBM96" s="396"/>
      <c r="PBN96" s="394"/>
      <c r="PBO96" s="395"/>
      <c r="PBP96" s="395"/>
      <c r="PBQ96" s="395"/>
      <c r="PBR96" s="395"/>
      <c r="PBS96" s="395"/>
      <c r="PBT96" s="395"/>
      <c r="PBU96" s="395"/>
      <c r="PBV96" s="395"/>
      <c r="PBW96" s="395"/>
      <c r="PBX96" s="395"/>
      <c r="PBY96" s="395"/>
      <c r="PBZ96" s="395"/>
      <c r="PCA96" s="395"/>
      <c r="PCB96" s="395"/>
      <c r="PCC96" s="395"/>
      <c r="PCD96" s="395"/>
      <c r="PCE96" s="395"/>
      <c r="PCF96" s="395"/>
      <c r="PCG96" s="395"/>
      <c r="PCH96" s="395"/>
      <c r="PCI96" s="395"/>
      <c r="PCJ96" s="395"/>
      <c r="PCK96" s="395"/>
      <c r="PCL96" s="395"/>
      <c r="PCM96" s="395"/>
      <c r="PCN96" s="396"/>
      <c r="PCO96" s="394"/>
      <c r="PCP96" s="395"/>
      <c r="PCQ96" s="395"/>
      <c r="PCR96" s="395"/>
      <c r="PCS96" s="395"/>
      <c r="PCT96" s="395"/>
      <c r="PCU96" s="395"/>
      <c r="PCV96" s="395"/>
      <c r="PCW96" s="395"/>
      <c r="PCX96" s="395"/>
      <c r="PCY96" s="395"/>
      <c r="PCZ96" s="395"/>
      <c r="PDA96" s="395"/>
      <c r="PDB96" s="395"/>
      <c r="PDC96" s="395"/>
      <c r="PDD96" s="395"/>
      <c r="PDE96" s="395"/>
      <c r="PDF96" s="395"/>
      <c r="PDG96" s="395"/>
      <c r="PDH96" s="395"/>
      <c r="PDI96" s="395"/>
      <c r="PDJ96" s="395"/>
      <c r="PDK96" s="395"/>
      <c r="PDL96" s="395"/>
      <c r="PDM96" s="395"/>
      <c r="PDN96" s="395"/>
      <c r="PDO96" s="396"/>
      <c r="PDP96" s="394"/>
      <c r="PDQ96" s="395"/>
      <c r="PDR96" s="395"/>
      <c r="PDS96" s="395"/>
      <c r="PDT96" s="395"/>
      <c r="PDU96" s="395"/>
      <c r="PDV96" s="395"/>
      <c r="PDW96" s="395"/>
      <c r="PDX96" s="395"/>
      <c r="PDY96" s="395"/>
      <c r="PDZ96" s="395"/>
      <c r="PEA96" s="395"/>
      <c r="PEB96" s="395"/>
      <c r="PEC96" s="395"/>
      <c r="PED96" s="395"/>
      <c r="PEE96" s="395"/>
      <c r="PEF96" s="395"/>
      <c r="PEG96" s="395"/>
      <c r="PEH96" s="395"/>
      <c r="PEI96" s="395"/>
      <c r="PEJ96" s="395"/>
      <c r="PEK96" s="395"/>
      <c r="PEL96" s="395"/>
      <c r="PEM96" s="395"/>
      <c r="PEN96" s="395"/>
      <c r="PEO96" s="395"/>
      <c r="PEP96" s="396"/>
      <c r="PEQ96" s="394"/>
      <c r="PER96" s="395"/>
      <c r="PES96" s="395"/>
      <c r="PET96" s="395"/>
      <c r="PEU96" s="395"/>
      <c r="PEV96" s="395"/>
      <c r="PEW96" s="395"/>
      <c r="PEX96" s="395"/>
      <c r="PEY96" s="395"/>
      <c r="PEZ96" s="395"/>
      <c r="PFA96" s="395"/>
      <c r="PFB96" s="395"/>
      <c r="PFC96" s="395"/>
      <c r="PFD96" s="395"/>
      <c r="PFE96" s="395"/>
      <c r="PFF96" s="395"/>
      <c r="PFG96" s="395"/>
      <c r="PFH96" s="395"/>
      <c r="PFI96" s="395"/>
      <c r="PFJ96" s="395"/>
      <c r="PFK96" s="395"/>
      <c r="PFL96" s="395"/>
      <c r="PFM96" s="395"/>
      <c r="PFN96" s="395"/>
      <c r="PFO96" s="395"/>
      <c r="PFP96" s="395"/>
      <c r="PFQ96" s="396"/>
      <c r="PFR96" s="394"/>
      <c r="PFS96" s="395"/>
      <c r="PFT96" s="395"/>
      <c r="PFU96" s="395"/>
      <c r="PFV96" s="395"/>
      <c r="PFW96" s="395"/>
      <c r="PFX96" s="395"/>
      <c r="PFY96" s="395"/>
      <c r="PFZ96" s="395"/>
      <c r="PGA96" s="395"/>
      <c r="PGB96" s="395"/>
      <c r="PGC96" s="395"/>
      <c r="PGD96" s="395"/>
      <c r="PGE96" s="395"/>
      <c r="PGF96" s="395"/>
      <c r="PGG96" s="395"/>
      <c r="PGH96" s="395"/>
      <c r="PGI96" s="395"/>
      <c r="PGJ96" s="395"/>
      <c r="PGK96" s="395"/>
      <c r="PGL96" s="395"/>
      <c r="PGM96" s="395"/>
      <c r="PGN96" s="395"/>
      <c r="PGO96" s="395"/>
      <c r="PGP96" s="395"/>
      <c r="PGQ96" s="395"/>
      <c r="PGR96" s="396"/>
      <c r="PGS96" s="394"/>
      <c r="PGT96" s="395"/>
      <c r="PGU96" s="395"/>
      <c r="PGV96" s="395"/>
      <c r="PGW96" s="395"/>
      <c r="PGX96" s="395"/>
      <c r="PGY96" s="395"/>
      <c r="PGZ96" s="395"/>
      <c r="PHA96" s="395"/>
      <c r="PHB96" s="395"/>
      <c r="PHC96" s="395"/>
      <c r="PHD96" s="395"/>
      <c r="PHE96" s="395"/>
      <c r="PHF96" s="395"/>
      <c r="PHG96" s="395"/>
      <c r="PHH96" s="395"/>
      <c r="PHI96" s="395"/>
      <c r="PHJ96" s="395"/>
      <c r="PHK96" s="395"/>
      <c r="PHL96" s="395"/>
      <c r="PHM96" s="395"/>
      <c r="PHN96" s="395"/>
      <c r="PHO96" s="395"/>
      <c r="PHP96" s="395"/>
      <c r="PHQ96" s="395"/>
      <c r="PHR96" s="395"/>
      <c r="PHS96" s="396"/>
      <c r="PHT96" s="394"/>
      <c r="PHU96" s="395"/>
      <c r="PHV96" s="395"/>
      <c r="PHW96" s="395"/>
      <c r="PHX96" s="395"/>
      <c r="PHY96" s="395"/>
      <c r="PHZ96" s="395"/>
      <c r="PIA96" s="395"/>
      <c r="PIB96" s="395"/>
      <c r="PIC96" s="395"/>
      <c r="PID96" s="395"/>
      <c r="PIE96" s="395"/>
      <c r="PIF96" s="395"/>
      <c r="PIG96" s="395"/>
      <c r="PIH96" s="395"/>
      <c r="PII96" s="395"/>
      <c r="PIJ96" s="395"/>
      <c r="PIK96" s="395"/>
      <c r="PIL96" s="395"/>
      <c r="PIM96" s="395"/>
      <c r="PIN96" s="395"/>
      <c r="PIO96" s="395"/>
      <c r="PIP96" s="395"/>
      <c r="PIQ96" s="395"/>
      <c r="PIR96" s="395"/>
      <c r="PIS96" s="395"/>
      <c r="PIT96" s="396"/>
      <c r="PIU96" s="394"/>
      <c r="PIV96" s="395"/>
      <c r="PIW96" s="395"/>
      <c r="PIX96" s="395"/>
      <c r="PIY96" s="395"/>
      <c r="PIZ96" s="395"/>
      <c r="PJA96" s="395"/>
      <c r="PJB96" s="395"/>
      <c r="PJC96" s="395"/>
      <c r="PJD96" s="395"/>
      <c r="PJE96" s="395"/>
      <c r="PJF96" s="395"/>
      <c r="PJG96" s="395"/>
      <c r="PJH96" s="395"/>
      <c r="PJI96" s="395"/>
      <c r="PJJ96" s="395"/>
      <c r="PJK96" s="395"/>
      <c r="PJL96" s="395"/>
      <c r="PJM96" s="395"/>
      <c r="PJN96" s="395"/>
      <c r="PJO96" s="395"/>
      <c r="PJP96" s="395"/>
      <c r="PJQ96" s="395"/>
      <c r="PJR96" s="395"/>
      <c r="PJS96" s="395"/>
      <c r="PJT96" s="395"/>
      <c r="PJU96" s="396"/>
      <c r="PJV96" s="394"/>
      <c r="PJW96" s="395"/>
      <c r="PJX96" s="395"/>
      <c r="PJY96" s="395"/>
      <c r="PJZ96" s="395"/>
      <c r="PKA96" s="395"/>
      <c r="PKB96" s="395"/>
      <c r="PKC96" s="395"/>
      <c r="PKD96" s="395"/>
      <c r="PKE96" s="395"/>
      <c r="PKF96" s="395"/>
      <c r="PKG96" s="395"/>
      <c r="PKH96" s="395"/>
      <c r="PKI96" s="395"/>
      <c r="PKJ96" s="395"/>
      <c r="PKK96" s="395"/>
      <c r="PKL96" s="395"/>
      <c r="PKM96" s="395"/>
      <c r="PKN96" s="395"/>
      <c r="PKO96" s="395"/>
      <c r="PKP96" s="395"/>
      <c r="PKQ96" s="395"/>
      <c r="PKR96" s="395"/>
      <c r="PKS96" s="395"/>
      <c r="PKT96" s="395"/>
      <c r="PKU96" s="395"/>
      <c r="PKV96" s="396"/>
      <c r="PKW96" s="394"/>
      <c r="PKX96" s="395"/>
      <c r="PKY96" s="395"/>
      <c r="PKZ96" s="395"/>
      <c r="PLA96" s="395"/>
      <c r="PLB96" s="395"/>
      <c r="PLC96" s="395"/>
      <c r="PLD96" s="395"/>
      <c r="PLE96" s="395"/>
      <c r="PLF96" s="395"/>
      <c r="PLG96" s="395"/>
      <c r="PLH96" s="395"/>
      <c r="PLI96" s="395"/>
      <c r="PLJ96" s="395"/>
      <c r="PLK96" s="395"/>
      <c r="PLL96" s="395"/>
      <c r="PLM96" s="395"/>
      <c r="PLN96" s="395"/>
      <c r="PLO96" s="395"/>
      <c r="PLP96" s="395"/>
      <c r="PLQ96" s="395"/>
      <c r="PLR96" s="395"/>
      <c r="PLS96" s="395"/>
      <c r="PLT96" s="395"/>
      <c r="PLU96" s="395"/>
      <c r="PLV96" s="395"/>
      <c r="PLW96" s="396"/>
      <c r="PLX96" s="394"/>
      <c r="PLY96" s="395"/>
      <c r="PLZ96" s="395"/>
      <c r="PMA96" s="395"/>
      <c r="PMB96" s="395"/>
      <c r="PMC96" s="395"/>
      <c r="PMD96" s="395"/>
      <c r="PME96" s="395"/>
      <c r="PMF96" s="395"/>
      <c r="PMG96" s="395"/>
      <c r="PMH96" s="395"/>
      <c r="PMI96" s="395"/>
      <c r="PMJ96" s="395"/>
      <c r="PMK96" s="395"/>
      <c r="PML96" s="395"/>
      <c r="PMM96" s="395"/>
      <c r="PMN96" s="395"/>
      <c r="PMO96" s="395"/>
      <c r="PMP96" s="395"/>
      <c r="PMQ96" s="395"/>
      <c r="PMR96" s="395"/>
      <c r="PMS96" s="395"/>
      <c r="PMT96" s="395"/>
      <c r="PMU96" s="395"/>
      <c r="PMV96" s="395"/>
      <c r="PMW96" s="395"/>
      <c r="PMX96" s="396"/>
      <c r="PMY96" s="394"/>
      <c r="PMZ96" s="395"/>
      <c r="PNA96" s="395"/>
      <c r="PNB96" s="395"/>
      <c r="PNC96" s="395"/>
      <c r="PND96" s="395"/>
      <c r="PNE96" s="395"/>
      <c r="PNF96" s="395"/>
      <c r="PNG96" s="395"/>
      <c r="PNH96" s="395"/>
      <c r="PNI96" s="395"/>
      <c r="PNJ96" s="395"/>
      <c r="PNK96" s="395"/>
      <c r="PNL96" s="395"/>
      <c r="PNM96" s="395"/>
      <c r="PNN96" s="395"/>
      <c r="PNO96" s="395"/>
      <c r="PNP96" s="395"/>
      <c r="PNQ96" s="395"/>
      <c r="PNR96" s="395"/>
      <c r="PNS96" s="395"/>
      <c r="PNT96" s="395"/>
      <c r="PNU96" s="395"/>
      <c r="PNV96" s="395"/>
      <c r="PNW96" s="395"/>
      <c r="PNX96" s="395"/>
      <c r="PNY96" s="396"/>
      <c r="PNZ96" s="394"/>
      <c r="POA96" s="395"/>
      <c r="POB96" s="395"/>
      <c r="POC96" s="395"/>
      <c r="POD96" s="395"/>
      <c r="POE96" s="395"/>
      <c r="POF96" s="395"/>
      <c r="POG96" s="395"/>
      <c r="POH96" s="395"/>
      <c r="POI96" s="395"/>
      <c r="POJ96" s="395"/>
      <c r="POK96" s="395"/>
      <c r="POL96" s="395"/>
      <c r="POM96" s="395"/>
      <c r="PON96" s="395"/>
      <c r="POO96" s="395"/>
      <c r="POP96" s="395"/>
      <c r="POQ96" s="395"/>
      <c r="POR96" s="395"/>
      <c r="POS96" s="395"/>
      <c r="POT96" s="395"/>
      <c r="POU96" s="395"/>
      <c r="POV96" s="395"/>
      <c r="POW96" s="395"/>
      <c r="POX96" s="395"/>
      <c r="POY96" s="395"/>
      <c r="POZ96" s="396"/>
      <c r="PPA96" s="394"/>
      <c r="PPB96" s="395"/>
      <c r="PPC96" s="395"/>
      <c r="PPD96" s="395"/>
      <c r="PPE96" s="395"/>
      <c r="PPF96" s="395"/>
      <c r="PPG96" s="395"/>
      <c r="PPH96" s="395"/>
      <c r="PPI96" s="395"/>
      <c r="PPJ96" s="395"/>
      <c r="PPK96" s="395"/>
      <c r="PPL96" s="395"/>
      <c r="PPM96" s="395"/>
      <c r="PPN96" s="395"/>
      <c r="PPO96" s="395"/>
      <c r="PPP96" s="395"/>
      <c r="PPQ96" s="395"/>
      <c r="PPR96" s="395"/>
      <c r="PPS96" s="395"/>
      <c r="PPT96" s="395"/>
      <c r="PPU96" s="395"/>
      <c r="PPV96" s="395"/>
      <c r="PPW96" s="395"/>
      <c r="PPX96" s="395"/>
      <c r="PPY96" s="395"/>
      <c r="PPZ96" s="395"/>
      <c r="PQA96" s="396"/>
      <c r="PQB96" s="394"/>
      <c r="PQC96" s="395"/>
      <c r="PQD96" s="395"/>
      <c r="PQE96" s="395"/>
      <c r="PQF96" s="395"/>
      <c r="PQG96" s="395"/>
      <c r="PQH96" s="395"/>
      <c r="PQI96" s="395"/>
      <c r="PQJ96" s="395"/>
      <c r="PQK96" s="395"/>
      <c r="PQL96" s="395"/>
      <c r="PQM96" s="395"/>
      <c r="PQN96" s="395"/>
      <c r="PQO96" s="395"/>
      <c r="PQP96" s="395"/>
      <c r="PQQ96" s="395"/>
      <c r="PQR96" s="395"/>
      <c r="PQS96" s="395"/>
      <c r="PQT96" s="395"/>
      <c r="PQU96" s="395"/>
      <c r="PQV96" s="395"/>
      <c r="PQW96" s="395"/>
      <c r="PQX96" s="395"/>
      <c r="PQY96" s="395"/>
      <c r="PQZ96" s="395"/>
      <c r="PRA96" s="395"/>
      <c r="PRB96" s="396"/>
      <c r="PRC96" s="394"/>
      <c r="PRD96" s="395"/>
      <c r="PRE96" s="395"/>
      <c r="PRF96" s="395"/>
      <c r="PRG96" s="395"/>
      <c r="PRH96" s="395"/>
      <c r="PRI96" s="395"/>
      <c r="PRJ96" s="395"/>
      <c r="PRK96" s="395"/>
      <c r="PRL96" s="395"/>
      <c r="PRM96" s="395"/>
      <c r="PRN96" s="395"/>
      <c r="PRO96" s="395"/>
      <c r="PRP96" s="395"/>
      <c r="PRQ96" s="395"/>
      <c r="PRR96" s="395"/>
      <c r="PRS96" s="395"/>
      <c r="PRT96" s="395"/>
      <c r="PRU96" s="395"/>
      <c r="PRV96" s="395"/>
      <c r="PRW96" s="395"/>
      <c r="PRX96" s="395"/>
      <c r="PRY96" s="395"/>
      <c r="PRZ96" s="395"/>
      <c r="PSA96" s="395"/>
      <c r="PSB96" s="395"/>
      <c r="PSC96" s="396"/>
      <c r="PSD96" s="394"/>
      <c r="PSE96" s="395"/>
      <c r="PSF96" s="395"/>
      <c r="PSG96" s="395"/>
      <c r="PSH96" s="395"/>
      <c r="PSI96" s="395"/>
      <c r="PSJ96" s="395"/>
      <c r="PSK96" s="395"/>
      <c r="PSL96" s="395"/>
      <c r="PSM96" s="395"/>
      <c r="PSN96" s="395"/>
      <c r="PSO96" s="395"/>
      <c r="PSP96" s="395"/>
      <c r="PSQ96" s="395"/>
      <c r="PSR96" s="395"/>
      <c r="PSS96" s="395"/>
      <c r="PST96" s="395"/>
      <c r="PSU96" s="395"/>
      <c r="PSV96" s="395"/>
      <c r="PSW96" s="395"/>
      <c r="PSX96" s="395"/>
      <c r="PSY96" s="395"/>
      <c r="PSZ96" s="395"/>
      <c r="PTA96" s="395"/>
      <c r="PTB96" s="395"/>
      <c r="PTC96" s="395"/>
      <c r="PTD96" s="396"/>
      <c r="PTE96" s="394"/>
      <c r="PTF96" s="395"/>
      <c r="PTG96" s="395"/>
      <c r="PTH96" s="395"/>
      <c r="PTI96" s="395"/>
      <c r="PTJ96" s="395"/>
      <c r="PTK96" s="395"/>
      <c r="PTL96" s="395"/>
      <c r="PTM96" s="395"/>
      <c r="PTN96" s="395"/>
      <c r="PTO96" s="395"/>
      <c r="PTP96" s="395"/>
      <c r="PTQ96" s="395"/>
      <c r="PTR96" s="395"/>
      <c r="PTS96" s="395"/>
      <c r="PTT96" s="395"/>
      <c r="PTU96" s="395"/>
      <c r="PTV96" s="395"/>
      <c r="PTW96" s="395"/>
      <c r="PTX96" s="395"/>
      <c r="PTY96" s="395"/>
      <c r="PTZ96" s="395"/>
      <c r="PUA96" s="395"/>
      <c r="PUB96" s="395"/>
      <c r="PUC96" s="395"/>
      <c r="PUD96" s="395"/>
      <c r="PUE96" s="396"/>
      <c r="PUF96" s="394"/>
      <c r="PUG96" s="395"/>
      <c r="PUH96" s="395"/>
      <c r="PUI96" s="395"/>
      <c r="PUJ96" s="395"/>
      <c r="PUK96" s="395"/>
      <c r="PUL96" s="395"/>
      <c r="PUM96" s="395"/>
      <c r="PUN96" s="395"/>
      <c r="PUO96" s="395"/>
      <c r="PUP96" s="395"/>
      <c r="PUQ96" s="395"/>
      <c r="PUR96" s="395"/>
      <c r="PUS96" s="395"/>
      <c r="PUT96" s="395"/>
      <c r="PUU96" s="395"/>
      <c r="PUV96" s="395"/>
      <c r="PUW96" s="395"/>
      <c r="PUX96" s="395"/>
      <c r="PUY96" s="395"/>
      <c r="PUZ96" s="395"/>
      <c r="PVA96" s="395"/>
      <c r="PVB96" s="395"/>
      <c r="PVC96" s="395"/>
      <c r="PVD96" s="395"/>
      <c r="PVE96" s="395"/>
      <c r="PVF96" s="396"/>
      <c r="PVG96" s="394"/>
      <c r="PVH96" s="395"/>
      <c r="PVI96" s="395"/>
      <c r="PVJ96" s="395"/>
      <c r="PVK96" s="395"/>
      <c r="PVL96" s="395"/>
      <c r="PVM96" s="395"/>
      <c r="PVN96" s="395"/>
      <c r="PVO96" s="395"/>
      <c r="PVP96" s="395"/>
      <c r="PVQ96" s="395"/>
      <c r="PVR96" s="395"/>
      <c r="PVS96" s="395"/>
      <c r="PVT96" s="395"/>
      <c r="PVU96" s="395"/>
      <c r="PVV96" s="395"/>
      <c r="PVW96" s="395"/>
      <c r="PVX96" s="395"/>
      <c r="PVY96" s="395"/>
      <c r="PVZ96" s="395"/>
      <c r="PWA96" s="395"/>
      <c r="PWB96" s="395"/>
      <c r="PWC96" s="395"/>
      <c r="PWD96" s="395"/>
      <c r="PWE96" s="395"/>
      <c r="PWF96" s="395"/>
      <c r="PWG96" s="396"/>
      <c r="PWH96" s="394"/>
      <c r="PWI96" s="395"/>
      <c r="PWJ96" s="395"/>
      <c r="PWK96" s="395"/>
      <c r="PWL96" s="395"/>
      <c r="PWM96" s="395"/>
      <c r="PWN96" s="395"/>
      <c r="PWO96" s="395"/>
      <c r="PWP96" s="395"/>
      <c r="PWQ96" s="395"/>
      <c r="PWR96" s="395"/>
      <c r="PWS96" s="395"/>
      <c r="PWT96" s="395"/>
      <c r="PWU96" s="395"/>
      <c r="PWV96" s="395"/>
      <c r="PWW96" s="395"/>
      <c r="PWX96" s="395"/>
      <c r="PWY96" s="395"/>
      <c r="PWZ96" s="395"/>
      <c r="PXA96" s="395"/>
      <c r="PXB96" s="395"/>
      <c r="PXC96" s="395"/>
      <c r="PXD96" s="395"/>
      <c r="PXE96" s="395"/>
      <c r="PXF96" s="395"/>
      <c r="PXG96" s="395"/>
      <c r="PXH96" s="396"/>
      <c r="PXI96" s="394"/>
      <c r="PXJ96" s="395"/>
      <c r="PXK96" s="395"/>
      <c r="PXL96" s="395"/>
      <c r="PXM96" s="395"/>
      <c r="PXN96" s="395"/>
      <c r="PXO96" s="395"/>
      <c r="PXP96" s="395"/>
      <c r="PXQ96" s="395"/>
      <c r="PXR96" s="395"/>
      <c r="PXS96" s="395"/>
      <c r="PXT96" s="395"/>
      <c r="PXU96" s="395"/>
      <c r="PXV96" s="395"/>
      <c r="PXW96" s="395"/>
      <c r="PXX96" s="395"/>
      <c r="PXY96" s="395"/>
      <c r="PXZ96" s="395"/>
      <c r="PYA96" s="395"/>
      <c r="PYB96" s="395"/>
      <c r="PYC96" s="395"/>
      <c r="PYD96" s="395"/>
      <c r="PYE96" s="395"/>
      <c r="PYF96" s="395"/>
      <c r="PYG96" s="395"/>
      <c r="PYH96" s="395"/>
      <c r="PYI96" s="396"/>
      <c r="PYJ96" s="394"/>
      <c r="PYK96" s="395"/>
      <c r="PYL96" s="395"/>
      <c r="PYM96" s="395"/>
      <c r="PYN96" s="395"/>
      <c r="PYO96" s="395"/>
      <c r="PYP96" s="395"/>
      <c r="PYQ96" s="395"/>
      <c r="PYR96" s="395"/>
      <c r="PYS96" s="395"/>
      <c r="PYT96" s="395"/>
      <c r="PYU96" s="395"/>
      <c r="PYV96" s="395"/>
      <c r="PYW96" s="395"/>
      <c r="PYX96" s="395"/>
      <c r="PYY96" s="395"/>
      <c r="PYZ96" s="395"/>
      <c r="PZA96" s="395"/>
      <c r="PZB96" s="395"/>
      <c r="PZC96" s="395"/>
      <c r="PZD96" s="395"/>
      <c r="PZE96" s="395"/>
      <c r="PZF96" s="395"/>
      <c r="PZG96" s="395"/>
      <c r="PZH96" s="395"/>
      <c r="PZI96" s="395"/>
      <c r="PZJ96" s="396"/>
      <c r="PZK96" s="394"/>
      <c r="PZL96" s="395"/>
      <c r="PZM96" s="395"/>
      <c r="PZN96" s="395"/>
      <c r="PZO96" s="395"/>
      <c r="PZP96" s="395"/>
      <c r="PZQ96" s="395"/>
      <c r="PZR96" s="395"/>
      <c r="PZS96" s="395"/>
      <c r="PZT96" s="395"/>
      <c r="PZU96" s="395"/>
      <c r="PZV96" s="395"/>
      <c r="PZW96" s="395"/>
      <c r="PZX96" s="395"/>
      <c r="PZY96" s="395"/>
      <c r="PZZ96" s="395"/>
      <c r="QAA96" s="395"/>
      <c r="QAB96" s="395"/>
      <c r="QAC96" s="395"/>
      <c r="QAD96" s="395"/>
      <c r="QAE96" s="395"/>
      <c r="QAF96" s="395"/>
      <c r="QAG96" s="395"/>
      <c r="QAH96" s="395"/>
      <c r="QAI96" s="395"/>
      <c r="QAJ96" s="395"/>
      <c r="QAK96" s="396"/>
      <c r="QAL96" s="394"/>
      <c r="QAM96" s="395"/>
      <c r="QAN96" s="395"/>
      <c r="QAO96" s="395"/>
      <c r="QAP96" s="395"/>
      <c r="QAQ96" s="395"/>
      <c r="QAR96" s="395"/>
      <c r="QAS96" s="395"/>
      <c r="QAT96" s="395"/>
      <c r="QAU96" s="395"/>
      <c r="QAV96" s="395"/>
      <c r="QAW96" s="395"/>
      <c r="QAX96" s="395"/>
      <c r="QAY96" s="395"/>
      <c r="QAZ96" s="395"/>
      <c r="QBA96" s="395"/>
      <c r="QBB96" s="395"/>
      <c r="QBC96" s="395"/>
      <c r="QBD96" s="395"/>
      <c r="QBE96" s="395"/>
      <c r="QBF96" s="395"/>
      <c r="QBG96" s="395"/>
      <c r="QBH96" s="395"/>
      <c r="QBI96" s="395"/>
      <c r="QBJ96" s="395"/>
      <c r="QBK96" s="395"/>
      <c r="QBL96" s="396"/>
      <c r="QBM96" s="394"/>
      <c r="QBN96" s="395"/>
      <c r="QBO96" s="395"/>
      <c r="QBP96" s="395"/>
      <c r="QBQ96" s="395"/>
      <c r="QBR96" s="395"/>
      <c r="QBS96" s="395"/>
      <c r="QBT96" s="395"/>
      <c r="QBU96" s="395"/>
      <c r="QBV96" s="395"/>
      <c r="QBW96" s="395"/>
      <c r="QBX96" s="395"/>
      <c r="QBY96" s="395"/>
      <c r="QBZ96" s="395"/>
      <c r="QCA96" s="395"/>
      <c r="QCB96" s="395"/>
      <c r="QCC96" s="395"/>
      <c r="QCD96" s="395"/>
      <c r="QCE96" s="395"/>
      <c r="QCF96" s="395"/>
      <c r="QCG96" s="395"/>
      <c r="QCH96" s="395"/>
      <c r="QCI96" s="395"/>
      <c r="QCJ96" s="395"/>
      <c r="QCK96" s="395"/>
      <c r="QCL96" s="395"/>
      <c r="QCM96" s="396"/>
      <c r="QCN96" s="394"/>
      <c r="QCO96" s="395"/>
      <c r="QCP96" s="395"/>
      <c r="QCQ96" s="395"/>
      <c r="QCR96" s="395"/>
      <c r="QCS96" s="395"/>
      <c r="QCT96" s="395"/>
      <c r="QCU96" s="395"/>
      <c r="QCV96" s="395"/>
      <c r="QCW96" s="395"/>
      <c r="QCX96" s="395"/>
      <c r="QCY96" s="395"/>
      <c r="QCZ96" s="395"/>
      <c r="QDA96" s="395"/>
      <c r="QDB96" s="395"/>
      <c r="QDC96" s="395"/>
      <c r="QDD96" s="395"/>
      <c r="QDE96" s="395"/>
      <c r="QDF96" s="395"/>
      <c r="QDG96" s="395"/>
      <c r="QDH96" s="395"/>
      <c r="QDI96" s="395"/>
      <c r="QDJ96" s="395"/>
      <c r="QDK96" s="395"/>
      <c r="QDL96" s="395"/>
      <c r="QDM96" s="395"/>
      <c r="QDN96" s="396"/>
      <c r="QDO96" s="394"/>
      <c r="QDP96" s="395"/>
      <c r="QDQ96" s="395"/>
      <c r="QDR96" s="395"/>
      <c r="QDS96" s="395"/>
      <c r="QDT96" s="395"/>
      <c r="QDU96" s="395"/>
      <c r="QDV96" s="395"/>
      <c r="QDW96" s="395"/>
      <c r="QDX96" s="395"/>
      <c r="QDY96" s="395"/>
      <c r="QDZ96" s="395"/>
      <c r="QEA96" s="395"/>
      <c r="QEB96" s="395"/>
      <c r="QEC96" s="395"/>
      <c r="QED96" s="395"/>
      <c r="QEE96" s="395"/>
      <c r="QEF96" s="395"/>
      <c r="QEG96" s="395"/>
      <c r="QEH96" s="395"/>
      <c r="QEI96" s="395"/>
      <c r="QEJ96" s="395"/>
      <c r="QEK96" s="395"/>
      <c r="QEL96" s="395"/>
      <c r="QEM96" s="395"/>
      <c r="QEN96" s="395"/>
      <c r="QEO96" s="396"/>
      <c r="QEP96" s="394"/>
      <c r="QEQ96" s="395"/>
      <c r="QER96" s="395"/>
      <c r="QES96" s="395"/>
      <c r="QET96" s="395"/>
      <c r="QEU96" s="395"/>
      <c r="QEV96" s="395"/>
      <c r="QEW96" s="395"/>
      <c r="QEX96" s="395"/>
      <c r="QEY96" s="395"/>
      <c r="QEZ96" s="395"/>
      <c r="QFA96" s="395"/>
      <c r="QFB96" s="395"/>
      <c r="QFC96" s="395"/>
      <c r="QFD96" s="395"/>
      <c r="QFE96" s="395"/>
      <c r="QFF96" s="395"/>
      <c r="QFG96" s="395"/>
      <c r="QFH96" s="395"/>
      <c r="QFI96" s="395"/>
      <c r="QFJ96" s="395"/>
      <c r="QFK96" s="395"/>
      <c r="QFL96" s="395"/>
      <c r="QFM96" s="395"/>
      <c r="QFN96" s="395"/>
      <c r="QFO96" s="395"/>
      <c r="QFP96" s="396"/>
      <c r="QFQ96" s="394"/>
      <c r="QFR96" s="395"/>
      <c r="QFS96" s="395"/>
      <c r="QFT96" s="395"/>
      <c r="QFU96" s="395"/>
      <c r="QFV96" s="395"/>
      <c r="QFW96" s="395"/>
      <c r="QFX96" s="395"/>
      <c r="QFY96" s="395"/>
      <c r="QFZ96" s="395"/>
      <c r="QGA96" s="395"/>
      <c r="QGB96" s="395"/>
      <c r="QGC96" s="395"/>
      <c r="QGD96" s="395"/>
      <c r="QGE96" s="395"/>
      <c r="QGF96" s="395"/>
      <c r="QGG96" s="395"/>
      <c r="QGH96" s="395"/>
      <c r="QGI96" s="395"/>
      <c r="QGJ96" s="395"/>
      <c r="QGK96" s="395"/>
      <c r="QGL96" s="395"/>
      <c r="QGM96" s="395"/>
      <c r="QGN96" s="395"/>
      <c r="QGO96" s="395"/>
      <c r="QGP96" s="395"/>
      <c r="QGQ96" s="396"/>
      <c r="QGR96" s="394"/>
      <c r="QGS96" s="395"/>
      <c r="QGT96" s="395"/>
      <c r="QGU96" s="395"/>
      <c r="QGV96" s="395"/>
      <c r="QGW96" s="395"/>
      <c r="QGX96" s="395"/>
      <c r="QGY96" s="395"/>
      <c r="QGZ96" s="395"/>
      <c r="QHA96" s="395"/>
      <c r="QHB96" s="395"/>
      <c r="QHC96" s="395"/>
      <c r="QHD96" s="395"/>
      <c r="QHE96" s="395"/>
      <c r="QHF96" s="395"/>
      <c r="QHG96" s="395"/>
      <c r="QHH96" s="395"/>
      <c r="QHI96" s="395"/>
      <c r="QHJ96" s="395"/>
      <c r="QHK96" s="395"/>
      <c r="QHL96" s="395"/>
      <c r="QHM96" s="395"/>
      <c r="QHN96" s="395"/>
      <c r="QHO96" s="395"/>
      <c r="QHP96" s="395"/>
      <c r="QHQ96" s="395"/>
      <c r="QHR96" s="396"/>
      <c r="QHS96" s="394"/>
      <c r="QHT96" s="395"/>
      <c r="QHU96" s="395"/>
      <c r="QHV96" s="395"/>
      <c r="QHW96" s="395"/>
      <c r="QHX96" s="395"/>
      <c r="QHY96" s="395"/>
      <c r="QHZ96" s="395"/>
      <c r="QIA96" s="395"/>
      <c r="QIB96" s="395"/>
      <c r="QIC96" s="395"/>
      <c r="QID96" s="395"/>
      <c r="QIE96" s="395"/>
      <c r="QIF96" s="395"/>
      <c r="QIG96" s="395"/>
      <c r="QIH96" s="395"/>
      <c r="QII96" s="395"/>
      <c r="QIJ96" s="395"/>
      <c r="QIK96" s="395"/>
      <c r="QIL96" s="395"/>
      <c r="QIM96" s="395"/>
      <c r="QIN96" s="395"/>
      <c r="QIO96" s="395"/>
      <c r="QIP96" s="395"/>
      <c r="QIQ96" s="395"/>
      <c r="QIR96" s="395"/>
      <c r="QIS96" s="396"/>
      <c r="QIT96" s="394"/>
      <c r="QIU96" s="395"/>
      <c r="QIV96" s="395"/>
      <c r="QIW96" s="395"/>
      <c r="QIX96" s="395"/>
      <c r="QIY96" s="395"/>
      <c r="QIZ96" s="395"/>
      <c r="QJA96" s="395"/>
      <c r="QJB96" s="395"/>
      <c r="QJC96" s="395"/>
      <c r="QJD96" s="395"/>
      <c r="QJE96" s="395"/>
      <c r="QJF96" s="395"/>
      <c r="QJG96" s="395"/>
      <c r="QJH96" s="395"/>
      <c r="QJI96" s="395"/>
      <c r="QJJ96" s="395"/>
      <c r="QJK96" s="395"/>
      <c r="QJL96" s="395"/>
      <c r="QJM96" s="395"/>
      <c r="QJN96" s="395"/>
      <c r="QJO96" s="395"/>
      <c r="QJP96" s="395"/>
      <c r="QJQ96" s="395"/>
      <c r="QJR96" s="395"/>
      <c r="QJS96" s="395"/>
      <c r="QJT96" s="396"/>
      <c r="QJU96" s="394"/>
      <c r="QJV96" s="395"/>
      <c r="QJW96" s="395"/>
      <c r="QJX96" s="395"/>
      <c r="QJY96" s="395"/>
      <c r="QJZ96" s="395"/>
      <c r="QKA96" s="395"/>
      <c r="QKB96" s="395"/>
      <c r="QKC96" s="395"/>
      <c r="QKD96" s="395"/>
      <c r="QKE96" s="395"/>
      <c r="QKF96" s="395"/>
      <c r="QKG96" s="395"/>
      <c r="QKH96" s="395"/>
      <c r="QKI96" s="395"/>
      <c r="QKJ96" s="395"/>
      <c r="QKK96" s="395"/>
      <c r="QKL96" s="395"/>
      <c r="QKM96" s="395"/>
      <c r="QKN96" s="395"/>
      <c r="QKO96" s="395"/>
      <c r="QKP96" s="395"/>
      <c r="QKQ96" s="395"/>
      <c r="QKR96" s="395"/>
      <c r="QKS96" s="395"/>
      <c r="QKT96" s="395"/>
      <c r="QKU96" s="396"/>
      <c r="QKV96" s="394"/>
      <c r="QKW96" s="395"/>
      <c r="QKX96" s="395"/>
      <c r="QKY96" s="395"/>
      <c r="QKZ96" s="395"/>
      <c r="QLA96" s="395"/>
      <c r="QLB96" s="395"/>
      <c r="QLC96" s="395"/>
      <c r="QLD96" s="395"/>
      <c r="QLE96" s="395"/>
      <c r="QLF96" s="395"/>
      <c r="QLG96" s="395"/>
      <c r="QLH96" s="395"/>
      <c r="QLI96" s="395"/>
      <c r="QLJ96" s="395"/>
      <c r="QLK96" s="395"/>
      <c r="QLL96" s="395"/>
      <c r="QLM96" s="395"/>
      <c r="QLN96" s="395"/>
      <c r="QLO96" s="395"/>
      <c r="QLP96" s="395"/>
      <c r="QLQ96" s="395"/>
      <c r="QLR96" s="395"/>
      <c r="QLS96" s="395"/>
      <c r="QLT96" s="395"/>
      <c r="QLU96" s="395"/>
      <c r="QLV96" s="396"/>
      <c r="QLW96" s="394"/>
      <c r="QLX96" s="395"/>
      <c r="QLY96" s="395"/>
      <c r="QLZ96" s="395"/>
      <c r="QMA96" s="395"/>
      <c r="QMB96" s="395"/>
      <c r="QMC96" s="395"/>
      <c r="QMD96" s="395"/>
      <c r="QME96" s="395"/>
      <c r="QMF96" s="395"/>
      <c r="QMG96" s="395"/>
      <c r="QMH96" s="395"/>
      <c r="QMI96" s="395"/>
      <c r="QMJ96" s="395"/>
      <c r="QMK96" s="395"/>
      <c r="QML96" s="395"/>
      <c r="QMM96" s="395"/>
      <c r="QMN96" s="395"/>
      <c r="QMO96" s="395"/>
      <c r="QMP96" s="395"/>
      <c r="QMQ96" s="395"/>
      <c r="QMR96" s="395"/>
      <c r="QMS96" s="395"/>
      <c r="QMT96" s="395"/>
      <c r="QMU96" s="395"/>
      <c r="QMV96" s="395"/>
      <c r="QMW96" s="396"/>
      <c r="QMX96" s="394"/>
      <c r="QMY96" s="395"/>
      <c r="QMZ96" s="395"/>
      <c r="QNA96" s="395"/>
      <c r="QNB96" s="395"/>
      <c r="QNC96" s="395"/>
      <c r="QND96" s="395"/>
      <c r="QNE96" s="395"/>
      <c r="QNF96" s="395"/>
      <c r="QNG96" s="395"/>
      <c r="QNH96" s="395"/>
      <c r="QNI96" s="395"/>
      <c r="QNJ96" s="395"/>
      <c r="QNK96" s="395"/>
      <c r="QNL96" s="395"/>
      <c r="QNM96" s="395"/>
      <c r="QNN96" s="395"/>
      <c r="QNO96" s="395"/>
      <c r="QNP96" s="395"/>
      <c r="QNQ96" s="395"/>
      <c r="QNR96" s="395"/>
      <c r="QNS96" s="395"/>
      <c r="QNT96" s="395"/>
      <c r="QNU96" s="395"/>
      <c r="QNV96" s="395"/>
      <c r="QNW96" s="395"/>
      <c r="QNX96" s="396"/>
      <c r="QNY96" s="394"/>
      <c r="QNZ96" s="395"/>
      <c r="QOA96" s="395"/>
      <c r="QOB96" s="395"/>
      <c r="QOC96" s="395"/>
      <c r="QOD96" s="395"/>
      <c r="QOE96" s="395"/>
      <c r="QOF96" s="395"/>
      <c r="QOG96" s="395"/>
      <c r="QOH96" s="395"/>
      <c r="QOI96" s="395"/>
      <c r="QOJ96" s="395"/>
      <c r="QOK96" s="395"/>
      <c r="QOL96" s="395"/>
      <c r="QOM96" s="395"/>
      <c r="QON96" s="395"/>
      <c r="QOO96" s="395"/>
      <c r="QOP96" s="395"/>
      <c r="QOQ96" s="395"/>
      <c r="QOR96" s="395"/>
      <c r="QOS96" s="395"/>
      <c r="QOT96" s="395"/>
      <c r="QOU96" s="395"/>
      <c r="QOV96" s="395"/>
      <c r="QOW96" s="395"/>
      <c r="QOX96" s="395"/>
      <c r="QOY96" s="396"/>
      <c r="QOZ96" s="394"/>
      <c r="QPA96" s="395"/>
      <c r="QPB96" s="395"/>
      <c r="QPC96" s="395"/>
      <c r="QPD96" s="395"/>
      <c r="QPE96" s="395"/>
      <c r="QPF96" s="395"/>
      <c r="QPG96" s="395"/>
      <c r="QPH96" s="395"/>
      <c r="QPI96" s="395"/>
      <c r="QPJ96" s="395"/>
      <c r="QPK96" s="395"/>
      <c r="QPL96" s="395"/>
      <c r="QPM96" s="395"/>
      <c r="QPN96" s="395"/>
      <c r="QPO96" s="395"/>
      <c r="QPP96" s="395"/>
      <c r="QPQ96" s="395"/>
      <c r="QPR96" s="395"/>
      <c r="QPS96" s="395"/>
      <c r="QPT96" s="395"/>
      <c r="QPU96" s="395"/>
      <c r="QPV96" s="395"/>
      <c r="QPW96" s="395"/>
      <c r="QPX96" s="395"/>
      <c r="QPY96" s="395"/>
      <c r="QPZ96" s="396"/>
      <c r="QQA96" s="394"/>
      <c r="QQB96" s="395"/>
      <c r="QQC96" s="395"/>
      <c r="QQD96" s="395"/>
      <c r="QQE96" s="395"/>
      <c r="QQF96" s="395"/>
      <c r="QQG96" s="395"/>
      <c r="QQH96" s="395"/>
      <c r="QQI96" s="395"/>
      <c r="QQJ96" s="395"/>
      <c r="QQK96" s="395"/>
      <c r="QQL96" s="395"/>
      <c r="QQM96" s="395"/>
      <c r="QQN96" s="395"/>
      <c r="QQO96" s="395"/>
      <c r="QQP96" s="395"/>
      <c r="QQQ96" s="395"/>
      <c r="QQR96" s="395"/>
      <c r="QQS96" s="395"/>
      <c r="QQT96" s="395"/>
      <c r="QQU96" s="395"/>
      <c r="QQV96" s="395"/>
      <c r="QQW96" s="395"/>
      <c r="QQX96" s="395"/>
      <c r="QQY96" s="395"/>
      <c r="QQZ96" s="395"/>
      <c r="QRA96" s="396"/>
      <c r="QRB96" s="394"/>
      <c r="QRC96" s="395"/>
      <c r="QRD96" s="395"/>
      <c r="QRE96" s="395"/>
      <c r="QRF96" s="395"/>
      <c r="QRG96" s="395"/>
      <c r="QRH96" s="395"/>
      <c r="QRI96" s="395"/>
      <c r="QRJ96" s="395"/>
      <c r="QRK96" s="395"/>
      <c r="QRL96" s="395"/>
      <c r="QRM96" s="395"/>
      <c r="QRN96" s="395"/>
      <c r="QRO96" s="395"/>
      <c r="QRP96" s="395"/>
      <c r="QRQ96" s="395"/>
      <c r="QRR96" s="395"/>
      <c r="QRS96" s="395"/>
      <c r="QRT96" s="395"/>
      <c r="QRU96" s="395"/>
      <c r="QRV96" s="395"/>
      <c r="QRW96" s="395"/>
      <c r="QRX96" s="395"/>
      <c r="QRY96" s="395"/>
      <c r="QRZ96" s="395"/>
      <c r="QSA96" s="395"/>
      <c r="QSB96" s="396"/>
      <c r="QSC96" s="394"/>
      <c r="QSD96" s="395"/>
      <c r="QSE96" s="395"/>
      <c r="QSF96" s="395"/>
      <c r="QSG96" s="395"/>
      <c r="QSH96" s="395"/>
      <c r="QSI96" s="395"/>
      <c r="QSJ96" s="395"/>
      <c r="QSK96" s="395"/>
      <c r="QSL96" s="395"/>
      <c r="QSM96" s="395"/>
      <c r="QSN96" s="395"/>
      <c r="QSO96" s="395"/>
      <c r="QSP96" s="395"/>
      <c r="QSQ96" s="395"/>
      <c r="QSR96" s="395"/>
      <c r="QSS96" s="395"/>
      <c r="QST96" s="395"/>
      <c r="QSU96" s="395"/>
      <c r="QSV96" s="395"/>
      <c r="QSW96" s="395"/>
      <c r="QSX96" s="395"/>
      <c r="QSY96" s="395"/>
      <c r="QSZ96" s="395"/>
      <c r="QTA96" s="395"/>
      <c r="QTB96" s="395"/>
      <c r="QTC96" s="396"/>
      <c r="QTD96" s="394"/>
      <c r="QTE96" s="395"/>
      <c r="QTF96" s="395"/>
      <c r="QTG96" s="395"/>
      <c r="QTH96" s="395"/>
      <c r="QTI96" s="395"/>
      <c r="QTJ96" s="395"/>
      <c r="QTK96" s="395"/>
      <c r="QTL96" s="395"/>
      <c r="QTM96" s="395"/>
      <c r="QTN96" s="395"/>
      <c r="QTO96" s="395"/>
      <c r="QTP96" s="395"/>
      <c r="QTQ96" s="395"/>
      <c r="QTR96" s="395"/>
      <c r="QTS96" s="395"/>
      <c r="QTT96" s="395"/>
      <c r="QTU96" s="395"/>
      <c r="QTV96" s="395"/>
      <c r="QTW96" s="395"/>
      <c r="QTX96" s="395"/>
      <c r="QTY96" s="395"/>
      <c r="QTZ96" s="395"/>
      <c r="QUA96" s="395"/>
      <c r="QUB96" s="395"/>
      <c r="QUC96" s="395"/>
      <c r="QUD96" s="396"/>
      <c r="QUE96" s="394"/>
      <c r="QUF96" s="395"/>
      <c r="QUG96" s="395"/>
      <c r="QUH96" s="395"/>
      <c r="QUI96" s="395"/>
      <c r="QUJ96" s="395"/>
      <c r="QUK96" s="395"/>
      <c r="QUL96" s="395"/>
      <c r="QUM96" s="395"/>
      <c r="QUN96" s="395"/>
      <c r="QUO96" s="395"/>
      <c r="QUP96" s="395"/>
      <c r="QUQ96" s="395"/>
      <c r="QUR96" s="395"/>
      <c r="QUS96" s="395"/>
      <c r="QUT96" s="395"/>
      <c r="QUU96" s="395"/>
      <c r="QUV96" s="395"/>
      <c r="QUW96" s="395"/>
      <c r="QUX96" s="395"/>
      <c r="QUY96" s="395"/>
      <c r="QUZ96" s="395"/>
      <c r="QVA96" s="395"/>
      <c r="QVB96" s="395"/>
      <c r="QVC96" s="395"/>
      <c r="QVD96" s="395"/>
      <c r="QVE96" s="396"/>
      <c r="QVF96" s="394"/>
      <c r="QVG96" s="395"/>
      <c r="QVH96" s="395"/>
      <c r="QVI96" s="395"/>
      <c r="QVJ96" s="395"/>
      <c r="QVK96" s="395"/>
      <c r="QVL96" s="395"/>
      <c r="QVM96" s="395"/>
      <c r="QVN96" s="395"/>
      <c r="QVO96" s="395"/>
      <c r="QVP96" s="395"/>
      <c r="QVQ96" s="395"/>
      <c r="QVR96" s="395"/>
      <c r="QVS96" s="395"/>
      <c r="QVT96" s="395"/>
      <c r="QVU96" s="395"/>
      <c r="QVV96" s="395"/>
      <c r="QVW96" s="395"/>
      <c r="QVX96" s="395"/>
      <c r="QVY96" s="395"/>
      <c r="QVZ96" s="395"/>
      <c r="QWA96" s="395"/>
      <c r="QWB96" s="395"/>
      <c r="QWC96" s="395"/>
      <c r="QWD96" s="395"/>
      <c r="QWE96" s="395"/>
      <c r="QWF96" s="396"/>
      <c r="QWG96" s="394"/>
      <c r="QWH96" s="395"/>
      <c r="QWI96" s="395"/>
      <c r="QWJ96" s="395"/>
      <c r="QWK96" s="395"/>
      <c r="QWL96" s="395"/>
      <c r="QWM96" s="395"/>
      <c r="QWN96" s="395"/>
      <c r="QWO96" s="395"/>
      <c r="QWP96" s="395"/>
      <c r="QWQ96" s="395"/>
      <c r="QWR96" s="395"/>
      <c r="QWS96" s="395"/>
      <c r="QWT96" s="395"/>
      <c r="QWU96" s="395"/>
      <c r="QWV96" s="395"/>
      <c r="QWW96" s="395"/>
      <c r="QWX96" s="395"/>
      <c r="QWY96" s="395"/>
      <c r="QWZ96" s="395"/>
      <c r="QXA96" s="395"/>
      <c r="QXB96" s="395"/>
      <c r="QXC96" s="395"/>
      <c r="QXD96" s="395"/>
      <c r="QXE96" s="395"/>
      <c r="QXF96" s="395"/>
      <c r="QXG96" s="396"/>
      <c r="QXH96" s="394"/>
      <c r="QXI96" s="395"/>
      <c r="QXJ96" s="395"/>
      <c r="QXK96" s="395"/>
      <c r="QXL96" s="395"/>
      <c r="QXM96" s="395"/>
      <c r="QXN96" s="395"/>
      <c r="QXO96" s="395"/>
      <c r="QXP96" s="395"/>
      <c r="QXQ96" s="395"/>
      <c r="QXR96" s="395"/>
      <c r="QXS96" s="395"/>
      <c r="QXT96" s="395"/>
      <c r="QXU96" s="395"/>
      <c r="QXV96" s="395"/>
      <c r="QXW96" s="395"/>
      <c r="QXX96" s="395"/>
      <c r="QXY96" s="395"/>
      <c r="QXZ96" s="395"/>
      <c r="QYA96" s="395"/>
      <c r="QYB96" s="395"/>
      <c r="QYC96" s="395"/>
      <c r="QYD96" s="395"/>
      <c r="QYE96" s="395"/>
      <c r="QYF96" s="395"/>
      <c r="QYG96" s="395"/>
      <c r="QYH96" s="396"/>
      <c r="QYI96" s="394"/>
      <c r="QYJ96" s="395"/>
      <c r="QYK96" s="395"/>
      <c r="QYL96" s="395"/>
      <c r="QYM96" s="395"/>
      <c r="QYN96" s="395"/>
      <c r="QYO96" s="395"/>
      <c r="QYP96" s="395"/>
      <c r="QYQ96" s="395"/>
      <c r="QYR96" s="395"/>
      <c r="QYS96" s="395"/>
      <c r="QYT96" s="395"/>
      <c r="QYU96" s="395"/>
      <c r="QYV96" s="395"/>
      <c r="QYW96" s="395"/>
      <c r="QYX96" s="395"/>
      <c r="QYY96" s="395"/>
      <c r="QYZ96" s="395"/>
      <c r="QZA96" s="395"/>
      <c r="QZB96" s="395"/>
      <c r="QZC96" s="395"/>
      <c r="QZD96" s="395"/>
      <c r="QZE96" s="395"/>
      <c r="QZF96" s="395"/>
      <c r="QZG96" s="395"/>
      <c r="QZH96" s="395"/>
      <c r="QZI96" s="396"/>
      <c r="QZJ96" s="394"/>
      <c r="QZK96" s="395"/>
      <c r="QZL96" s="395"/>
      <c r="QZM96" s="395"/>
      <c r="QZN96" s="395"/>
      <c r="QZO96" s="395"/>
      <c r="QZP96" s="395"/>
      <c r="QZQ96" s="395"/>
      <c r="QZR96" s="395"/>
      <c r="QZS96" s="395"/>
      <c r="QZT96" s="395"/>
      <c r="QZU96" s="395"/>
      <c r="QZV96" s="395"/>
      <c r="QZW96" s="395"/>
      <c r="QZX96" s="395"/>
      <c r="QZY96" s="395"/>
      <c r="QZZ96" s="395"/>
      <c r="RAA96" s="395"/>
      <c r="RAB96" s="395"/>
      <c r="RAC96" s="395"/>
      <c r="RAD96" s="395"/>
      <c r="RAE96" s="395"/>
      <c r="RAF96" s="395"/>
      <c r="RAG96" s="395"/>
      <c r="RAH96" s="395"/>
      <c r="RAI96" s="395"/>
      <c r="RAJ96" s="396"/>
      <c r="RAK96" s="394"/>
      <c r="RAL96" s="395"/>
      <c r="RAM96" s="395"/>
      <c r="RAN96" s="395"/>
      <c r="RAO96" s="395"/>
      <c r="RAP96" s="395"/>
      <c r="RAQ96" s="395"/>
      <c r="RAR96" s="395"/>
      <c r="RAS96" s="395"/>
      <c r="RAT96" s="395"/>
      <c r="RAU96" s="395"/>
      <c r="RAV96" s="395"/>
      <c r="RAW96" s="395"/>
      <c r="RAX96" s="395"/>
      <c r="RAY96" s="395"/>
      <c r="RAZ96" s="395"/>
      <c r="RBA96" s="395"/>
      <c r="RBB96" s="395"/>
      <c r="RBC96" s="395"/>
      <c r="RBD96" s="395"/>
      <c r="RBE96" s="395"/>
      <c r="RBF96" s="395"/>
      <c r="RBG96" s="395"/>
      <c r="RBH96" s="395"/>
      <c r="RBI96" s="395"/>
      <c r="RBJ96" s="395"/>
      <c r="RBK96" s="396"/>
      <c r="RBL96" s="394"/>
      <c r="RBM96" s="395"/>
      <c r="RBN96" s="395"/>
      <c r="RBO96" s="395"/>
      <c r="RBP96" s="395"/>
      <c r="RBQ96" s="395"/>
      <c r="RBR96" s="395"/>
      <c r="RBS96" s="395"/>
      <c r="RBT96" s="395"/>
      <c r="RBU96" s="395"/>
      <c r="RBV96" s="395"/>
      <c r="RBW96" s="395"/>
      <c r="RBX96" s="395"/>
      <c r="RBY96" s="395"/>
      <c r="RBZ96" s="395"/>
      <c r="RCA96" s="395"/>
      <c r="RCB96" s="395"/>
      <c r="RCC96" s="395"/>
      <c r="RCD96" s="395"/>
      <c r="RCE96" s="395"/>
      <c r="RCF96" s="395"/>
      <c r="RCG96" s="395"/>
      <c r="RCH96" s="395"/>
      <c r="RCI96" s="395"/>
      <c r="RCJ96" s="395"/>
      <c r="RCK96" s="395"/>
      <c r="RCL96" s="396"/>
      <c r="RCM96" s="394"/>
      <c r="RCN96" s="395"/>
      <c r="RCO96" s="395"/>
      <c r="RCP96" s="395"/>
      <c r="RCQ96" s="395"/>
      <c r="RCR96" s="395"/>
      <c r="RCS96" s="395"/>
      <c r="RCT96" s="395"/>
      <c r="RCU96" s="395"/>
      <c r="RCV96" s="395"/>
      <c r="RCW96" s="395"/>
      <c r="RCX96" s="395"/>
      <c r="RCY96" s="395"/>
      <c r="RCZ96" s="395"/>
      <c r="RDA96" s="395"/>
      <c r="RDB96" s="395"/>
      <c r="RDC96" s="395"/>
      <c r="RDD96" s="395"/>
      <c r="RDE96" s="395"/>
      <c r="RDF96" s="395"/>
      <c r="RDG96" s="395"/>
      <c r="RDH96" s="395"/>
      <c r="RDI96" s="395"/>
      <c r="RDJ96" s="395"/>
      <c r="RDK96" s="395"/>
      <c r="RDL96" s="395"/>
      <c r="RDM96" s="396"/>
      <c r="RDN96" s="394"/>
      <c r="RDO96" s="395"/>
      <c r="RDP96" s="395"/>
      <c r="RDQ96" s="395"/>
      <c r="RDR96" s="395"/>
      <c r="RDS96" s="395"/>
      <c r="RDT96" s="395"/>
      <c r="RDU96" s="395"/>
      <c r="RDV96" s="395"/>
      <c r="RDW96" s="395"/>
      <c r="RDX96" s="395"/>
      <c r="RDY96" s="395"/>
      <c r="RDZ96" s="395"/>
      <c r="REA96" s="395"/>
      <c r="REB96" s="395"/>
      <c r="REC96" s="395"/>
      <c r="RED96" s="395"/>
      <c r="REE96" s="395"/>
      <c r="REF96" s="395"/>
      <c r="REG96" s="395"/>
      <c r="REH96" s="395"/>
      <c r="REI96" s="395"/>
      <c r="REJ96" s="395"/>
      <c r="REK96" s="395"/>
      <c r="REL96" s="395"/>
      <c r="REM96" s="395"/>
      <c r="REN96" s="396"/>
      <c r="REO96" s="394"/>
      <c r="REP96" s="395"/>
      <c r="REQ96" s="395"/>
      <c r="RER96" s="395"/>
      <c r="RES96" s="395"/>
      <c r="RET96" s="395"/>
      <c r="REU96" s="395"/>
      <c r="REV96" s="395"/>
      <c r="REW96" s="395"/>
      <c r="REX96" s="395"/>
      <c r="REY96" s="395"/>
      <c r="REZ96" s="395"/>
      <c r="RFA96" s="395"/>
      <c r="RFB96" s="395"/>
      <c r="RFC96" s="395"/>
      <c r="RFD96" s="395"/>
      <c r="RFE96" s="395"/>
      <c r="RFF96" s="395"/>
      <c r="RFG96" s="395"/>
      <c r="RFH96" s="395"/>
      <c r="RFI96" s="395"/>
      <c r="RFJ96" s="395"/>
      <c r="RFK96" s="395"/>
      <c r="RFL96" s="395"/>
      <c r="RFM96" s="395"/>
      <c r="RFN96" s="395"/>
      <c r="RFO96" s="396"/>
      <c r="RFP96" s="394"/>
      <c r="RFQ96" s="395"/>
      <c r="RFR96" s="395"/>
      <c r="RFS96" s="395"/>
      <c r="RFT96" s="395"/>
      <c r="RFU96" s="395"/>
      <c r="RFV96" s="395"/>
      <c r="RFW96" s="395"/>
      <c r="RFX96" s="395"/>
      <c r="RFY96" s="395"/>
      <c r="RFZ96" s="395"/>
      <c r="RGA96" s="395"/>
      <c r="RGB96" s="395"/>
      <c r="RGC96" s="395"/>
      <c r="RGD96" s="395"/>
      <c r="RGE96" s="395"/>
      <c r="RGF96" s="395"/>
      <c r="RGG96" s="395"/>
      <c r="RGH96" s="395"/>
      <c r="RGI96" s="395"/>
      <c r="RGJ96" s="395"/>
      <c r="RGK96" s="395"/>
      <c r="RGL96" s="395"/>
      <c r="RGM96" s="395"/>
      <c r="RGN96" s="395"/>
      <c r="RGO96" s="395"/>
      <c r="RGP96" s="396"/>
      <c r="RGQ96" s="394"/>
      <c r="RGR96" s="395"/>
      <c r="RGS96" s="395"/>
      <c r="RGT96" s="395"/>
      <c r="RGU96" s="395"/>
      <c r="RGV96" s="395"/>
      <c r="RGW96" s="395"/>
      <c r="RGX96" s="395"/>
      <c r="RGY96" s="395"/>
      <c r="RGZ96" s="395"/>
      <c r="RHA96" s="395"/>
      <c r="RHB96" s="395"/>
      <c r="RHC96" s="395"/>
      <c r="RHD96" s="395"/>
      <c r="RHE96" s="395"/>
      <c r="RHF96" s="395"/>
      <c r="RHG96" s="395"/>
      <c r="RHH96" s="395"/>
      <c r="RHI96" s="395"/>
      <c r="RHJ96" s="395"/>
      <c r="RHK96" s="395"/>
      <c r="RHL96" s="395"/>
      <c r="RHM96" s="395"/>
      <c r="RHN96" s="395"/>
      <c r="RHO96" s="395"/>
      <c r="RHP96" s="395"/>
      <c r="RHQ96" s="396"/>
      <c r="RHR96" s="394"/>
      <c r="RHS96" s="395"/>
      <c r="RHT96" s="395"/>
      <c r="RHU96" s="395"/>
      <c r="RHV96" s="395"/>
      <c r="RHW96" s="395"/>
      <c r="RHX96" s="395"/>
      <c r="RHY96" s="395"/>
      <c r="RHZ96" s="395"/>
      <c r="RIA96" s="395"/>
      <c r="RIB96" s="395"/>
      <c r="RIC96" s="395"/>
      <c r="RID96" s="395"/>
      <c r="RIE96" s="395"/>
      <c r="RIF96" s="395"/>
      <c r="RIG96" s="395"/>
      <c r="RIH96" s="395"/>
      <c r="RII96" s="395"/>
      <c r="RIJ96" s="395"/>
      <c r="RIK96" s="395"/>
      <c r="RIL96" s="395"/>
      <c r="RIM96" s="395"/>
      <c r="RIN96" s="395"/>
      <c r="RIO96" s="395"/>
      <c r="RIP96" s="395"/>
      <c r="RIQ96" s="395"/>
      <c r="RIR96" s="396"/>
      <c r="RIS96" s="394"/>
      <c r="RIT96" s="395"/>
      <c r="RIU96" s="395"/>
      <c r="RIV96" s="395"/>
      <c r="RIW96" s="395"/>
      <c r="RIX96" s="395"/>
      <c r="RIY96" s="395"/>
      <c r="RIZ96" s="395"/>
      <c r="RJA96" s="395"/>
      <c r="RJB96" s="395"/>
      <c r="RJC96" s="395"/>
      <c r="RJD96" s="395"/>
      <c r="RJE96" s="395"/>
      <c r="RJF96" s="395"/>
      <c r="RJG96" s="395"/>
      <c r="RJH96" s="395"/>
      <c r="RJI96" s="395"/>
      <c r="RJJ96" s="395"/>
      <c r="RJK96" s="395"/>
      <c r="RJL96" s="395"/>
      <c r="RJM96" s="395"/>
      <c r="RJN96" s="395"/>
      <c r="RJO96" s="395"/>
      <c r="RJP96" s="395"/>
      <c r="RJQ96" s="395"/>
      <c r="RJR96" s="395"/>
      <c r="RJS96" s="396"/>
      <c r="RJT96" s="394"/>
      <c r="RJU96" s="395"/>
      <c r="RJV96" s="395"/>
      <c r="RJW96" s="395"/>
      <c r="RJX96" s="395"/>
      <c r="RJY96" s="395"/>
      <c r="RJZ96" s="395"/>
      <c r="RKA96" s="395"/>
      <c r="RKB96" s="395"/>
      <c r="RKC96" s="395"/>
      <c r="RKD96" s="395"/>
      <c r="RKE96" s="395"/>
      <c r="RKF96" s="395"/>
      <c r="RKG96" s="395"/>
      <c r="RKH96" s="395"/>
      <c r="RKI96" s="395"/>
      <c r="RKJ96" s="395"/>
      <c r="RKK96" s="395"/>
      <c r="RKL96" s="395"/>
      <c r="RKM96" s="395"/>
      <c r="RKN96" s="395"/>
      <c r="RKO96" s="395"/>
      <c r="RKP96" s="395"/>
      <c r="RKQ96" s="395"/>
      <c r="RKR96" s="395"/>
      <c r="RKS96" s="395"/>
      <c r="RKT96" s="396"/>
      <c r="RKU96" s="394"/>
      <c r="RKV96" s="395"/>
      <c r="RKW96" s="395"/>
      <c r="RKX96" s="395"/>
      <c r="RKY96" s="395"/>
      <c r="RKZ96" s="395"/>
      <c r="RLA96" s="395"/>
      <c r="RLB96" s="395"/>
      <c r="RLC96" s="395"/>
      <c r="RLD96" s="395"/>
      <c r="RLE96" s="395"/>
      <c r="RLF96" s="395"/>
      <c r="RLG96" s="395"/>
      <c r="RLH96" s="395"/>
      <c r="RLI96" s="395"/>
      <c r="RLJ96" s="395"/>
      <c r="RLK96" s="395"/>
      <c r="RLL96" s="395"/>
      <c r="RLM96" s="395"/>
      <c r="RLN96" s="395"/>
      <c r="RLO96" s="395"/>
      <c r="RLP96" s="395"/>
      <c r="RLQ96" s="395"/>
      <c r="RLR96" s="395"/>
      <c r="RLS96" s="395"/>
      <c r="RLT96" s="395"/>
      <c r="RLU96" s="396"/>
      <c r="RLV96" s="394"/>
      <c r="RLW96" s="395"/>
      <c r="RLX96" s="395"/>
      <c r="RLY96" s="395"/>
      <c r="RLZ96" s="395"/>
      <c r="RMA96" s="395"/>
      <c r="RMB96" s="395"/>
      <c r="RMC96" s="395"/>
      <c r="RMD96" s="395"/>
      <c r="RME96" s="395"/>
      <c r="RMF96" s="395"/>
      <c r="RMG96" s="395"/>
      <c r="RMH96" s="395"/>
      <c r="RMI96" s="395"/>
      <c r="RMJ96" s="395"/>
      <c r="RMK96" s="395"/>
      <c r="RML96" s="395"/>
      <c r="RMM96" s="395"/>
      <c r="RMN96" s="395"/>
      <c r="RMO96" s="395"/>
      <c r="RMP96" s="395"/>
      <c r="RMQ96" s="395"/>
      <c r="RMR96" s="395"/>
      <c r="RMS96" s="395"/>
      <c r="RMT96" s="395"/>
      <c r="RMU96" s="395"/>
      <c r="RMV96" s="396"/>
      <c r="RMW96" s="394"/>
      <c r="RMX96" s="395"/>
      <c r="RMY96" s="395"/>
      <c r="RMZ96" s="395"/>
      <c r="RNA96" s="395"/>
      <c r="RNB96" s="395"/>
      <c r="RNC96" s="395"/>
      <c r="RND96" s="395"/>
      <c r="RNE96" s="395"/>
      <c r="RNF96" s="395"/>
      <c r="RNG96" s="395"/>
      <c r="RNH96" s="395"/>
      <c r="RNI96" s="395"/>
      <c r="RNJ96" s="395"/>
      <c r="RNK96" s="395"/>
      <c r="RNL96" s="395"/>
      <c r="RNM96" s="395"/>
      <c r="RNN96" s="395"/>
      <c r="RNO96" s="395"/>
      <c r="RNP96" s="395"/>
      <c r="RNQ96" s="395"/>
      <c r="RNR96" s="395"/>
      <c r="RNS96" s="395"/>
      <c r="RNT96" s="395"/>
      <c r="RNU96" s="395"/>
      <c r="RNV96" s="395"/>
      <c r="RNW96" s="396"/>
      <c r="RNX96" s="394"/>
      <c r="RNY96" s="395"/>
      <c r="RNZ96" s="395"/>
      <c r="ROA96" s="395"/>
      <c r="ROB96" s="395"/>
      <c r="ROC96" s="395"/>
      <c r="ROD96" s="395"/>
      <c r="ROE96" s="395"/>
      <c r="ROF96" s="395"/>
      <c r="ROG96" s="395"/>
      <c r="ROH96" s="395"/>
      <c r="ROI96" s="395"/>
      <c r="ROJ96" s="395"/>
      <c r="ROK96" s="395"/>
      <c r="ROL96" s="395"/>
      <c r="ROM96" s="395"/>
      <c r="RON96" s="395"/>
      <c r="ROO96" s="395"/>
      <c r="ROP96" s="395"/>
      <c r="ROQ96" s="395"/>
      <c r="ROR96" s="395"/>
      <c r="ROS96" s="395"/>
      <c r="ROT96" s="395"/>
      <c r="ROU96" s="395"/>
      <c r="ROV96" s="395"/>
      <c r="ROW96" s="395"/>
      <c r="ROX96" s="396"/>
      <c r="ROY96" s="394"/>
      <c r="ROZ96" s="395"/>
      <c r="RPA96" s="395"/>
      <c r="RPB96" s="395"/>
      <c r="RPC96" s="395"/>
      <c r="RPD96" s="395"/>
      <c r="RPE96" s="395"/>
      <c r="RPF96" s="395"/>
      <c r="RPG96" s="395"/>
      <c r="RPH96" s="395"/>
      <c r="RPI96" s="395"/>
      <c r="RPJ96" s="395"/>
      <c r="RPK96" s="395"/>
      <c r="RPL96" s="395"/>
      <c r="RPM96" s="395"/>
      <c r="RPN96" s="395"/>
      <c r="RPO96" s="395"/>
      <c r="RPP96" s="395"/>
      <c r="RPQ96" s="395"/>
      <c r="RPR96" s="395"/>
      <c r="RPS96" s="395"/>
      <c r="RPT96" s="395"/>
      <c r="RPU96" s="395"/>
      <c r="RPV96" s="395"/>
      <c r="RPW96" s="395"/>
      <c r="RPX96" s="395"/>
      <c r="RPY96" s="396"/>
      <c r="RPZ96" s="394"/>
      <c r="RQA96" s="395"/>
      <c r="RQB96" s="395"/>
      <c r="RQC96" s="395"/>
      <c r="RQD96" s="395"/>
      <c r="RQE96" s="395"/>
      <c r="RQF96" s="395"/>
      <c r="RQG96" s="395"/>
      <c r="RQH96" s="395"/>
      <c r="RQI96" s="395"/>
      <c r="RQJ96" s="395"/>
      <c r="RQK96" s="395"/>
      <c r="RQL96" s="395"/>
      <c r="RQM96" s="395"/>
      <c r="RQN96" s="395"/>
      <c r="RQO96" s="395"/>
      <c r="RQP96" s="395"/>
      <c r="RQQ96" s="395"/>
      <c r="RQR96" s="395"/>
      <c r="RQS96" s="395"/>
      <c r="RQT96" s="395"/>
      <c r="RQU96" s="395"/>
      <c r="RQV96" s="395"/>
      <c r="RQW96" s="395"/>
      <c r="RQX96" s="395"/>
      <c r="RQY96" s="395"/>
      <c r="RQZ96" s="396"/>
      <c r="RRA96" s="394"/>
      <c r="RRB96" s="395"/>
      <c r="RRC96" s="395"/>
      <c r="RRD96" s="395"/>
      <c r="RRE96" s="395"/>
      <c r="RRF96" s="395"/>
      <c r="RRG96" s="395"/>
      <c r="RRH96" s="395"/>
      <c r="RRI96" s="395"/>
      <c r="RRJ96" s="395"/>
      <c r="RRK96" s="395"/>
      <c r="RRL96" s="395"/>
      <c r="RRM96" s="395"/>
      <c r="RRN96" s="395"/>
      <c r="RRO96" s="395"/>
      <c r="RRP96" s="395"/>
      <c r="RRQ96" s="395"/>
      <c r="RRR96" s="395"/>
      <c r="RRS96" s="395"/>
      <c r="RRT96" s="395"/>
      <c r="RRU96" s="395"/>
      <c r="RRV96" s="395"/>
      <c r="RRW96" s="395"/>
      <c r="RRX96" s="395"/>
      <c r="RRY96" s="395"/>
      <c r="RRZ96" s="395"/>
      <c r="RSA96" s="396"/>
      <c r="RSB96" s="394"/>
      <c r="RSC96" s="395"/>
      <c r="RSD96" s="395"/>
      <c r="RSE96" s="395"/>
      <c r="RSF96" s="395"/>
      <c r="RSG96" s="395"/>
      <c r="RSH96" s="395"/>
      <c r="RSI96" s="395"/>
      <c r="RSJ96" s="395"/>
      <c r="RSK96" s="395"/>
      <c r="RSL96" s="395"/>
      <c r="RSM96" s="395"/>
      <c r="RSN96" s="395"/>
      <c r="RSO96" s="395"/>
      <c r="RSP96" s="395"/>
      <c r="RSQ96" s="395"/>
      <c r="RSR96" s="395"/>
      <c r="RSS96" s="395"/>
      <c r="RST96" s="395"/>
      <c r="RSU96" s="395"/>
      <c r="RSV96" s="395"/>
      <c r="RSW96" s="395"/>
      <c r="RSX96" s="395"/>
      <c r="RSY96" s="395"/>
      <c r="RSZ96" s="395"/>
      <c r="RTA96" s="395"/>
      <c r="RTB96" s="396"/>
      <c r="RTC96" s="394"/>
      <c r="RTD96" s="395"/>
      <c r="RTE96" s="395"/>
      <c r="RTF96" s="395"/>
      <c r="RTG96" s="395"/>
      <c r="RTH96" s="395"/>
      <c r="RTI96" s="395"/>
      <c r="RTJ96" s="395"/>
      <c r="RTK96" s="395"/>
      <c r="RTL96" s="395"/>
      <c r="RTM96" s="395"/>
      <c r="RTN96" s="395"/>
      <c r="RTO96" s="395"/>
      <c r="RTP96" s="395"/>
      <c r="RTQ96" s="395"/>
      <c r="RTR96" s="395"/>
      <c r="RTS96" s="395"/>
      <c r="RTT96" s="395"/>
      <c r="RTU96" s="395"/>
      <c r="RTV96" s="395"/>
      <c r="RTW96" s="395"/>
      <c r="RTX96" s="395"/>
      <c r="RTY96" s="395"/>
      <c r="RTZ96" s="395"/>
      <c r="RUA96" s="395"/>
      <c r="RUB96" s="395"/>
      <c r="RUC96" s="396"/>
      <c r="RUD96" s="394"/>
      <c r="RUE96" s="395"/>
      <c r="RUF96" s="395"/>
      <c r="RUG96" s="395"/>
      <c r="RUH96" s="395"/>
      <c r="RUI96" s="395"/>
      <c r="RUJ96" s="395"/>
      <c r="RUK96" s="395"/>
      <c r="RUL96" s="395"/>
      <c r="RUM96" s="395"/>
      <c r="RUN96" s="395"/>
      <c r="RUO96" s="395"/>
      <c r="RUP96" s="395"/>
      <c r="RUQ96" s="395"/>
      <c r="RUR96" s="395"/>
      <c r="RUS96" s="395"/>
      <c r="RUT96" s="395"/>
      <c r="RUU96" s="395"/>
      <c r="RUV96" s="395"/>
      <c r="RUW96" s="395"/>
      <c r="RUX96" s="395"/>
      <c r="RUY96" s="395"/>
      <c r="RUZ96" s="395"/>
      <c r="RVA96" s="395"/>
      <c r="RVB96" s="395"/>
      <c r="RVC96" s="395"/>
      <c r="RVD96" s="396"/>
      <c r="RVE96" s="394"/>
      <c r="RVF96" s="395"/>
      <c r="RVG96" s="395"/>
      <c r="RVH96" s="395"/>
      <c r="RVI96" s="395"/>
      <c r="RVJ96" s="395"/>
      <c r="RVK96" s="395"/>
      <c r="RVL96" s="395"/>
      <c r="RVM96" s="395"/>
      <c r="RVN96" s="395"/>
      <c r="RVO96" s="395"/>
      <c r="RVP96" s="395"/>
      <c r="RVQ96" s="395"/>
      <c r="RVR96" s="395"/>
      <c r="RVS96" s="395"/>
      <c r="RVT96" s="395"/>
      <c r="RVU96" s="395"/>
      <c r="RVV96" s="395"/>
      <c r="RVW96" s="395"/>
      <c r="RVX96" s="395"/>
      <c r="RVY96" s="395"/>
      <c r="RVZ96" s="395"/>
      <c r="RWA96" s="395"/>
      <c r="RWB96" s="395"/>
      <c r="RWC96" s="395"/>
      <c r="RWD96" s="395"/>
      <c r="RWE96" s="396"/>
      <c r="RWF96" s="394"/>
      <c r="RWG96" s="395"/>
      <c r="RWH96" s="395"/>
      <c r="RWI96" s="395"/>
      <c r="RWJ96" s="395"/>
      <c r="RWK96" s="395"/>
      <c r="RWL96" s="395"/>
      <c r="RWM96" s="395"/>
      <c r="RWN96" s="395"/>
      <c r="RWO96" s="395"/>
      <c r="RWP96" s="395"/>
      <c r="RWQ96" s="395"/>
      <c r="RWR96" s="395"/>
      <c r="RWS96" s="395"/>
      <c r="RWT96" s="395"/>
      <c r="RWU96" s="395"/>
      <c r="RWV96" s="395"/>
      <c r="RWW96" s="395"/>
      <c r="RWX96" s="395"/>
      <c r="RWY96" s="395"/>
      <c r="RWZ96" s="395"/>
      <c r="RXA96" s="395"/>
      <c r="RXB96" s="395"/>
      <c r="RXC96" s="395"/>
      <c r="RXD96" s="395"/>
      <c r="RXE96" s="395"/>
      <c r="RXF96" s="396"/>
      <c r="RXG96" s="394"/>
      <c r="RXH96" s="395"/>
      <c r="RXI96" s="395"/>
      <c r="RXJ96" s="395"/>
      <c r="RXK96" s="395"/>
      <c r="RXL96" s="395"/>
      <c r="RXM96" s="395"/>
      <c r="RXN96" s="395"/>
      <c r="RXO96" s="395"/>
      <c r="RXP96" s="395"/>
      <c r="RXQ96" s="395"/>
      <c r="RXR96" s="395"/>
      <c r="RXS96" s="395"/>
      <c r="RXT96" s="395"/>
      <c r="RXU96" s="395"/>
      <c r="RXV96" s="395"/>
      <c r="RXW96" s="395"/>
      <c r="RXX96" s="395"/>
      <c r="RXY96" s="395"/>
      <c r="RXZ96" s="395"/>
      <c r="RYA96" s="395"/>
      <c r="RYB96" s="395"/>
      <c r="RYC96" s="395"/>
      <c r="RYD96" s="395"/>
      <c r="RYE96" s="395"/>
      <c r="RYF96" s="395"/>
      <c r="RYG96" s="396"/>
      <c r="RYH96" s="394"/>
      <c r="RYI96" s="395"/>
      <c r="RYJ96" s="395"/>
      <c r="RYK96" s="395"/>
      <c r="RYL96" s="395"/>
      <c r="RYM96" s="395"/>
      <c r="RYN96" s="395"/>
      <c r="RYO96" s="395"/>
      <c r="RYP96" s="395"/>
      <c r="RYQ96" s="395"/>
      <c r="RYR96" s="395"/>
      <c r="RYS96" s="395"/>
      <c r="RYT96" s="395"/>
      <c r="RYU96" s="395"/>
      <c r="RYV96" s="395"/>
      <c r="RYW96" s="395"/>
      <c r="RYX96" s="395"/>
      <c r="RYY96" s="395"/>
      <c r="RYZ96" s="395"/>
      <c r="RZA96" s="395"/>
      <c r="RZB96" s="395"/>
      <c r="RZC96" s="395"/>
      <c r="RZD96" s="395"/>
      <c r="RZE96" s="395"/>
      <c r="RZF96" s="395"/>
      <c r="RZG96" s="395"/>
      <c r="RZH96" s="396"/>
      <c r="RZI96" s="394"/>
      <c r="RZJ96" s="395"/>
      <c r="RZK96" s="395"/>
      <c r="RZL96" s="395"/>
      <c r="RZM96" s="395"/>
      <c r="RZN96" s="395"/>
      <c r="RZO96" s="395"/>
      <c r="RZP96" s="395"/>
      <c r="RZQ96" s="395"/>
      <c r="RZR96" s="395"/>
      <c r="RZS96" s="395"/>
      <c r="RZT96" s="395"/>
      <c r="RZU96" s="395"/>
      <c r="RZV96" s="395"/>
      <c r="RZW96" s="395"/>
      <c r="RZX96" s="395"/>
      <c r="RZY96" s="395"/>
      <c r="RZZ96" s="395"/>
      <c r="SAA96" s="395"/>
      <c r="SAB96" s="395"/>
      <c r="SAC96" s="395"/>
      <c r="SAD96" s="395"/>
      <c r="SAE96" s="395"/>
      <c r="SAF96" s="395"/>
      <c r="SAG96" s="395"/>
      <c r="SAH96" s="395"/>
      <c r="SAI96" s="396"/>
      <c r="SAJ96" s="394"/>
      <c r="SAK96" s="395"/>
      <c r="SAL96" s="395"/>
      <c r="SAM96" s="395"/>
      <c r="SAN96" s="395"/>
      <c r="SAO96" s="395"/>
      <c r="SAP96" s="395"/>
      <c r="SAQ96" s="395"/>
      <c r="SAR96" s="395"/>
      <c r="SAS96" s="395"/>
      <c r="SAT96" s="395"/>
      <c r="SAU96" s="395"/>
      <c r="SAV96" s="395"/>
      <c r="SAW96" s="395"/>
      <c r="SAX96" s="395"/>
      <c r="SAY96" s="395"/>
      <c r="SAZ96" s="395"/>
      <c r="SBA96" s="395"/>
      <c r="SBB96" s="395"/>
      <c r="SBC96" s="395"/>
      <c r="SBD96" s="395"/>
      <c r="SBE96" s="395"/>
      <c r="SBF96" s="395"/>
      <c r="SBG96" s="395"/>
      <c r="SBH96" s="395"/>
      <c r="SBI96" s="395"/>
      <c r="SBJ96" s="396"/>
      <c r="SBK96" s="394"/>
      <c r="SBL96" s="395"/>
      <c r="SBM96" s="395"/>
      <c r="SBN96" s="395"/>
      <c r="SBO96" s="395"/>
      <c r="SBP96" s="395"/>
      <c r="SBQ96" s="395"/>
      <c r="SBR96" s="395"/>
      <c r="SBS96" s="395"/>
      <c r="SBT96" s="395"/>
      <c r="SBU96" s="395"/>
      <c r="SBV96" s="395"/>
      <c r="SBW96" s="395"/>
      <c r="SBX96" s="395"/>
      <c r="SBY96" s="395"/>
      <c r="SBZ96" s="395"/>
      <c r="SCA96" s="395"/>
      <c r="SCB96" s="395"/>
      <c r="SCC96" s="395"/>
      <c r="SCD96" s="395"/>
      <c r="SCE96" s="395"/>
      <c r="SCF96" s="395"/>
      <c r="SCG96" s="395"/>
      <c r="SCH96" s="395"/>
      <c r="SCI96" s="395"/>
      <c r="SCJ96" s="395"/>
      <c r="SCK96" s="396"/>
      <c r="SCL96" s="394"/>
      <c r="SCM96" s="395"/>
      <c r="SCN96" s="395"/>
      <c r="SCO96" s="395"/>
      <c r="SCP96" s="395"/>
      <c r="SCQ96" s="395"/>
      <c r="SCR96" s="395"/>
      <c r="SCS96" s="395"/>
      <c r="SCT96" s="395"/>
      <c r="SCU96" s="395"/>
      <c r="SCV96" s="395"/>
      <c r="SCW96" s="395"/>
      <c r="SCX96" s="395"/>
      <c r="SCY96" s="395"/>
      <c r="SCZ96" s="395"/>
      <c r="SDA96" s="395"/>
      <c r="SDB96" s="395"/>
      <c r="SDC96" s="395"/>
      <c r="SDD96" s="395"/>
      <c r="SDE96" s="395"/>
      <c r="SDF96" s="395"/>
      <c r="SDG96" s="395"/>
      <c r="SDH96" s="395"/>
      <c r="SDI96" s="395"/>
      <c r="SDJ96" s="395"/>
      <c r="SDK96" s="395"/>
      <c r="SDL96" s="396"/>
      <c r="SDM96" s="394"/>
      <c r="SDN96" s="395"/>
      <c r="SDO96" s="395"/>
      <c r="SDP96" s="395"/>
      <c r="SDQ96" s="395"/>
      <c r="SDR96" s="395"/>
      <c r="SDS96" s="395"/>
      <c r="SDT96" s="395"/>
      <c r="SDU96" s="395"/>
      <c r="SDV96" s="395"/>
      <c r="SDW96" s="395"/>
      <c r="SDX96" s="395"/>
      <c r="SDY96" s="395"/>
      <c r="SDZ96" s="395"/>
      <c r="SEA96" s="395"/>
      <c r="SEB96" s="395"/>
      <c r="SEC96" s="395"/>
      <c r="SED96" s="395"/>
      <c r="SEE96" s="395"/>
      <c r="SEF96" s="395"/>
      <c r="SEG96" s="395"/>
      <c r="SEH96" s="395"/>
      <c r="SEI96" s="395"/>
      <c r="SEJ96" s="395"/>
      <c r="SEK96" s="395"/>
      <c r="SEL96" s="395"/>
      <c r="SEM96" s="396"/>
      <c r="SEN96" s="394"/>
      <c r="SEO96" s="395"/>
      <c r="SEP96" s="395"/>
      <c r="SEQ96" s="395"/>
      <c r="SER96" s="395"/>
      <c r="SES96" s="395"/>
      <c r="SET96" s="395"/>
      <c r="SEU96" s="395"/>
      <c r="SEV96" s="395"/>
      <c r="SEW96" s="395"/>
      <c r="SEX96" s="395"/>
      <c r="SEY96" s="395"/>
      <c r="SEZ96" s="395"/>
      <c r="SFA96" s="395"/>
      <c r="SFB96" s="395"/>
      <c r="SFC96" s="395"/>
      <c r="SFD96" s="395"/>
      <c r="SFE96" s="395"/>
      <c r="SFF96" s="395"/>
      <c r="SFG96" s="395"/>
      <c r="SFH96" s="395"/>
      <c r="SFI96" s="395"/>
      <c r="SFJ96" s="395"/>
      <c r="SFK96" s="395"/>
      <c r="SFL96" s="395"/>
      <c r="SFM96" s="395"/>
      <c r="SFN96" s="396"/>
      <c r="SFO96" s="394"/>
      <c r="SFP96" s="395"/>
      <c r="SFQ96" s="395"/>
      <c r="SFR96" s="395"/>
      <c r="SFS96" s="395"/>
      <c r="SFT96" s="395"/>
      <c r="SFU96" s="395"/>
      <c r="SFV96" s="395"/>
      <c r="SFW96" s="395"/>
      <c r="SFX96" s="395"/>
      <c r="SFY96" s="395"/>
      <c r="SFZ96" s="395"/>
      <c r="SGA96" s="395"/>
      <c r="SGB96" s="395"/>
      <c r="SGC96" s="395"/>
      <c r="SGD96" s="395"/>
      <c r="SGE96" s="395"/>
      <c r="SGF96" s="395"/>
      <c r="SGG96" s="395"/>
      <c r="SGH96" s="395"/>
      <c r="SGI96" s="395"/>
      <c r="SGJ96" s="395"/>
      <c r="SGK96" s="395"/>
      <c r="SGL96" s="395"/>
      <c r="SGM96" s="395"/>
      <c r="SGN96" s="395"/>
      <c r="SGO96" s="396"/>
      <c r="SGP96" s="394"/>
      <c r="SGQ96" s="395"/>
      <c r="SGR96" s="395"/>
      <c r="SGS96" s="395"/>
      <c r="SGT96" s="395"/>
      <c r="SGU96" s="395"/>
      <c r="SGV96" s="395"/>
      <c r="SGW96" s="395"/>
      <c r="SGX96" s="395"/>
      <c r="SGY96" s="395"/>
      <c r="SGZ96" s="395"/>
      <c r="SHA96" s="395"/>
      <c r="SHB96" s="395"/>
      <c r="SHC96" s="395"/>
      <c r="SHD96" s="395"/>
      <c r="SHE96" s="395"/>
      <c r="SHF96" s="395"/>
      <c r="SHG96" s="395"/>
      <c r="SHH96" s="395"/>
      <c r="SHI96" s="395"/>
      <c r="SHJ96" s="395"/>
      <c r="SHK96" s="395"/>
      <c r="SHL96" s="395"/>
      <c r="SHM96" s="395"/>
      <c r="SHN96" s="395"/>
      <c r="SHO96" s="395"/>
      <c r="SHP96" s="396"/>
      <c r="SHQ96" s="394"/>
      <c r="SHR96" s="395"/>
      <c r="SHS96" s="395"/>
      <c r="SHT96" s="395"/>
      <c r="SHU96" s="395"/>
      <c r="SHV96" s="395"/>
      <c r="SHW96" s="395"/>
      <c r="SHX96" s="395"/>
      <c r="SHY96" s="395"/>
      <c r="SHZ96" s="395"/>
      <c r="SIA96" s="395"/>
      <c r="SIB96" s="395"/>
      <c r="SIC96" s="395"/>
      <c r="SID96" s="395"/>
      <c r="SIE96" s="395"/>
      <c r="SIF96" s="395"/>
      <c r="SIG96" s="395"/>
      <c r="SIH96" s="395"/>
      <c r="SII96" s="395"/>
      <c r="SIJ96" s="395"/>
      <c r="SIK96" s="395"/>
      <c r="SIL96" s="395"/>
      <c r="SIM96" s="395"/>
      <c r="SIN96" s="395"/>
      <c r="SIO96" s="395"/>
      <c r="SIP96" s="395"/>
      <c r="SIQ96" s="396"/>
      <c r="SIR96" s="394"/>
      <c r="SIS96" s="395"/>
      <c r="SIT96" s="395"/>
      <c r="SIU96" s="395"/>
      <c r="SIV96" s="395"/>
      <c r="SIW96" s="395"/>
      <c r="SIX96" s="395"/>
      <c r="SIY96" s="395"/>
      <c r="SIZ96" s="395"/>
      <c r="SJA96" s="395"/>
      <c r="SJB96" s="395"/>
      <c r="SJC96" s="395"/>
      <c r="SJD96" s="395"/>
      <c r="SJE96" s="395"/>
      <c r="SJF96" s="395"/>
      <c r="SJG96" s="395"/>
      <c r="SJH96" s="395"/>
      <c r="SJI96" s="395"/>
      <c r="SJJ96" s="395"/>
      <c r="SJK96" s="395"/>
      <c r="SJL96" s="395"/>
      <c r="SJM96" s="395"/>
      <c r="SJN96" s="395"/>
      <c r="SJO96" s="395"/>
      <c r="SJP96" s="395"/>
      <c r="SJQ96" s="395"/>
      <c r="SJR96" s="396"/>
      <c r="SJS96" s="394"/>
      <c r="SJT96" s="395"/>
      <c r="SJU96" s="395"/>
      <c r="SJV96" s="395"/>
      <c r="SJW96" s="395"/>
      <c r="SJX96" s="395"/>
      <c r="SJY96" s="395"/>
      <c r="SJZ96" s="395"/>
      <c r="SKA96" s="395"/>
      <c r="SKB96" s="395"/>
      <c r="SKC96" s="395"/>
      <c r="SKD96" s="395"/>
      <c r="SKE96" s="395"/>
      <c r="SKF96" s="395"/>
      <c r="SKG96" s="395"/>
      <c r="SKH96" s="395"/>
      <c r="SKI96" s="395"/>
      <c r="SKJ96" s="395"/>
      <c r="SKK96" s="395"/>
      <c r="SKL96" s="395"/>
      <c r="SKM96" s="395"/>
      <c r="SKN96" s="395"/>
      <c r="SKO96" s="395"/>
      <c r="SKP96" s="395"/>
      <c r="SKQ96" s="395"/>
      <c r="SKR96" s="395"/>
      <c r="SKS96" s="396"/>
      <c r="SKT96" s="394"/>
      <c r="SKU96" s="395"/>
      <c r="SKV96" s="395"/>
      <c r="SKW96" s="395"/>
      <c r="SKX96" s="395"/>
      <c r="SKY96" s="395"/>
      <c r="SKZ96" s="395"/>
      <c r="SLA96" s="395"/>
      <c r="SLB96" s="395"/>
      <c r="SLC96" s="395"/>
      <c r="SLD96" s="395"/>
      <c r="SLE96" s="395"/>
      <c r="SLF96" s="395"/>
      <c r="SLG96" s="395"/>
      <c r="SLH96" s="395"/>
      <c r="SLI96" s="395"/>
      <c r="SLJ96" s="395"/>
      <c r="SLK96" s="395"/>
      <c r="SLL96" s="395"/>
      <c r="SLM96" s="395"/>
      <c r="SLN96" s="395"/>
      <c r="SLO96" s="395"/>
      <c r="SLP96" s="395"/>
      <c r="SLQ96" s="395"/>
      <c r="SLR96" s="395"/>
      <c r="SLS96" s="395"/>
      <c r="SLT96" s="396"/>
      <c r="SLU96" s="394"/>
      <c r="SLV96" s="395"/>
      <c r="SLW96" s="395"/>
      <c r="SLX96" s="395"/>
      <c r="SLY96" s="395"/>
      <c r="SLZ96" s="395"/>
      <c r="SMA96" s="395"/>
      <c r="SMB96" s="395"/>
      <c r="SMC96" s="395"/>
      <c r="SMD96" s="395"/>
      <c r="SME96" s="395"/>
      <c r="SMF96" s="395"/>
      <c r="SMG96" s="395"/>
      <c r="SMH96" s="395"/>
      <c r="SMI96" s="395"/>
      <c r="SMJ96" s="395"/>
      <c r="SMK96" s="395"/>
      <c r="SML96" s="395"/>
      <c r="SMM96" s="395"/>
      <c r="SMN96" s="395"/>
      <c r="SMO96" s="395"/>
      <c r="SMP96" s="395"/>
      <c r="SMQ96" s="395"/>
      <c r="SMR96" s="395"/>
      <c r="SMS96" s="395"/>
      <c r="SMT96" s="395"/>
      <c r="SMU96" s="396"/>
      <c r="SMV96" s="394"/>
      <c r="SMW96" s="395"/>
      <c r="SMX96" s="395"/>
      <c r="SMY96" s="395"/>
      <c r="SMZ96" s="395"/>
      <c r="SNA96" s="395"/>
      <c r="SNB96" s="395"/>
      <c r="SNC96" s="395"/>
      <c r="SND96" s="395"/>
      <c r="SNE96" s="395"/>
      <c r="SNF96" s="395"/>
      <c r="SNG96" s="395"/>
      <c r="SNH96" s="395"/>
      <c r="SNI96" s="395"/>
      <c r="SNJ96" s="395"/>
      <c r="SNK96" s="395"/>
      <c r="SNL96" s="395"/>
      <c r="SNM96" s="395"/>
      <c r="SNN96" s="395"/>
      <c r="SNO96" s="395"/>
      <c r="SNP96" s="395"/>
      <c r="SNQ96" s="395"/>
      <c r="SNR96" s="395"/>
      <c r="SNS96" s="395"/>
      <c r="SNT96" s="395"/>
      <c r="SNU96" s="395"/>
      <c r="SNV96" s="396"/>
      <c r="SNW96" s="394"/>
      <c r="SNX96" s="395"/>
      <c r="SNY96" s="395"/>
      <c r="SNZ96" s="395"/>
      <c r="SOA96" s="395"/>
      <c r="SOB96" s="395"/>
      <c r="SOC96" s="395"/>
      <c r="SOD96" s="395"/>
      <c r="SOE96" s="395"/>
      <c r="SOF96" s="395"/>
      <c r="SOG96" s="395"/>
      <c r="SOH96" s="395"/>
      <c r="SOI96" s="395"/>
      <c r="SOJ96" s="395"/>
      <c r="SOK96" s="395"/>
      <c r="SOL96" s="395"/>
      <c r="SOM96" s="395"/>
      <c r="SON96" s="395"/>
      <c r="SOO96" s="395"/>
      <c r="SOP96" s="395"/>
      <c r="SOQ96" s="395"/>
      <c r="SOR96" s="395"/>
      <c r="SOS96" s="395"/>
      <c r="SOT96" s="395"/>
      <c r="SOU96" s="395"/>
      <c r="SOV96" s="395"/>
      <c r="SOW96" s="396"/>
      <c r="SOX96" s="394"/>
      <c r="SOY96" s="395"/>
      <c r="SOZ96" s="395"/>
      <c r="SPA96" s="395"/>
      <c r="SPB96" s="395"/>
      <c r="SPC96" s="395"/>
      <c r="SPD96" s="395"/>
      <c r="SPE96" s="395"/>
      <c r="SPF96" s="395"/>
      <c r="SPG96" s="395"/>
      <c r="SPH96" s="395"/>
      <c r="SPI96" s="395"/>
      <c r="SPJ96" s="395"/>
      <c r="SPK96" s="395"/>
      <c r="SPL96" s="395"/>
      <c r="SPM96" s="395"/>
      <c r="SPN96" s="395"/>
      <c r="SPO96" s="395"/>
      <c r="SPP96" s="395"/>
      <c r="SPQ96" s="395"/>
      <c r="SPR96" s="395"/>
      <c r="SPS96" s="395"/>
      <c r="SPT96" s="395"/>
      <c r="SPU96" s="395"/>
      <c r="SPV96" s="395"/>
      <c r="SPW96" s="395"/>
      <c r="SPX96" s="396"/>
      <c r="SPY96" s="394"/>
      <c r="SPZ96" s="395"/>
      <c r="SQA96" s="395"/>
      <c r="SQB96" s="395"/>
      <c r="SQC96" s="395"/>
      <c r="SQD96" s="395"/>
      <c r="SQE96" s="395"/>
      <c r="SQF96" s="395"/>
      <c r="SQG96" s="395"/>
      <c r="SQH96" s="395"/>
      <c r="SQI96" s="395"/>
      <c r="SQJ96" s="395"/>
      <c r="SQK96" s="395"/>
      <c r="SQL96" s="395"/>
      <c r="SQM96" s="395"/>
      <c r="SQN96" s="395"/>
      <c r="SQO96" s="395"/>
      <c r="SQP96" s="395"/>
      <c r="SQQ96" s="395"/>
      <c r="SQR96" s="395"/>
      <c r="SQS96" s="395"/>
      <c r="SQT96" s="395"/>
      <c r="SQU96" s="395"/>
      <c r="SQV96" s="395"/>
      <c r="SQW96" s="395"/>
      <c r="SQX96" s="395"/>
      <c r="SQY96" s="396"/>
      <c r="SQZ96" s="394"/>
      <c r="SRA96" s="395"/>
      <c r="SRB96" s="395"/>
      <c r="SRC96" s="395"/>
      <c r="SRD96" s="395"/>
      <c r="SRE96" s="395"/>
      <c r="SRF96" s="395"/>
      <c r="SRG96" s="395"/>
      <c r="SRH96" s="395"/>
      <c r="SRI96" s="395"/>
      <c r="SRJ96" s="395"/>
      <c r="SRK96" s="395"/>
      <c r="SRL96" s="395"/>
      <c r="SRM96" s="395"/>
      <c r="SRN96" s="395"/>
      <c r="SRO96" s="395"/>
      <c r="SRP96" s="395"/>
      <c r="SRQ96" s="395"/>
      <c r="SRR96" s="395"/>
      <c r="SRS96" s="395"/>
      <c r="SRT96" s="395"/>
      <c r="SRU96" s="395"/>
      <c r="SRV96" s="395"/>
      <c r="SRW96" s="395"/>
      <c r="SRX96" s="395"/>
      <c r="SRY96" s="395"/>
      <c r="SRZ96" s="396"/>
      <c r="SSA96" s="394"/>
      <c r="SSB96" s="395"/>
      <c r="SSC96" s="395"/>
      <c r="SSD96" s="395"/>
      <c r="SSE96" s="395"/>
      <c r="SSF96" s="395"/>
      <c r="SSG96" s="395"/>
      <c r="SSH96" s="395"/>
      <c r="SSI96" s="395"/>
      <c r="SSJ96" s="395"/>
      <c r="SSK96" s="395"/>
      <c r="SSL96" s="395"/>
      <c r="SSM96" s="395"/>
      <c r="SSN96" s="395"/>
      <c r="SSO96" s="395"/>
      <c r="SSP96" s="395"/>
      <c r="SSQ96" s="395"/>
      <c r="SSR96" s="395"/>
      <c r="SSS96" s="395"/>
      <c r="SST96" s="395"/>
      <c r="SSU96" s="395"/>
      <c r="SSV96" s="395"/>
      <c r="SSW96" s="395"/>
      <c r="SSX96" s="395"/>
      <c r="SSY96" s="395"/>
      <c r="SSZ96" s="395"/>
      <c r="STA96" s="396"/>
      <c r="STB96" s="394"/>
      <c r="STC96" s="395"/>
      <c r="STD96" s="395"/>
      <c r="STE96" s="395"/>
      <c r="STF96" s="395"/>
      <c r="STG96" s="395"/>
      <c r="STH96" s="395"/>
      <c r="STI96" s="395"/>
      <c r="STJ96" s="395"/>
      <c r="STK96" s="395"/>
      <c r="STL96" s="395"/>
      <c r="STM96" s="395"/>
      <c r="STN96" s="395"/>
      <c r="STO96" s="395"/>
      <c r="STP96" s="395"/>
      <c r="STQ96" s="395"/>
      <c r="STR96" s="395"/>
      <c r="STS96" s="395"/>
      <c r="STT96" s="395"/>
      <c r="STU96" s="395"/>
      <c r="STV96" s="395"/>
      <c r="STW96" s="395"/>
      <c r="STX96" s="395"/>
      <c r="STY96" s="395"/>
      <c r="STZ96" s="395"/>
      <c r="SUA96" s="395"/>
      <c r="SUB96" s="396"/>
      <c r="SUC96" s="394"/>
      <c r="SUD96" s="395"/>
      <c r="SUE96" s="395"/>
      <c r="SUF96" s="395"/>
      <c r="SUG96" s="395"/>
      <c r="SUH96" s="395"/>
      <c r="SUI96" s="395"/>
      <c r="SUJ96" s="395"/>
      <c r="SUK96" s="395"/>
      <c r="SUL96" s="395"/>
      <c r="SUM96" s="395"/>
      <c r="SUN96" s="395"/>
      <c r="SUO96" s="395"/>
      <c r="SUP96" s="395"/>
      <c r="SUQ96" s="395"/>
      <c r="SUR96" s="395"/>
      <c r="SUS96" s="395"/>
      <c r="SUT96" s="395"/>
      <c r="SUU96" s="395"/>
      <c r="SUV96" s="395"/>
      <c r="SUW96" s="395"/>
      <c r="SUX96" s="395"/>
      <c r="SUY96" s="395"/>
      <c r="SUZ96" s="395"/>
      <c r="SVA96" s="395"/>
      <c r="SVB96" s="395"/>
      <c r="SVC96" s="396"/>
      <c r="SVD96" s="394"/>
      <c r="SVE96" s="395"/>
      <c r="SVF96" s="395"/>
      <c r="SVG96" s="395"/>
      <c r="SVH96" s="395"/>
      <c r="SVI96" s="395"/>
      <c r="SVJ96" s="395"/>
      <c r="SVK96" s="395"/>
      <c r="SVL96" s="395"/>
      <c r="SVM96" s="395"/>
      <c r="SVN96" s="395"/>
      <c r="SVO96" s="395"/>
      <c r="SVP96" s="395"/>
      <c r="SVQ96" s="395"/>
      <c r="SVR96" s="395"/>
      <c r="SVS96" s="395"/>
      <c r="SVT96" s="395"/>
      <c r="SVU96" s="395"/>
      <c r="SVV96" s="395"/>
      <c r="SVW96" s="395"/>
      <c r="SVX96" s="395"/>
      <c r="SVY96" s="395"/>
      <c r="SVZ96" s="395"/>
      <c r="SWA96" s="395"/>
      <c r="SWB96" s="395"/>
      <c r="SWC96" s="395"/>
      <c r="SWD96" s="396"/>
      <c r="SWE96" s="394"/>
      <c r="SWF96" s="395"/>
      <c r="SWG96" s="395"/>
      <c r="SWH96" s="395"/>
      <c r="SWI96" s="395"/>
      <c r="SWJ96" s="395"/>
      <c r="SWK96" s="395"/>
      <c r="SWL96" s="395"/>
      <c r="SWM96" s="395"/>
      <c r="SWN96" s="395"/>
      <c r="SWO96" s="395"/>
      <c r="SWP96" s="395"/>
      <c r="SWQ96" s="395"/>
      <c r="SWR96" s="395"/>
      <c r="SWS96" s="395"/>
      <c r="SWT96" s="395"/>
      <c r="SWU96" s="395"/>
      <c r="SWV96" s="395"/>
      <c r="SWW96" s="395"/>
      <c r="SWX96" s="395"/>
      <c r="SWY96" s="395"/>
      <c r="SWZ96" s="395"/>
      <c r="SXA96" s="395"/>
      <c r="SXB96" s="395"/>
      <c r="SXC96" s="395"/>
      <c r="SXD96" s="395"/>
      <c r="SXE96" s="396"/>
      <c r="SXF96" s="394"/>
      <c r="SXG96" s="395"/>
      <c r="SXH96" s="395"/>
      <c r="SXI96" s="395"/>
      <c r="SXJ96" s="395"/>
      <c r="SXK96" s="395"/>
      <c r="SXL96" s="395"/>
      <c r="SXM96" s="395"/>
      <c r="SXN96" s="395"/>
      <c r="SXO96" s="395"/>
      <c r="SXP96" s="395"/>
      <c r="SXQ96" s="395"/>
      <c r="SXR96" s="395"/>
      <c r="SXS96" s="395"/>
      <c r="SXT96" s="395"/>
      <c r="SXU96" s="395"/>
      <c r="SXV96" s="395"/>
      <c r="SXW96" s="395"/>
      <c r="SXX96" s="395"/>
      <c r="SXY96" s="395"/>
      <c r="SXZ96" s="395"/>
      <c r="SYA96" s="395"/>
      <c r="SYB96" s="395"/>
      <c r="SYC96" s="395"/>
      <c r="SYD96" s="395"/>
      <c r="SYE96" s="395"/>
      <c r="SYF96" s="396"/>
      <c r="SYG96" s="394"/>
      <c r="SYH96" s="395"/>
      <c r="SYI96" s="395"/>
      <c r="SYJ96" s="395"/>
      <c r="SYK96" s="395"/>
      <c r="SYL96" s="395"/>
      <c r="SYM96" s="395"/>
      <c r="SYN96" s="395"/>
      <c r="SYO96" s="395"/>
      <c r="SYP96" s="395"/>
      <c r="SYQ96" s="395"/>
      <c r="SYR96" s="395"/>
      <c r="SYS96" s="395"/>
      <c r="SYT96" s="395"/>
      <c r="SYU96" s="395"/>
      <c r="SYV96" s="395"/>
      <c r="SYW96" s="395"/>
      <c r="SYX96" s="395"/>
      <c r="SYY96" s="395"/>
      <c r="SYZ96" s="395"/>
      <c r="SZA96" s="395"/>
      <c r="SZB96" s="395"/>
      <c r="SZC96" s="395"/>
      <c r="SZD96" s="395"/>
      <c r="SZE96" s="395"/>
      <c r="SZF96" s="395"/>
      <c r="SZG96" s="396"/>
      <c r="SZH96" s="394"/>
      <c r="SZI96" s="395"/>
      <c r="SZJ96" s="395"/>
      <c r="SZK96" s="395"/>
      <c r="SZL96" s="395"/>
      <c r="SZM96" s="395"/>
      <c r="SZN96" s="395"/>
      <c r="SZO96" s="395"/>
      <c r="SZP96" s="395"/>
      <c r="SZQ96" s="395"/>
      <c r="SZR96" s="395"/>
      <c r="SZS96" s="395"/>
      <c r="SZT96" s="395"/>
      <c r="SZU96" s="395"/>
      <c r="SZV96" s="395"/>
      <c r="SZW96" s="395"/>
      <c r="SZX96" s="395"/>
      <c r="SZY96" s="395"/>
      <c r="SZZ96" s="395"/>
      <c r="TAA96" s="395"/>
      <c r="TAB96" s="395"/>
      <c r="TAC96" s="395"/>
      <c r="TAD96" s="395"/>
      <c r="TAE96" s="395"/>
      <c r="TAF96" s="395"/>
      <c r="TAG96" s="395"/>
      <c r="TAH96" s="396"/>
      <c r="TAI96" s="394"/>
      <c r="TAJ96" s="395"/>
      <c r="TAK96" s="395"/>
      <c r="TAL96" s="395"/>
      <c r="TAM96" s="395"/>
      <c r="TAN96" s="395"/>
      <c r="TAO96" s="395"/>
      <c r="TAP96" s="395"/>
      <c r="TAQ96" s="395"/>
      <c r="TAR96" s="395"/>
      <c r="TAS96" s="395"/>
      <c r="TAT96" s="395"/>
      <c r="TAU96" s="395"/>
      <c r="TAV96" s="395"/>
      <c r="TAW96" s="395"/>
      <c r="TAX96" s="395"/>
      <c r="TAY96" s="395"/>
      <c r="TAZ96" s="395"/>
      <c r="TBA96" s="395"/>
      <c r="TBB96" s="395"/>
      <c r="TBC96" s="395"/>
      <c r="TBD96" s="395"/>
      <c r="TBE96" s="395"/>
      <c r="TBF96" s="395"/>
      <c r="TBG96" s="395"/>
      <c r="TBH96" s="395"/>
      <c r="TBI96" s="396"/>
      <c r="TBJ96" s="394"/>
      <c r="TBK96" s="395"/>
      <c r="TBL96" s="395"/>
      <c r="TBM96" s="395"/>
      <c r="TBN96" s="395"/>
      <c r="TBO96" s="395"/>
      <c r="TBP96" s="395"/>
      <c r="TBQ96" s="395"/>
      <c r="TBR96" s="395"/>
      <c r="TBS96" s="395"/>
      <c r="TBT96" s="395"/>
      <c r="TBU96" s="395"/>
      <c r="TBV96" s="395"/>
      <c r="TBW96" s="395"/>
      <c r="TBX96" s="395"/>
      <c r="TBY96" s="395"/>
      <c r="TBZ96" s="395"/>
      <c r="TCA96" s="395"/>
      <c r="TCB96" s="395"/>
      <c r="TCC96" s="395"/>
      <c r="TCD96" s="395"/>
      <c r="TCE96" s="395"/>
      <c r="TCF96" s="395"/>
      <c r="TCG96" s="395"/>
      <c r="TCH96" s="395"/>
      <c r="TCI96" s="395"/>
      <c r="TCJ96" s="396"/>
      <c r="TCK96" s="394"/>
      <c r="TCL96" s="395"/>
      <c r="TCM96" s="395"/>
      <c r="TCN96" s="395"/>
      <c r="TCO96" s="395"/>
      <c r="TCP96" s="395"/>
      <c r="TCQ96" s="395"/>
      <c r="TCR96" s="395"/>
      <c r="TCS96" s="395"/>
      <c r="TCT96" s="395"/>
      <c r="TCU96" s="395"/>
      <c r="TCV96" s="395"/>
      <c r="TCW96" s="395"/>
      <c r="TCX96" s="395"/>
      <c r="TCY96" s="395"/>
      <c r="TCZ96" s="395"/>
      <c r="TDA96" s="395"/>
      <c r="TDB96" s="395"/>
      <c r="TDC96" s="395"/>
      <c r="TDD96" s="395"/>
      <c r="TDE96" s="395"/>
      <c r="TDF96" s="395"/>
      <c r="TDG96" s="395"/>
      <c r="TDH96" s="395"/>
      <c r="TDI96" s="395"/>
      <c r="TDJ96" s="395"/>
      <c r="TDK96" s="396"/>
      <c r="TDL96" s="394"/>
      <c r="TDM96" s="395"/>
      <c r="TDN96" s="395"/>
      <c r="TDO96" s="395"/>
      <c r="TDP96" s="395"/>
      <c r="TDQ96" s="395"/>
      <c r="TDR96" s="395"/>
      <c r="TDS96" s="395"/>
      <c r="TDT96" s="395"/>
      <c r="TDU96" s="395"/>
      <c r="TDV96" s="395"/>
      <c r="TDW96" s="395"/>
      <c r="TDX96" s="395"/>
      <c r="TDY96" s="395"/>
      <c r="TDZ96" s="395"/>
      <c r="TEA96" s="395"/>
      <c r="TEB96" s="395"/>
      <c r="TEC96" s="395"/>
      <c r="TED96" s="395"/>
      <c r="TEE96" s="395"/>
      <c r="TEF96" s="395"/>
      <c r="TEG96" s="395"/>
      <c r="TEH96" s="395"/>
      <c r="TEI96" s="395"/>
      <c r="TEJ96" s="395"/>
      <c r="TEK96" s="395"/>
      <c r="TEL96" s="396"/>
      <c r="TEM96" s="394"/>
      <c r="TEN96" s="395"/>
      <c r="TEO96" s="395"/>
      <c r="TEP96" s="395"/>
      <c r="TEQ96" s="395"/>
      <c r="TER96" s="395"/>
      <c r="TES96" s="395"/>
      <c r="TET96" s="395"/>
      <c r="TEU96" s="395"/>
      <c r="TEV96" s="395"/>
      <c r="TEW96" s="395"/>
      <c r="TEX96" s="395"/>
      <c r="TEY96" s="395"/>
      <c r="TEZ96" s="395"/>
      <c r="TFA96" s="395"/>
      <c r="TFB96" s="395"/>
      <c r="TFC96" s="395"/>
      <c r="TFD96" s="395"/>
      <c r="TFE96" s="395"/>
      <c r="TFF96" s="395"/>
      <c r="TFG96" s="395"/>
      <c r="TFH96" s="395"/>
      <c r="TFI96" s="395"/>
      <c r="TFJ96" s="395"/>
      <c r="TFK96" s="395"/>
      <c r="TFL96" s="395"/>
      <c r="TFM96" s="396"/>
      <c r="TFN96" s="394"/>
      <c r="TFO96" s="395"/>
      <c r="TFP96" s="395"/>
      <c r="TFQ96" s="395"/>
      <c r="TFR96" s="395"/>
      <c r="TFS96" s="395"/>
      <c r="TFT96" s="395"/>
      <c r="TFU96" s="395"/>
      <c r="TFV96" s="395"/>
      <c r="TFW96" s="395"/>
      <c r="TFX96" s="395"/>
      <c r="TFY96" s="395"/>
      <c r="TFZ96" s="395"/>
      <c r="TGA96" s="395"/>
      <c r="TGB96" s="395"/>
      <c r="TGC96" s="395"/>
      <c r="TGD96" s="395"/>
      <c r="TGE96" s="395"/>
      <c r="TGF96" s="395"/>
      <c r="TGG96" s="395"/>
      <c r="TGH96" s="395"/>
      <c r="TGI96" s="395"/>
      <c r="TGJ96" s="395"/>
      <c r="TGK96" s="395"/>
      <c r="TGL96" s="395"/>
      <c r="TGM96" s="395"/>
      <c r="TGN96" s="396"/>
      <c r="TGO96" s="394"/>
      <c r="TGP96" s="395"/>
      <c r="TGQ96" s="395"/>
      <c r="TGR96" s="395"/>
      <c r="TGS96" s="395"/>
      <c r="TGT96" s="395"/>
      <c r="TGU96" s="395"/>
      <c r="TGV96" s="395"/>
      <c r="TGW96" s="395"/>
      <c r="TGX96" s="395"/>
      <c r="TGY96" s="395"/>
      <c r="TGZ96" s="395"/>
      <c r="THA96" s="395"/>
      <c r="THB96" s="395"/>
      <c r="THC96" s="395"/>
      <c r="THD96" s="395"/>
      <c r="THE96" s="395"/>
      <c r="THF96" s="395"/>
      <c r="THG96" s="395"/>
      <c r="THH96" s="395"/>
      <c r="THI96" s="395"/>
      <c r="THJ96" s="395"/>
      <c r="THK96" s="395"/>
      <c r="THL96" s="395"/>
      <c r="THM96" s="395"/>
      <c r="THN96" s="395"/>
      <c r="THO96" s="396"/>
      <c r="THP96" s="394"/>
      <c r="THQ96" s="395"/>
      <c r="THR96" s="395"/>
      <c r="THS96" s="395"/>
      <c r="THT96" s="395"/>
      <c r="THU96" s="395"/>
      <c r="THV96" s="395"/>
      <c r="THW96" s="395"/>
      <c r="THX96" s="395"/>
      <c r="THY96" s="395"/>
      <c r="THZ96" s="395"/>
      <c r="TIA96" s="395"/>
      <c r="TIB96" s="395"/>
      <c r="TIC96" s="395"/>
      <c r="TID96" s="395"/>
      <c r="TIE96" s="395"/>
      <c r="TIF96" s="395"/>
      <c r="TIG96" s="395"/>
      <c r="TIH96" s="395"/>
      <c r="TII96" s="395"/>
      <c r="TIJ96" s="395"/>
      <c r="TIK96" s="395"/>
      <c r="TIL96" s="395"/>
      <c r="TIM96" s="395"/>
      <c r="TIN96" s="395"/>
      <c r="TIO96" s="395"/>
      <c r="TIP96" s="396"/>
      <c r="TIQ96" s="394"/>
      <c r="TIR96" s="395"/>
      <c r="TIS96" s="395"/>
      <c r="TIT96" s="395"/>
      <c r="TIU96" s="395"/>
      <c r="TIV96" s="395"/>
      <c r="TIW96" s="395"/>
      <c r="TIX96" s="395"/>
      <c r="TIY96" s="395"/>
      <c r="TIZ96" s="395"/>
      <c r="TJA96" s="395"/>
      <c r="TJB96" s="395"/>
      <c r="TJC96" s="395"/>
      <c r="TJD96" s="395"/>
      <c r="TJE96" s="395"/>
      <c r="TJF96" s="395"/>
      <c r="TJG96" s="395"/>
      <c r="TJH96" s="395"/>
      <c r="TJI96" s="395"/>
      <c r="TJJ96" s="395"/>
      <c r="TJK96" s="395"/>
      <c r="TJL96" s="395"/>
      <c r="TJM96" s="395"/>
      <c r="TJN96" s="395"/>
      <c r="TJO96" s="395"/>
      <c r="TJP96" s="395"/>
      <c r="TJQ96" s="396"/>
      <c r="TJR96" s="394"/>
      <c r="TJS96" s="395"/>
      <c r="TJT96" s="395"/>
      <c r="TJU96" s="395"/>
      <c r="TJV96" s="395"/>
      <c r="TJW96" s="395"/>
      <c r="TJX96" s="395"/>
      <c r="TJY96" s="395"/>
      <c r="TJZ96" s="395"/>
      <c r="TKA96" s="395"/>
      <c r="TKB96" s="395"/>
      <c r="TKC96" s="395"/>
      <c r="TKD96" s="395"/>
      <c r="TKE96" s="395"/>
      <c r="TKF96" s="395"/>
      <c r="TKG96" s="395"/>
      <c r="TKH96" s="395"/>
      <c r="TKI96" s="395"/>
      <c r="TKJ96" s="395"/>
      <c r="TKK96" s="395"/>
      <c r="TKL96" s="395"/>
      <c r="TKM96" s="395"/>
      <c r="TKN96" s="395"/>
      <c r="TKO96" s="395"/>
      <c r="TKP96" s="395"/>
      <c r="TKQ96" s="395"/>
      <c r="TKR96" s="396"/>
      <c r="TKS96" s="394"/>
      <c r="TKT96" s="395"/>
      <c r="TKU96" s="395"/>
      <c r="TKV96" s="395"/>
      <c r="TKW96" s="395"/>
      <c r="TKX96" s="395"/>
      <c r="TKY96" s="395"/>
      <c r="TKZ96" s="395"/>
      <c r="TLA96" s="395"/>
      <c r="TLB96" s="395"/>
      <c r="TLC96" s="395"/>
      <c r="TLD96" s="395"/>
      <c r="TLE96" s="395"/>
      <c r="TLF96" s="395"/>
      <c r="TLG96" s="395"/>
      <c r="TLH96" s="395"/>
      <c r="TLI96" s="395"/>
      <c r="TLJ96" s="395"/>
      <c r="TLK96" s="395"/>
      <c r="TLL96" s="395"/>
      <c r="TLM96" s="395"/>
      <c r="TLN96" s="395"/>
      <c r="TLO96" s="395"/>
      <c r="TLP96" s="395"/>
      <c r="TLQ96" s="395"/>
      <c r="TLR96" s="395"/>
      <c r="TLS96" s="396"/>
      <c r="TLT96" s="394"/>
      <c r="TLU96" s="395"/>
      <c r="TLV96" s="395"/>
      <c r="TLW96" s="395"/>
      <c r="TLX96" s="395"/>
      <c r="TLY96" s="395"/>
      <c r="TLZ96" s="395"/>
      <c r="TMA96" s="395"/>
      <c r="TMB96" s="395"/>
      <c r="TMC96" s="395"/>
      <c r="TMD96" s="395"/>
      <c r="TME96" s="395"/>
      <c r="TMF96" s="395"/>
      <c r="TMG96" s="395"/>
      <c r="TMH96" s="395"/>
      <c r="TMI96" s="395"/>
      <c r="TMJ96" s="395"/>
      <c r="TMK96" s="395"/>
      <c r="TML96" s="395"/>
      <c r="TMM96" s="395"/>
      <c r="TMN96" s="395"/>
      <c r="TMO96" s="395"/>
      <c r="TMP96" s="395"/>
      <c r="TMQ96" s="395"/>
      <c r="TMR96" s="395"/>
      <c r="TMS96" s="395"/>
      <c r="TMT96" s="396"/>
      <c r="TMU96" s="394"/>
      <c r="TMV96" s="395"/>
      <c r="TMW96" s="395"/>
      <c r="TMX96" s="395"/>
      <c r="TMY96" s="395"/>
      <c r="TMZ96" s="395"/>
      <c r="TNA96" s="395"/>
      <c r="TNB96" s="395"/>
      <c r="TNC96" s="395"/>
      <c r="TND96" s="395"/>
      <c r="TNE96" s="395"/>
      <c r="TNF96" s="395"/>
      <c r="TNG96" s="395"/>
      <c r="TNH96" s="395"/>
      <c r="TNI96" s="395"/>
      <c r="TNJ96" s="395"/>
      <c r="TNK96" s="395"/>
      <c r="TNL96" s="395"/>
      <c r="TNM96" s="395"/>
      <c r="TNN96" s="395"/>
      <c r="TNO96" s="395"/>
      <c r="TNP96" s="395"/>
      <c r="TNQ96" s="395"/>
      <c r="TNR96" s="395"/>
      <c r="TNS96" s="395"/>
      <c r="TNT96" s="395"/>
      <c r="TNU96" s="396"/>
      <c r="TNV96" s="394"/>
      <c r="TNW96" s="395"/>
      <c r="TNX96" s="395"/>
      <c r="TNY96" s="395"/>
      <c r="TNZ96" s="395"/>
      <c r="TOA96" s="395"/>
      <c r="TOB96" s="395"/>
      <c r="TOC96" s="395"/>
      <c r="TOD96" s="395"/>
      <c r="TOE96" s="395"/>
      <c r="TOF96" s="395"/>
      <c r="TOG96" s="395"/>
      <c r="TOH96" s="395"/>
      <c r="TOI96" s="395"/>
      <c r="TOJ96" s="395"/>
      <c r="TOK96" s="395"/>
      <c r="TOL96" s="395"/>
      <c r="TOM96" s="395"/>
      <c r="TON96" s="395"/>
      <c r="TOO96" s="395"/>
      <c r="TOP96" s="395"/>
      <c r="TOQ96" s="395"/>
      <c r="TOR96" s="395"/>
      <c r="TOS96" s="395"/>
      <c r="TOT96" s="395"/>
      <c r="TOU96" s="395"/>
      <c r="TOV96" s="396"/>
      <c r="TOW96" s="394"/>
      <c r="TOX96" s="395"/>
      <c r="TOY96" s="395"/>
      <c r="TOZ96" s="395"/>
      <c r="TPA96" s="395"/>
      <c r="TPB96" s="395"/>
      <c r="TPC96" s="395"/>
      <c r="TPD96" s="395"/>
      <c r="TPE96" s="395"/>
      <c r="TPF96" s="395"/>
      <c r="TPG96" s="395"/>
      <c r="TPH96" s="395"/>
      <c r="TPI96" s="395"/>
      <c r="TPJ96" s="395"/>
      <c r="TPK96" s="395"/>
      <c r="TPL96" s="395"/>
      <c r="TPM96" s="395"/>
      <c r="TPN96" s="395"/>
      <c r="TPO96" s="395"/>
      <c r="TPP96" s="395"/>
      <c r="TPQ96" s="395"/>
      <c r="TPR96" s="395"/>
      <c r="TPS96" s="395"/>
      <c r="TPT96" s="395"/>
      <c r="TPU96" s="395"/>
      <c r="TPV96" s="395"/>
      <c r="TPW96" s="396"/>
      <c r="TPX96" s="394"/>
      <c r="TPY96" s="395"/>
      <c r="TPZ96" s="395"/>
      <c r="TQA96" s="395"/>
      <c r="TQB96" s="395"/>
      <c r="TQC96" s="395"/>
      <c r="TQD96" s="395"/>
      <c r="TQE96" s="395"/>
      <c r="TQF96" s="395"/>
      <c r="TQG96" s="395"/>
      <c r="TQH96" s="395"/>
      <c r="TQI96" s="395"/>
      <c r="TQJ96" s="395"/>
      <c r="TQK96" s="395"/>
      <c r="TQL96" s="395"/>
      <c r="TQM96" s="395"/>
      <c r="TQN96" s="395"/>
      <c r="TQO96" s="395"/>
      <c r="TQP96" s="395"/>
      <c r="TQQ96" s="395"/>
      <c r="TQR96" s="395"/>
      <c r="TQS96" s="395"/>
      <c r="TQT96" s="395"/>
      <c r="TQU96" s="395"/>
      <c r="TQV96" s="395"/>
      <c r="TQW96" s="395"/>
      <c r="TQX96" s="396"/>
      <c r="TQY96" s="394"/>
      <c r="TQZ96" s="395"/>
      <c r="TRA96" s="395"/>
      <c r="TRB96" s="395"/>
      <c r="TRC96" s="395"/>
      <c r="TRD96" s="395"/>
      <c r="TRE96" s="395"/>
      <c r="TRF96" s="395"/>
      <c r="TRG96" s="395"/>
      <c r="TRH96" s="395"/>
      <c r="TRI96" s="395"/>
      <c r="TRJ96" s="395"/>
      <c r="TRK96" s="395"/>
      <c r="TRL96" s="395"/>
      <c r="TRM96" s="395"/>
      <c r="TRN96" s="395"/>
      <c r="TRO96" s="395"/>
      <c r="TRP96" s="395"/>
      <c r="TRQ96" s="395"/>
      <c r="TRR96" s="395"/>
      <c r="TRS96" s="395"/>
      <c r="TRT96" s="395"/>
      <c r="TRU96" s="395"/>
      <c r="TRV96" s="395"/>
      <c r="TRW96" s="395"/>
      <c r="TRX96" s="395"/>
      <c r="TRY96" s="396"/>
      <c r="TRZ96" s="394"/>
      <c r="TSA96" s="395"/>
      <c r="TSB96" s="395"/>
      <c r="TSC96" s="395"/>
      <c r="TSD96" s="395"/>
      <c r="TSE96" s="395"/>
      <c r="TSF96" s="395"/>
      <c r="TSG96" s="395"/>
      <c r="TSH96" s="395"/>
      <c r="TSI96" s="395"/>
      <c r="TSJ96" s="395"/>
      <c r="TSK96" s="395"/>
      <c r="TSL96" s="395"/>
      <c r="TSM96" s="395"/>
      <c r="TSN96" s="395"/>
      <c r="TSO96" s="395"/>
      <c r="TSP96" s="395"/>
      <c r="TSQ96" s="395"/>
      <c r="TSR96" s="395"/>
      <c r="TSS96" s="395"/>
      <c r="TST96" s="395"/>
      <c r="TSU96" s="395"/>
      <c r="TSV96" s="395"/>
      <c r="TSW96" s="395"/>
      <c r="TSX96" s="395"/>
      <c r="TSY96" s="395"/>
      <c r="TSZ96" s="396"/>
      <c r="TTA96" s="394"/>
      <c r="TTB96" s="395"/>
      <c r="TTC96" s="395"/>
      <c r="TTD96" s="395"/>
      <c r="TTE96" s="395"/>
      <c r="TTF96" s="395"/>
      <c r="TTG96" s="395"/>
      <c r="TTH96" s="395"/>
      <c r="TTI96" s="395"/>
      <c r="TTJ96" s="395"/>
      <c r="TTK96" s="395"/>
      <c r="TTL96" s="395"/>
      <c r="TTM96" s="395"/>
      <c r="TTN96" s="395"/>
      <c r="TTO96" s="395"/>
      <c r="TTP96" s="395"/>
      <c r="TTQ96" s="395"/>
      <c r="TTR96" s="395"/>
      <c r="TTS96" s="395"/>
      <c r="TTT96" s="395"/>
      <c r="TTU96" s="395"/>
      <c r="TTV96" s="395"/>
      <c r="TTW96" s="395"/>
      <c r="TTX96" s="395"/>
      <c r="TTY96" s="395"/>
      <c r="TTZ96" s="395"/>
      <c r="TUA96" s="396"/>
      <c r="TUB96" s="394"/>
      <c r="TUC96" s="395"/>
      <c r="TUD96" s="395"/>
      <c r="TUE96" s="395"/>
      <c r="TUF96" s="395"/>
      <c r="TUG96" s="395"/>
      <c r="TUH96" s="395"/>
      <c r="TUI96" s="395"/>
      <c r="TUJ96" s="395"/>
      <c r="TUK96" s="395"/>
      <c r="TUL96" s="395"/>
      <c r="TUM96" s="395"/>
      <c r="TUN96" s="395"/>
      <c r="TUO96" s="395"/>
      <c r="TUP96" s="395"/>
      <c r="TUQ96" s="395"/>
      <c r="TUR96" s="395"/>
      <c r="TUS96" s="395"/>
      <c r="TUT96" s="395"/>
      <c r="TUU96" s="395"/>
      <c r="TUV96" s="395"/>
      <c r="TUW96" s="395"/>
      <c r="TUX96" s="395"/>
      <c r="TUY96" s="395"/>
      <c r="TUZ96" s="395"/>
      <c r="TVA96" s="395"/>
      <c r="TVB96" s="396"/>
      <c r="TVC96" s="394"/>
      <c r="TVD96" s="395"/>
      <c r="TVE96" s="395"/>
      <c r="TVF96" s="395"/>
      <c r="TVG96" s="395"/>
      <c r="TVH96" s="395"/>
      <c r="TVI96" s="395"/>
      <c r="TVJ96" s="395"/>
      <c r="TVK96" s="395"/>
      <c r="TVL96" s="395"/>
      <c r="TVM96" s="395"/>
      <c r="TVN96" s="395"/>
      <c r="TVO96" s="395"/>
      <c r="TVP96" s="395"/>
      <c r="TVQ96" s="395"/>
      <c r="TVR96" s="395"/>
      <c r="TVS96" s="395"/>
      <c r="TVT96" s="395"/>
      <c r="TVU96" s="395"/>
      <c r="TVV96" s="395"/>
      <c r="TVW96" s="395"/>
      <c r="TVX96" s="395"/>
      <c r="TVY96" s="395"/>
      <c r="TVZ96" s="395"/>
      <c r="TWA96" s="395"/>
      <c r="TWB96" s="395"/>
      <c r="TWC96" s="396"/>
      <c r="TWD96" s="394"/>
      <c r="TWE96" s="395"/>
      <c r="TWF96" s="395"/>
      <c r="TWG96" s="395"/>
      <c r="TWH96" s="395"/>
      <c r="TWI96" s="395"/>
      <c r="TWJ96" s="395"/>
      <c r="TWK96" s="395"/>
      <c r="TWL96" s="395"/>
      <c r="TWM96" s="395"/>
      <c r="TWN96" s="395"/>
      <c r="TWO96" s="395"/>
      <c r="TWP96" s="395"/>
      <c r="TWQ96" s="395"/>
      <c r="TWR96" s="395"/>
      <c r="TWS96" s="395"/>
      <c r="TWT96" s="395"/>
      <c r="TWU96" s="395"/>
      <c r="TWV96" s="395"/>
      <c r="TWW96" s="395"/>
      <c r="TWX96" s="395"/>
      <c r="TWY96" s="395"/>
      <c r="TWZ96" s="395"/>
      <c r="TXA96" s="395"/>
      <c r="TXB96" s="395"/>
      <c r="TXC96" s="395"/>
      <c r="TXD96" s="396"/>
      <c r="TXE96" s="394"/>
      <c r="TXF96" s="395"/>
      <c r="TXG96" s="395"/>
      <c r="TXH96" s="395"/>
      <c r="TXI96" s="395"/>
      <c r="TXJ96" s="395"/>
      <c r="TXK96" s="395"/>
      <c r="TXL96" s="395"/>
      <c r="TXM96" s="395"/>
      <c r="TXN96" s="395"/>
      <c r="TXO96" s="395"/>
      <c r="TXP96" s="395"/>
      <c r="TXQ96" s="395"/>
      <c r="TXR96" s="395"/>
      <c r="TXS96" s="395"/>
      <c r="TXT96" s="395"/>
      <c r="TXU96" s="395"/>
      <c r="TXV96" s="395"/>
      <c r="TXW96" s="395"/>
      <c r="TXX96" s="395"/>
      <c r="TXY96" s="395"/>
      <c r="TXZ96" s="395"/>
      <c r="TYA96" s="395"/>
      <c r="TYB96" s="395"/>
      <c r="TYC96" s="395"/>
      <c r="TYD96" s="395"/>
      <c r="TYE96" s="396"/>
      <c r="TYF96" s="394"/>
      <c r="TYG96" s="395"/>
      <c r="TYH96" s="395"/>
      <c r="TYI96" s="395"/>
      <c r="TYJ96" s="395"/>
      <c r="TYK96" s="395"/>
      <c r="TYL96" s="395"/>
      <c r="TYM96" s="395"/>
      <c r="TYN96" s="395"/>
      <c r="TYO96" s="395"/>
      <c r="TYP96" s="395"/>
      <c r="TYQ96" s="395"/>
      <c r="TYR96" s="395"/>
      <c r="TYS96" s="395"/>
      <c r="TYT96" s="395"/>
      <c r="TYU96" s="395"/>
      <c r="TYV96" s="395"/>
      <c r="TYW96" s="395"/>
      <c r="TYX96" s="395"/>
      <c r="TYY96" s="395"/>
      <c r="TYZ96" s="395"/>
      <c r="TZA96" s="395"/>
      <c r="TZB96" s="395"/>
      <c r="TZC96" s="395"/>
      <c r="TZD96" s="395"/>
      <c r="TZE96" s="395"/>
      <c r="TZF96" s="396"/>
      <c r="TZG96" s="394"/>
      <c r="TZH96" s="395"/>
      <c r="TZI96" s="395"/>
      <c r="TZJ96" s="395"/>
      <c r="TZK96" s="395"/>
      <c r="TZL96" s="395"/>
      <c r="TZM96" s="395"/>
      <c r="TZN96" s="395"/>
      <c r="TZO96" s="395"/>
      <c r="TZP96" s="395"/>
      <c r="TZQ96" s="395"/>
      <c r="TZR96" s="395"/>
      <c r="TZS96" s="395"/>
      <c r="TZT96" s="395"/>
      <c r="TZU96" s="395"/>
      <c r="TZV96" s="395"/>
      <c r="TZW96" s="395"/>
      <c r="TZX96" s="395"/>
      <c r="TZY96" s="395"/>
      <c r="TZZ96" s="395"/>
      <c r="UAA96" s="395"/>
      <c r="UAB96" s="395"/>
      <c r="UAC96" s="395"/>
      <c r="UAD96" s="395"/>
      <c r="UAE96" s="395"/>
      <c r="UAF96" s="395"/>
      <c r="UAG96" s="396"/>
      <c r="UAH96" s="394"/>
      <c r="UAI96" s="395"/>
      <c r="UAJ96" s="395"/>
      <c r="UAK96" s="395"/>
      <c r="UAL96" s="395"/>
      <c r="UAM96" s="395"/>
      <c r="UAN96" s="395"/>
      <c r="UAO96" s="395"/>
      <c r="UAP96" s="395"/>
      <c r="UAQ96" s="395"/>
      <c r="UAR96" s="395"/>
      <c r="UAS96" s="395"/>
      <c r="UAT96" s="395"/>
      <c r="UAU96" s="395"/>
      <c r="UAV96" s="395"/>
      <c r="UAW96" s="395"/>
      <c r="UAX96" s="395"/>
      <c r="UAY96" s="395"/>
      <c r="UAZ96" s="395"/>
      <c r="UBA96" s="395"/>
      <c r="UBB96" s="395"/>
      <c r="UBC96" s="395"/>
      <c r="UBD96" s="395"/>
      <c r="UBE96" s="395"/>
      <c r="UBF96" s="395"/>
      <c r="UBG96" s="395"/>
      <c r="UBH96" s="396"/>
      <c r="UBI96" s="394"/>
      <c r="UBJ96" s="395"/>
      <c r="UBK96" s="395"/>
      <c r="UBL96" s="395"/>
      <c r="UBM96" s="395"/>
      <c r="UBN96" s="395"/>
      <c r="UBO96" s="395"/>
      <c r="UBP96" s="395"/>
      <c r="UBQ96" s="395"/>
      <c r="UBR96" s="395"/>
      <c r="UBS96" s="395"/>
      <c r="UBT96" s="395"/>
      <c r="UBU96" s="395"/>
      <c r="UBV96" s="395"/>
      <c r="UBW96" s="395"/>
      <c r="UBX96" s="395"/>
      <c r="UBY96" s="395"/>
      <c r="UBZ96" s="395"/>
      <c r="UCA96" s="395"/>
      <c r="UCB96" s="395"/>
      <c r="UCC96" s="395"/>
      <c r="UCD96" s="395"/>
      <c r="UCE96" s="395"/>
      <c r="UCF96" s="395"/>
      <c r="UCG96" s="395"/>
      <c r="UCH96" s="395"/>
      <c r="UCI96" s="396"/>
      <c r="UCJ96" s="394"/>
      <c r="UCK96" s="395"/>
      <c r="UCL96" s="395"/>
      <c r="UCM96" s="395"/>
      <c r="UCN96" s="395"/>
      <c r="UCO96" s="395"/>
      <c r="UCP96" s="395"/>
      <c r="UCQ96" s="395"/>
      <c r="UCR96" s="395"/>
      <c r="UCS96" s="395"/>
      <c r="UCT96" s="395"/>
      <c r="UCU96" s="395"/>
      <c r="UCV96" s="395"/>
      <c r="UCW96" s="395"/>
      <c r="UCX96" s="395"/>
      <c r="UCY96" s="395"/>
      <c r="UCZ96" s="395"/>
      <c r="UDA96" s="395"/>
      <c r="UDB96" s="395"/>
      <c r="UDC96" s="395"/>
      <c r="UDD96" s="395"/>
      <c r="UDE96" s="395"/>
      <c r="UDF96" s="395"/>
      <c r="UDG96" s="395"/>
      <c r="UDH96" s="395"/>
      <c r="UDI96" s="395"/>
      <c r="UDJ96" s="396"/>
      <c r="UDK96" s="394"/>
      <c r="UDL96" s="395"/>
      <c r="UDM96" s="395"/>
      <c r="UDN96" s="395"/>
      <c r="UDO96" s="395"/>
      <c r="UDP96" s="395"/>
      <c r="UDQ96" s="395"/>
      <c r="UDR96" s="395"/>
      <c r="UDS96" s="395"/>
      <c r="UDT96" s="395"/>
      <c r="UDU96" s="395"/>
      <c r="UDV96" s="395"/>
      <c r="UDW96" s="395"/>
      <c r="UDX96" s="395"/>
      <c r="UDY96" s="395"/>
      <c r="UDZ96" s="395"/>
      <c r="UEA96" s="395"/>
      <c r="UEB96" s="395"/>
      <c r="UEC96" s="395"/>
      <c r="UED96" s="395"/>
      <c r="UEE96" s="395"/>
      <c r="UEF96" s="395"/>
      <c r="UEG96" s="395"/>
      <c r="UEH96" s="395"/>
      <c r="UEI96" s="395"/>
      <c r="UEJ96" s="395"/>
      <c r="UEK96" s="396"/>
      <c r="UEL96" s="394"/>
      <c r="UEM96" s="395"/>
      <c r="UEN96" s="395"/>
      <c r="UEO96" s="395"/>
      <c r="UEP96" s="395"/>
      <c r="UEQ96" s="395"/>
      <c r="UER96" s="395"/>
      <c r="UES96" s="395"/>
      <c r="UET96" s="395"/>
      <c r="UEU96" s="395"/>
      <c r="UEV96" s="395"/>
      <c r="UEW96" s="395"/>
      <c r="UEX96" s="395"/>
      <c r="UEY96" s="395"/>
      <c r="UEZ96" s="395"/>
      <c r="UFA96" s="395"/>
      <c r="UFB96" s="395"/>
      <c r="UFC96" s="395"/>
      <c r="UFD96" s="395"/>
      <c r="UFE96" s="395"/>
      <c r="UFF96" s="395"/>
      <c r="UFG96" s="395"/>
      <c r="UFH96" s="395"/>
      <c r="UFI96" s="395"/>
      <c r="UFJ96" s="395"/>
      <c r="UFK96" s="395"/>
      <c r="UFL96" s="396"/>
      <c r="UFM96" s="394"/>
      <c r="UFN96" s="395"/>
      <c r="UFO96" s="395"/>
      <c r="UFP96" s="395"/>
      <c r="UFQ96" s="395"/>
      <c r="UFR96" s="395"/>
      <c r="UFS96" s="395"/>
      <c r="UFT96" s="395"/>
      <c r="UFU96" s="395"/>
      <c r="UFV96" s="395"/>
      <c r="UFW96" s="395"/>
      <c r="UFX96" s="395"/>
      <c r="UFY96" s="395"/>
      <c r="UFZ96" s="395"/>
      <c r="UGA96" s="395"/>
      <c r="UGB96" s="395"/>
      <c r="UGC96" s="395"/>
      <c r="UGD96" s="395"/>
      <c r="UGE96" s="395"/>
      <c r="UGF96" s="395"/>
      <c r="UGG96" s="395"/>
      <c r="UGH96" s="395"/>
      <c r="UGI96" s="395"/>
      <c r="UGJ96" s="395"/>
      <c r="UGK96" s="395"/>
      <c r="UGL96" s="395"/>
      <c r="UGM96" s="396"/>
      <c r="UGN96" s="394"/>
      <c r="UGO96" s="395"/>
      <c r="UGP96" s="395"/>
      <c r="UGQ96" s="395"/>
      <c r="UGR96" s="395"/>
      <c r="UGS96" s="395"/>
      <c r="UGT96" s="395"/>
      <c r="UGU96" s="395"/>
      <c r="UGV96" s="395"/>
      <c r="UGW96" s="395"/>
      <c r="UGX96" s="395"/>
      <c r="UGY96" s="395"/>
      <c r="UGZ96" s="395"/>
      <c r="UHA96" s="395"/>
      <c r="UHB96" s="395"/>
      <c r="UHC96" s="395"/>
      <c r="UHD96" s="395"/>
      <c r="UHE96" s="395"/>
      <c r="UHF96" s="395"/>
      <c r="UHG96" s="395"/>
      <c r="UHH96" s="395"/>
      <c r="UHI96" s="395"/>
      <c r="UHJ96" s="395"/>
      <c r="UHK96" s="395"/>
      <c r="UHL96" s="395"/>
      <c r="UHM96" s="395"/>
      <c r="UHN96" s="396"/>
      <c r="UHO96" s="394"/>
      <c r="UHP96" s="395"/>
      <c r="UHQ96" s="395"/>
      <c r="UHR96" s="395"/>
      <c r="UHS96" s="395"/>
      <c r="UHT96" s="395"/>
      <c r="UHU96" s="395"/>
      <c r="UHV96" s="395"/>
      <c r="UHW96" s="395"/>
      <c r="UHX96" s="395"/>
      <c r="UHY96" s="395"/>
      <c r="UHZ96" s="395"/>
      <c r="UIA96" s="395"/>
      <c r="UIB96" s="395"/>
      <c r="UIC96" s="395"/>
      <c r="UID96" s="395"/>
      <c r="UIE96" s="395"/>
      <c r="UIF96" s="395"/>
      <c r="UIG96" s="395"/>
      <c r="UIH96" s="395"/>
      <c r="UII96" s="395"/>
      <c r="UIJ96" s="395"/>
      <c r="UIK96" s="395"/>
      <c r="UIL96" s="395"/>
      <c r="UIM96" s="395"/>
      <c r="UIN96" s="395"/>
      <c r="UIO96" s="396"/>
      <c r="UIP96" s="394"/>
      <c r="UIQ96" s="395"/>
      <c r="UIR96" s="395"/>
      <c r="UIS96" s="395"/>
      <c r="UIT96" s="395"/>
      <c r="UIU96" s="395"/>
      <c r="UIV96" s="395"/>
      <c r="UIW96" s="395"/>
      <c r="UIX96" s="395"/>
      <c r="UIY96" s="395"/>
      <c r="UIZ96" s="395"/>
      <c r="UJA96" s="395"/>
      <c r="UJB96" s="395"/>
      <c r="UJC96" s="395"/>
      <c r="UJD96" s="395"/>
      <c r="UJE96" s="395"/>
      <c r="UJF96" s="395"/>
      <c r="UJG96" s="395"/>
      <c r="UJH96" s="395"/>
      <c r="UJI96" s="395"/>
      <c r="UJJ96" s="395"/>
      <c r="UJK96" s="395"/>
      <c r="UJL96" s="395"/>
      <c r="UJM96" s="395"/>
      <c r="UJN96" s="395"/>
      <c r="UJO96" s="395"/>
      <c r="UJP96" s="396"/>
      <c r="UJQ96" s="394"/>
      <c r="UJR96" s="395"/>
      <c r="UJS96" s="395"/>
      <c r="UJT96" s="395"/>
      <c r="UJU96" s="395"/>
      <c r="UJV96" s="395"/>
      <c r="UJW96" s="395"/>
      <c r="UJX96" s="395"/>
      <c r="UJY96" s="395"/>
      <c r="UJZ96" s="395"/>
      <c r="UKA96" s="395"/>
      <c r="UKB96" s="395"/>
      <c r="UKC96" s="395"/>
      <c r="UKD96" s="395"/>
      <c r="UKE96" s="395"/>
      <c r="UKF96" s="395"/>
      <c r="UKG96" s="395"/>
      <c r="UKH96" s="395"/>
      <c r="UKI96" s="395"/>
      <c r="UKJ96" s="395"/>
      <c r="UKK96" s="395"/>
      <c r="UKL96" s="395"/>
      <c r="UKM96" s="395"/>
      <c r="UKN96" s="395"/>
      <c r="UKO96" s="395"/>
      <c r="UKP96" s="395"/>
      <c r="UKQ96" s="396"/>
      <c r="UKR96" s="394"/>
      <c r="UKS96" s="395"/>
      <c r="UKT96" s="395"/>
      <c r="UKU96" s="395"/>
      <c r="UKV96" s="395"/>
      <c r="UKW96" s="395"/>
      <c r="UKX96" s="395"/>
      <c r="UKY96" s="395"/>
      <c r="UKZ96" s="395"/>
      <c r="ULA96" s="395"/>
      <c r="ULB96" s="395"/>
      <c r="ULC96" s="395"/>
      <c r="ULD96" s="395"/>
      <c r="ULE96" s="395"/>
      <c r="ULF96" s="395"/>
      <c r="ULG96" s="395"/>
      <c r="ULH96" s="395"/>
      <c r="ULI96" s="395"/>
      <c r="ULJ96" s="395"/>
      <c r="ULK96" s="395"/>
      <c r="ULL96" s="395"/>
      <c r="ULM96" s="395"/>
      <c r="ULN96" s="395"/>
      <c r="ULO96" s="395"/>
      <c r="ULP96" s="395"/>
      <c r="ULQ96" s="395"/>
      <c r="ULR96" s="396"/>
      <c r="ULS96" s="394"/>
      <c r="ULT96" s="395"/>
      <c r="ULU96" s="395"/>
      <c r="ULV96" s="395"/>
      <c r="ULW96" s="395"/>
      <c r="ULX96" s="395"/>
      <c r="ULY96" s="395"/>
      <c r="ULZ96" s="395"/>
      <c r="UMA96" s="395"/>
      <c r="UMB96" s="395"/>
      <c r="UMC96" s="395"/>
      <c r="UMD96" s="395"/>
      <c r="UME96" s="395"/>
      <c r="UMF96" s="395"/>
      <c r="UMG96" s="395"/>
      <c r="UMH96" s="395"/>
      <c r="UMI96" s="395"/>
      <c r="UMJ96" s="395"/>
      <c r="UMK96" s="395"/>
      <c r="UML96" s="395"/>
      <c r="UMM96" s="395"/>
      <c r="UMN96" s="395"/>
      <c r="UMO96" s="395"/>
      <c r="UMP96" s="395"/>
      <c r="UMQ96" s="395"/>
      <c r="UMR96" s="395"/>
      <c r="UMS96" s="396"/>
      <c r="UMT96" s="394"/>
      <c r="UMU96" s="395"/>
      <c r="UMV96" s="395"/>
      <c r="UMW96" s="395"/>
      <c r="UMX96" s="395"/>
      <c r="UMY96" s="395"/>
      <c r="UMZ96" s="395"/>
      <c r="UNA96" s="395"/>
      <c r="UNB96" s="395"/>
      <c r="UNC96" s="395"/>
      <c r="UND96" s="395"/>
      <c r="UNE96" s="395"/>
      <c r="UNF96" s="395"/>
      <c r="UNG96" s="395"/>
      <c r="UNH96" s="395"/>
      <c r="UNI96" s="395"/>
      <c r="UNJ96" s="395"/>
      <c r="UNK96" s="395"/>
      <c r="UNL96" s="395"/>
      <c r="UNM96" s="395"/>
      <c r="UNN96" s="395"/>
      <c r="UNO96" s="395"/>
      <c r="UNP96" s="395"/>
      <c r="UNQ96" s="395"/>
      <c r="UNR96" s="395"/>
      <c r="UNS96" s="395"/>
      <c r="UNT96" s="396"/>
      <c r="UNU96" s="394"/>
      <c r="UNV96" s="395"/>
      <c r="UNW96" s="395"/>
      <c r="UNX96" s="395"/>
      <c r="UNY96" s="395"/>
      <c r="UNZ96" s="395"/>
      <c r="UOA96" s="395"/>
      <c r="UOB96" s="395"/>
      <c r="UOC96" s="395"/>
      <c r="UOD96" s="395"/>
      <c r="UOE96" s="395"/>
      <c r="UOF96" s="395"/>
      <c r="UOG96" s="395"/>
      <c r="UOH96" s="395"/>
      <c r="UOI96" s="395"/>
      <c r="UOJ96" s="395"/>
      <c r="UOK96" s="395"/>
      <c r="UOL96" s="395"/>
      <c r="UOM96" s="395"/>
      <c r="UON96" s="395"/>
      <c r="UOO96" s="395"/>
      <c r="UOP96" s="395"/>
      <c r="UOQ96" s="395"/>
      <c r="UOR96" s="395"/>
      <c r="UOS96" s="395"/>
      <c r="UOT96" s="395"/>
      <c r="UOU96" s="396"/>
      <c r="UOV96" s="394"/>
      <c r="UOW96" s="395"/>
      <c r="UOX96" s="395"/>
      <c r="UOY96" s="395"/>
      <c r="UOZ96" s="395"/>
      <c r="UPA96" s="395"/>
      <c r="UPB96" s="395"/>
      <c r="UPC96" s="395"/>
      <c r="UPD96" s="395"/>
      <c r="UPE96" s="395"/>
      <c r="UPF96" s="395"/>
      <c r="UPG96" s="395"/>
      <c r="UPH96" s="395"/>
      <c r="UPI96" s="395"/>
      <c r="UPJ96" s="395"/>
      <c r="UPK96" s="395"/>
      <c r="UPL96" s="395"/>
      <c r="UPM96" s="395"/>
      <c r="UPN96" s="395"/>
      <c r="UPO96" s="395"/>
      <c r="UPP96" s="395"/>
      <c r="UPQ96" s="395"/>
      <c r="UPR96" s="395"/>
      <c r="UPS96" s="395"/>
      <c r="UPT96" s="395"/>
      <c r="UPU96" s="395"/>
      <c r="UPV96" s="396"/>
      <c r="UPW96" s="394"/>
      <c r="UPX96" s="395"/>
      <c r="UPY96" s="395"/>
      <c r="UPZ96" s="395"/>
      <c r="UQA96" s="395"/>
      <c r="UQB96" s="395"/>
      <c r="UQC96" s="395"/>
      <c r="UQD96" s="395"/>
      <c r="UQE96" s="395"/>
      <c r="UQF96" s="395"/>
      <c r="UQG96" s="395"/>
      <c r="UQH96" s="395"/>
      <c r="UQI96" s="395"/>
      <c r="UQJ96" s="395"/>
      <c r="UQK96" s="395"/>
      <c r="UQL96" s="395"/>
      <c r="UQM96" s="395"/>
      <c r="UQN96" s="395"/>
      <c r="UQO96" s="395"/>
      <c r="UQP96" s="395"/>
      <c r="UQQ96" s="395"/>
      <c r="UQR96" s="395"/>
      <c r="UQS96" s="395"/>
      <c r="UQT96" s="395"/>
      <c r="UQU96" s="395"/>
      <c r="UQV96" s="395"/>
      <c r="UQW96" s="396"/>
      <c r="UQX96" s="394"/>
      <c r="UQY96" s="395"/>
      <c r="UQZ96" s="395"/>
      <c r="URA96" s="395"/>
      <c r="URB96" s="395"/>
      <c r="URC96" s="395"/>
      <c r="URD96" s="395"/>
      <c r="URE96" s="395"/>
      <c r="URF96" s="395"/>
      <c r="URG96" s="395"/>
      <c r="URH96" s="395"/>
      <c r="URI96" s="395"/>
      <c r="URJ96" s="395"/>
      <c r="URK96" s="395"/>
      <c r="URL96" s="395"/>
      <c r="URM96" s="395"/>
      <c r="URN96" s="395"/>
      <c r="URO96" s="395"/>
      <c r="URP96" s="395"/>
      <c r="URQ96" s="395"/>
      <c r="URR96" s="395"/>
      <c r="URS96" s="395"/>
      <c r="URT96" s="395"/>
      <c r="URU96" s="395"/>
      <c r="URV96" s="395"/>
      <c r="URW96" s="395"/>
      <c r="URX96" s="396"/>
      <c r="URY96" s="394"/>
      <c r="URZ96" s="395"/>
      <c r="USA96" s="395"/>
      <c r="USB96" s="395"/>
      <c r="USC96" s="395"/>
      <c r="USD96" s="395"/>
      <c r="USE96" s="395"/>
      <c r="USF96" s="395"/>
      <c r="USG96" s="395"/>
      <c r="USH96" s="395"/>
      <c r="USI96" s="395"/>
      <c r="USJ96" s="395"/>
      <c r="USK96" s="395"/>
      <c r="USL96" s="395"/>
      <c r="USM96" s="395"/>
      <c r="USN96" s="395"/>
      <c r="USO96" s="395"/>
      <c r="USP96" s="395"/>
      <c r="USQ96" s="395"/>
      <c r="USR96" s="395"/>
      <c r="USS96" s="395"/>
      <c r="UST96" s="395"/>
      <c r="USU96" s="395"/>
      <c r="USV96" s="395"/>
      <c r="USW96" s="395"/>
      <c r="USX96" s="395"/>
      <c r="USY96" s="396"/>
      <c r="USZ96" s="394"/>
      <c r="UTA96" s="395"/>
      <c r="UTB96" s="395"/>
      <c r="UTC96" s="395"/>
      <c r="UTD96" s="395"/>
      <c r="UTE96" s="395"/>
      <c r="UTF96" s="395"/>
      <c r="UTG96" s="395"/>
      <c r="UTH96" s="395"/>
      <c r="UTI96" s="395"/>
      <c r="UTJ96" s="395"/>
      <c r="UTK96" s="395"/>
      <c r="UTL96" s="395"/>
      <c r="UTM96" s="395"/>
      <c r="UTN96" s="395"/>
      <c r="UTO96" s="395"/>
      <c r="UTP96" s="395"/>
      <c r="UTQ96" s="395"/>
      <c r="UTR96" s="395"/>
      <c r="UTS96" s="395"/>
      <c r="UTT96" s="395"/>
      <c r="UTU96" s="395"/>
      <c r="UTV96" s="395"/>
      <c r="UTW96" s="395"/>
      <c r="UTX96" s="395"/>
      <c r="UTY96" s="395"/>
      <c r="UTZ96" s="396"/>
      <c r="UUA96" s="394"/>
      <c r="UUB96" s="395"/>
      <c r="UUC96" s="395"/>
      <c r="UUD96" s="395"/>
      <c r="UUE96" s="395"/>
      <c r="UUF96" s="395"/>
      <c r="UUG96" s="395"/>
      <c r="UUH96" s="395"/>
      <c r="UUI96" s="395"/>
      <c r="UUJ96" s="395"/>
      <c r="UUK96" s="395"/>
      <c r="UUL96" s="395"/>
      <c r="UUM96" s="395"/>
      <c r="UUN96" s="395"/>
      <c r="UUO96" s="395"/>
      <c r="UUP96" s="395"/>
      <c r="UUQ96" s="395"/>
      <c r="UUR96" s="395"/>
      <c r="UUS96" s="395"/>
      <c r="UUT96" s="395"/>
      <c r="UUU96" s="395"/>
      <c r="UUV96" s="395"/>
      <c r="UUW96" s="395"/>
      <c r="UUX96" s="395"/>
      <c r="UUY96" s="395"/>
      <c r="UUZ96" s="395"/>
      <c r="UVA96" s="396"/>
      <c r="UVB96" s="394"/>
      <c r="UVC96" s="395"/>
      <c r="UVD96" s="395"/>
      <c r="UVE96" s="395"/>
      <c r="UVF96" s="395"/>
      <c r="UVG96" s="395"/>
      <c r="UVH96" s="395"/>
      <c r="UVI96" s="395"/>
      <c r="UVJ96" s="395"/>
      <c r="UVK96" s="395"/>
      <c r="UVL96" s="395"/>
      <c r="UVM96" s="395"/>
      <c r="UVN96" s="395"/>
      <c r="UVO96" s="395"/>
      <c r="UVP96" s="395"/>
      <c r="UVQ96" s="395"/>
      <c r="UVR96" s="395"/>
      <c r="UVS96" s="395"/>
      <c r="UVT96" s="395"/>
      <c r="UVU96" s="395"/>
      <c r="UVV96" s="395"/>
      <c r="UVW96" s="395"/>
      <c r="UVX96" s="395"/>
      <c r="UVY96" s="395"/>
      <c r="UVZ96" s="395"/>
      <c r="UWA96" s="395"/>
      <c r="UWB96" s="396"/>
      <c r="UWC96" s="394"/>
      <c r="UWD96" s="395"/>
      <c r="UWE96" s="395"/>
      <c r="UWF96" s="395"/>
      <c r="UWG96" s="395"/>
      <c r="UWH96" s="395"/>
      <c r="UWI96" s="395"/>
      <c r="UWJ96" s="395"/>
      <c r="UWK96" s="395"/>
      <c r="UWL96" s="395"/>
      <c r="UWM96" s="395"/>
      <c r="UWN96" s="395"/>
      <c r="UWO96" s="395"/>
      <c r="UWP96" s="395"/>
      <c r="UWQ96" s="395"/>
      <c r="UWR96" s="395"/>
      <c r="UWS96" s="395"/>
      <c r="UWT96" s="395"/>
      <c r="UWU96" s="395"/>
      <c r="UWV96" s="395"/>
      <c r="UWW96" s="395"/>
      <c r="UWX96" s="395"/>
      <c r="UWY96" s="395"/>
      <c r="UWZ96" s="395"/>
      <c r="UXA96" s="395"/>
      <c r="UXB96" s="395"/>
      <c r="UXC96" s="396"/>
      <c r="UXD96" s="394"/>
      <c r="UXE96" s="395"/>
      <c r="UXF96" s="395"/>
      <c r="UXG96" s="395"/>
      <c r="UXH96" s="395"/>
      <c r="UXI96" s="395"/>
      <c r="UXJ96" s="395"/>
      <c r="UXK96" s="395"/>
      <c r="UXL96" s="395"/>
      <c r="UXM96" s="395"/>
      <c r="UXN96" s="395"/>
      <c r="UXO96" s="395"/>
      <c r="UXP96" s="395"/>
      <c r="UXQ96" s="395"/>
      <c r="UXR96" s="395"/>
      <c r="UXS96" s="395"/>
      <c r="UXT96" s="395"/>
      <c r="UXU96" s="395"/>
      <c r="UXV96" s="395"/>
      <c r="UXW96" s="395"/>
      <c r="UXX96" s="395"/>
      <c r="UXY96" s="395"/>
      <c r="UXZ96" s="395"/>
      <c r="UYA96" s="395"/>
      <c r="UYB96" s="395"/>
      <c r="UYC96" s="395"/>
      <c r="UYD96" s="396"/>
      <c r="UYE96" s="394"/>
      <c r="UYF96" s="395"/>
      <c r="UYG96" s="395"/>
      <c r="UYH96" s="395"/>
      <c r="UYI96" s="395"/>
      <c r="UYJ96" s="395"/>
      <c r="UYK96" s="395"/>
      <c r="UYL96" s="395"/>
      <c r="UYM96" s="395"/>
      <c r="UYN96" s="395"/>
      <c r="UYO96" s="395"/>
      <c r="UYP96" s="395"/>
      <c r="UYQ96" s="395"/>
      <c r="UYR96" s="395"/>
      <c r="UYS96" s="395"/>
      <c r="UYT96" s="395"/>
      <c r="UYU96" s="395"/>
      <c r="UYV96" s="395"/>
      <c r="UYW96" s="395"/>
      <c r="UYX96" s="395"/>
      <c r="UYY96" s="395"/>
      <c r="UYZ96" s="395"/>
      <c r="UZA96" s="395"/>
      <c r="UZB96" s="395"/>
      <c r="UZC96" s="395"/>
      <c r="UZD96" s="395"/>
      <c r="UZE96" s="396"/>
      <c r="UZF96" s="394"/>
      <c r="UZG96" s="395"/>
      <c r="UZH96" s="395"/>
      <c r="UZI96" s="395"/>
      <c r="UZJ96" s="395"/>
      <c r="UZK96" s="395"/>
      <c r="UZL96" s="395"/>
      <c r="UZM96" s="395"/>
      <c r="UZN96" s="395"/>
      <c r="UZO96" s="395"/>
      <c r="UZP96" s="395"/>
      <c r="UZQ96" s="395"/>
      <c r="UZR96" s="395"/>
      <c r="UZS96" s="395"/>
      <c r="UZT96" s="395"/>
      <c r="UZU96" s="395"/>
      <c r="UZV96" s="395"/>
      <c r="UZW96" s="395"/>
      <c r="UZX96" s="395"/>
      <c r="UZY96" s="395"/>
      <c r="UZZ96" s="395"/>
      <c r="VAA96" s="395"/>
      <c r="VAB96" s="395"/>
      <c r="VAC96" s="395"/>
      <c r="VAD96" s="395"/>
      <c r="VAE96" s="395"/>
      <c r="VAF96" s="396"/>
      <c r="VAG96" s="394"/>
      <c r="VAH96" s="395"/>
      <c r="VAI96" s="395"/>
      <c r="VAJ96" s="395"/>
      <c r="VAK96" s="395"/>
      <c r="VAL96" s="395"/>
      <c r="VAM96" s="395"/>
      <c r="VAN96" s="395"/>
      <c r="VAO96" s="395"/>
      <c r="VAP96" s="395"/>
      <c r="VAQ96" s="395"/>
      <c r="VAR96" s="395"/>
      <c r="VAS96" s="395"/>
      <c r="VAT96" s="395"/>
      <c r="VAU96" s="395"/>
      <c r="VAV96" s="395"/>
      <c r="VAW96" s="395"/>
      <c r="VAX96" s="395"/>
      <c r="VAY96" s="395"/>
      <c r="VAZ96" s="395"/>
      <c r="VBA96" s="395"/>
      <c r="VBB96" s="395"/>
      <c r="VBC96" s="395"/>
      <c r="VBD96" s="395"/>
      <c r="VBE96" s="395"/>
      <c r="VBF96" s="395"/>
      <c r="VBG96" s="396"/>
      <c r="VBH96" s="394"/>
      <c r="VBI96" s="395"/>
      <c r="VBJ96" s="395"/>
      <c r="VBK96" s="395"/>
      <c r="VBL96" s="395"/>
      <c r="VBM96" s="395"/>
      <c r="VBN96" s="395"/>
      <c r="VBO96" s="395"/>
      <c r="VBP96" s="395"/>
      <c r="VBQ96" s="395"/>
      <c r="VBR96" s="395"/>
      <c r="VBS96" s="395"/>
      <c r="VBT96" s="395"/>
      <c r="VBU96" s="395"/>
      <c r="VBV96" s="395"/>
      <c r="VBW96" s="395"/>
      <c r="VBX96" s="395"/>
      <c r="VBY96" s="395"/>
      <c r="VBZ96" s="395"/>
      <c r="VCA96" s="395"/>
      <c r="VCB96" s="395"/>
      <c r="VCC96" s="395"/>
      <c r="VCD96" s="395"/>
      <c r="VCE96" s="395"/>
      <c r="VCF96" s="395"/>
      <c r="VCG96" s="395"/>
      <c r="VCH96" s="396"/>
      <c r="VCI96" s="394"/>
      <c r="VCJ96" s="395"/>
      <c r="VCK96" s="395"/>
      <c r="VCL96" s="395"/>
      <c r="VCM96" s="395"/>
      <c r="VCN96" s="395"/>
      <c r="VCO96" s="395"/>
      <c r="VCP96" s="395"/>
      <c r="VCQ96" s="395"/>
      <c r="VCR96" s="395"/>
      <c r="VCS96" s="395"/>
      <c r="VCT96" s="395"/>
      <c r="VCU96" s="395"/>
      <c r="VCV96" s="395"/>
      <c r="VCW96" s="395"/>
      <c r="VCX96" s="395"/>
      <c r="VCY96" s="395"/>
      <c r="VCZ96" s="395"/>
      <c r="VDA96" s="395"/>
      <c r="VDB96" s="395"/>
      <c r="VDC96" s="395"/>
      <c r="VDD96" s="395"/>
      <c r="VDE96" s="395"/>
      <c r="VDF96" s="395"/>
      <c r="VDG96" s="395"/>
      <c r="VDH96" s="395"/>
      <c r="VDI96" s="396"/>
      <c r="VDJ96" s="394"/>
      <c r="VDK96" s="395"/>
      <c r="VDL96" s="395"/>
      <c r="VDM96" s="395"/>
      <c r="VDN96" s="395"/>
      <c r="VDO96" s="395"/>
      <c r="VDP96" s="395"/>
      <c r="VDQ96" s="395"/>
      <c r="VDR96" s="395"/>
      <c r="VDS96" s="395"/>
      <c r="VDT96" s="395"/>
      <c r="VDU96" s="395"/>
      <c r="VDV96" s="395"/>
      <c r="VDW96" s="395"/>
      <c r="VDX96" s="395"/>
      <c r="VDY96" s="395"/>
      <c r="VDZ96" s="395"/>
      <c r="VEA96" s="395"/>
      <c r="VEB96" s="395"/>
      <c r="VEC96" s="395"/>
      <c r="VED96" s="395"/>
      <c r="VEE96" s="395"/>
      <c r="VEF96" s="395"/>
      <c r="VEG96" s="395"/>
      <c r="VEH96" s="395"/>
      <c r="VEI96" s="395"/>
      <c r="VEJ96" s="396"/>
      <c r="VEK96" s="394"/>
      <c r="VEL96" s="395"/>
      <c r="VEM96" s="395"/>
      <c r="VEN96" s="395"/>
      <c r="VEO96" s="395"/>
      <c r="VEP96" s="395"/>
      <c r="VEQ96" s="395"/>
      <c r="VER96" s="395"/>
      <c r="VES96" s="395"/>
      <c r="VET96" s="395"/>
      <c r="VEU96" s="395"/>
      <c r="VEV96" s="395"/>
      <c r="VEW96" s="395"/>
      <c r="VEX96" s="395"/>
      <c r="VEY96" s="395"/>
      <c r="VEZ96" s="395"/>
      <c r="VFA96" s="395"/>
      <c r="VFB96" s="395"/>
      <c r="VFC96" s="395"/>
      <c r="VFD96" s="395"/>
      <c r="VFE96" s="395"/>
      <c r="VFF96" s="395"/>
      <c r="VFG96" s="395"/>
      <c r="VFH96" s="395"/>
      <c r="VFI96" s="395"/>
      <c r="VFJ96" s="395"/>
      <c r="VFK96" s="396"/>
      <c r="VFL96" s="394"/>
      <c r="VFM96" s="395"/>
      <c r="VFN96" s="395"/>
      <c r="VFO96" s="395"/>
      <c r="VFP96" s="395"/>
      <c r="VFQ96" s="395"/>
      <c r="VFR96" s="395"/>
      <c r="VFS96" s="395"/>
      <c r="VFT96" s="395"/>
      <c r="VFU96" s="395"/>
      <c r="VFV96" s="395"/>
      <c r="VFW96" s="395"/>
      <c r="VFX96" s="395"/>
      <c r="VFY96" s="395"/>
      <c r="VFZ96" s="395"/>
      <c r="VGA96" s="395"/>
      <c r="VGB96" s="395"/>
      <c r="VGC96" s="395"/>
      <c r="VGD96" s="395"/>
      <c r="VGE96" s="395"/>
      <c r="VGF96" s="395"/>
      <c r="VGG96" s="395"/>
      <c r="VGH96" s="395"/>
      <c r="VGI96" s="395"/>
      <c r="VGJ96" s="395"/>
      <c r="VGK96" s="395"/>
      <c r="VGL96" s="396"/>
      <c r="VGM96" s="394"/>
      <c r="VGN96" s="395"/>
      <c r="VGO96" s="395"/>
      <c r="VGP96" s="395"/>
      <c r="VGQ96" s="395"/>
      <c r="VGR96" s="395"/>
      <c r="VGS96" s="395"/>
      <c r="VGT96" s="395"/>
      <c r="VGU96" s="395"/>
      <c r="VGV96" s="395"/>
      <c r="VGW96" s="395"/>
      <c r="VGX96" s="395"/>
      <c r="VGY96" s="395"/>
      <c r="VGZ96" s="395"/>
      <c r="VHA96" s="395"/>
      <c r="VHB96" s="395"/>
      <c r="VHC96" s="395"/>
      <c r="VHD96" s="395"/>
      <c r="VHE96" s="395"/>
      <c r="VHF96" s="395"/>
      <c r="VHG96" s="395"/>
      <c r="VHH96" s="395"/>
      <c r="VHI96" s="395"/>
      <c r="VHJ96" s="395"/>
      <c r="VHK96" s="395"/>
      <c r="VHL96" s="395"/>
      <c r="VHM96" s="396"/>
      <c r="VHN96" s="394"/>
      <c r="VHO96" s="395"/>
      <c r="VHP96" s="395"/>
      <c r="VHQ96" s="395"/>
      <c r="VHR96" s="395"/>
      <c r="VHS96" s="395"/>
      <c r="VHT96" s="395"/>
      <c r="VHU96" s="395"/>
      <c r="VHV96" s="395"/>
      <c r="VHW96" s="395"/>
      <c r="VHX96" s="395"/>
      <c r="VHY96" s="395"/>
      <c r="VHZ96" s="395"/>
      <c r="VIA96" s="395"/>
      <c r="VIB96" s="395"/>
      <c r="VIC96" s="395"/>
      <c r="VID96" s="395"/>
      <c r="VIE96" s="395"/>
      <c r="VIF96" s="395"/>
      <c r="VIG96" s="395"/>
      <c r="VIH96" s="395"/>
      <c r="VII96" s="395"/>
      <c r="VIJ96" s="395"/>
      <c r="VIK96" s="395"/>
      <c r="VIL96" s="395"/>
      <c r="VIM96" s="395"/>
      <c r="VIN96" s="396"/>
      <c r="VIO96" s="394"/>
      <c r="VIP96" s="395"/>
      <c r="VIQ96" s="395"/>
      <c r="VIR96" s="395"/>
      <c r="VIS96" s="395"/>
      <c r="VIT96" s="395"/>
      <c r="VIU96" s="395"/>
      <c r="VIV96" s="395"/>
      <c r="VIW96" s="395"/>
      <c r="VIX96" s="395"/>
      <c r="VIY96" s="395"/>
      <c r="VIZ96" s="395"/>
      <c r="VJA96" s="395"/>
      <c r="VJB96" s="395"/>
      <c r="VJC96" s="395"/>
      <c r="VJD96" s="395"/>
      <c r="VJE96" s="395"/>
      <c r="VJF96" s="395"/>
      <c r="VJG96" s="395"/>
      <c r="VJH96" s="395"/>
      <c r="VJI96" s="395"/>
      <c r="VJJ96" s="395"/>
      <c r="VJK96" s="395"/>
      <c r="VJL96" s="395"/>
      <c r="VJM96" s="395"/>
      <c r="VJN96" s="395"/>
      <c r="VJO96" s="396"/>
      <c r="VJP96" s="394"/>
      <c r="VJQ96" s="395"/>
      <c r="VJR96" s="395"/>
      <c r="VJS96" s="395"/>
      <c r="VJT96" s="395"/>
      <c r="VJU96" s="395"/>
      <c r="VJV96" s="395"/>
      <c r="VJW96" s="395"/>
      <c r="VJX96" s="395"/>
      <c r="VJY96" s="395"/>
      <c r="VJZ96" s="395"/>
      <c r="VKA96" s="395"/>
      <c r="VKB96" s="395"/>
      <c r="VKC96" s="395"/>
      <c r="VKD96" s="395"/>
      <c r="VKE96" s="395"/>
      <c r="VKF96" s="395"/>
      <c r="VKG96" s="395"/>
      <c r="VKH96" s="395"/>
      <c r="VKI96" s="395"/>
      <c r="VKJ96" s="395"/>
      <c r="VKK96" s="395"/>
      <c r="VKL96" s="395"/>
      <c r="VKM96" s="395"/>
      <c r="VKN96" s="395"/>
      <c r="VKO96" s="395"/>
      <c r="VKP96" s="396"/>
      <c r="VKQ96" s="394"/>
      <c r="VKR96" s="395"/>
      <c r="VKS96" s="395"/>
      <c r="VKT96" s="395"/>
      <c r="VKU96" s="395"/>
      <c r="VKV96" s="395"/>
      <c r="VKW96" s="395"/>
      <c r="VKX96" s="395"/>
      <c r="VKY96" s="395"/>
      <c r="VKZ96" s="395"/>
      <c r="VLA96" s="395"/>
      <c r="VLB96" s="395"/>
      <c r="VLC96" s="395"/>
      <c r="VLD96" s="395"/>
      <c r="VLE96" s="395"/>
      <c r="VLF96" s="395"/>
      <c r="VLG96" s="395"/>
      <c r="VLH96" s="395"/>
      <c r="VLI96" s="395"/>
      <c r="VLJ96" s="395"/>
      <c r="VLK96" s="395"/>
      <c r="VLL96" s="395"/>
      <c r="VLM96" s="395"/>
      <c r="VLN96" s="395"/>
      <c r="VLO96" s="395"/>
      <c r="VLP96" s="395"/>
      <c r="VLQ96" s="396"/>
      <c r="VLR96" s="394"/>
      <c r="VLS96" s="395"/>
      <c r="VLT96" s="395"/>
      <c r="VLU96" s="395"/>
      <c r="VLV96" s="395"/>
      <c r="VLW96" s="395"/>
      <c r="VLX96" s="395"/>
      <c r="VLY96" s="395"/>
      <c r="VLZ96" s="395"/>
      <c r="VMA96" s="395"/>
      <c r="VMB96" s="395"/>
      <c r="VMC96" s="395"/>
      <c r="VMD96" s="395"/>
      <c r="VME96" s="395"/>
      <c r="VMF96" s="395"/>
      <c r="VMG96" s="395"/>
      <c r="VMH96" s="395"/>
      <c r="VMI96" s="395"/>
      <c r="VMJ96" s="395"/>
      <c r="VMK96" s="395"/>
      <c r="VML96" s="395"/>
      <c r="VMM96" s="395"/>
      <c r="VMN96" s="395"/>
      <c r="VMO96" s="395"/>
      <c r="VMP96" s="395"/>
      <c r="VMQ96" s="395"/>
      <c r="VMR96" s="396"/>
      <c r="VMS96" s="394"/>
      <c r="VMT96" s="395"/>
      <c r="VMU96" s="395"/>
      <c r="VMV96" s="395"/>
      <c r="VMW96" s="395"/>
      <c r="VMX96" s="395"/>
      <c r="VMY96" s="395"/>
      <c r="VMZ96" s="395"/>
      <c r="VNA96" s="395"/>
      <c r="VNB96" s="395"/>
      <c r="VNC96" s="395"/>
      <c r="VND96" s="395"/>
      <c r="VNE96" s="395"/>
      <c r="VNF96" s="395"/>
      <c r="VNG96" s="395"/>
      <c r="VNH96" s="395"/>
      <c r="VNI96" s="395"/>
      <c r="VNJ96" s="395"/>
      <c r="VNK96" s="395"/>
      <c r="VNL96" s="395"/>
      <c r="VNM96" s="395"/>
      <c r="VNN96" s="395"/>
      <c r="VNO96" s="395"/>
      <c r="VNP96" s="395"/>
      <c r="VNQ96" s="395"/>
      <c r="VNR96" s="395"/>
      <c r="VNS96" s="396"/>
      <c r="VNT96" s="394"/>
      <c r="VNU96" s="395"/>
      <c r="VNV96" s="395"/>
      <c r="VNW96" s="395"/>
      <c r="VNX96" s="395"/>
      <c r="VNY96" s="395"/>
      <c r="VNZ96" s="395"/>
      <c r="VOA96" s="395"/>
      <c r="VOB96" s="395"/>
      <c r="VOC96" s="395"/>
      <c r="VOD96" s="395"/>
      <c r="VOE96" s="395"/>
      <c r="VOF96" s="395"/>
      <c r="VOG96" s="395"/>
      <c r="VOH96" s="395"/>
      <c r="VOI96" s="395"/>
      <c r="VOJ96" s="395"/>
      <c r="VOK96" s="395"/>
      <c r="VOL96" s="395"/>
      <c r="VOM96" s="395"/>
      <c r="VON96" s="395"/>
      <c r="VOO96" s="395"/>
      <c r="VOP96" s="395"/>
      <c r="VOQ96" s="395"/>
      <c r="VOR96" s="395"/>
      <c r="VOS96" s="395"/>
      <c r="VOT96" s="396"/>
      <c r="VOU96" s="394"/>
      <c r="VOV96" s="395"/>
      <c r="VOW96" s="395"/>
      <c r="VOX96" s="395"/>
      <c r="VOY96" s="395"/>
      <c r="VOZ96" s="395"/>
      <c r="VPA96" s="395"/>
      <c r="VPB96" s="395"/>
      <c r="VPC96" s="395"/>
      <c r="VPD96" s="395"/>
      <c r="VPE96" s="395"/>
      <c r="VPF96" s="395"/>
      <c r="VPG96" s="395"/>
      <c r="VPH96" s="395"/>
      <c r="VPI96" s="395"/>
      <c r="VPJ96" s="395"/>
      <c r="VPK96" s="395"/>
      <c r="VPL96" s="395"/>
      <c r="VPM96" s="395"/>
      <c r="VPN96" s="395"/>
      <c r="VPO96" s="395"/>
      <c r="VPP96" s="395"/>
      <c r="VPQ96" s="395"/>
      <c r="VPR96" s="395"/>
      <c r="VPS96" s="395"/>
      <c r="VPT96" s="395"/>
      <c r="VPU96" s="396"/>
      <c r="VPV96" s="394"/>
      <c r="VPW96" s="395"/>
      <c r="VPX96" s="395"/>
      <c r="VPY96" s="395"/>
      <c r="VPZ96" s="395"/>
      <c r="VQA96" s="395"/>
      <c r="VQB96" s="395"/>
      <c r="VQC96" s="395"/>
      <c r="VQD96" s="395"/>
      <c r="VQE96" s="395"/>
      <c r="VQF96" s="395"/>
      <c r="VQG96" s="395"/>
      <c r="VQH96" s="395"/>
      <c r="VQI96" s="395"/>
      <c r="VQJ96" s="395"/>
      <c r="VQK96" s="395"/>
      <c r="VQL96" s="395"/>
      <c r="VQM96" s="395"/>
      <c r="VQN96" s="395"/>
      <c r="VQO96" s="395"/>
      <c r="VQP96" s="395"/>
      <c r="VQQ96" s="395"/>
      <c r="VQR96" s="395"/>
      <c r="VQS96" s="395"/>
      <c r="VQT96" s="395"/>
      <c r="VQU96" s="395"/>
      <c r="VQV96" s="396"/>
      <c r="VQW96" s="394"/>
      <c r="VQX96" s="395"/>
      <c r="VQY96" s="395"/>
      <c r="VQZ96" s="395"/>
      <c r="VRA96" s="395"/>
      <c r="VRB96" s="395"/>
      <c r="VRC96" s="395"/>
      <c r="VRD96" s="395"/>
      <c r="VRE96" s="395"/>
      <c r="VRF96" s="395"/>
      <c r="VRG96" s="395"/>
      <c r="VRH96" s="395"/>
      <c r="VRI96" s="395"/>
      <c r="VRJ96" s="395"/>
      <c r="VRK96" s="395"/>
      <c r="VRL96" s="395"/>
      <c r="VRM96" s="395"/>
      <c r="VRN96" s="395"/>
      <c r="VRO96" s="395"/>
      <c r="VRP96" s="395"/>
      <c r="VRQ96" s="395"/>
      <c r="VRR96" s="395"/>
      <c r="VRS96" s="395"/>
      <c r="VRT96" s="395"/>
      <c r="VRU96" s="395"/>
      <c r="VRV96" s="395"/>
      <c r="VRW96" s="396"/>
      <c r="VRX96" s="394"/>
      <c r="VRY96" s="395"/>
      <c r="VRZ96" s="395"/>
      <c r="VSA96" s="395"/>
      <c r="VSB96" s="395"/>
      <c r="VSC96" s="395"/>
      <c r="VSD96" s="395"/>
      <c r="VSE96" s="395"/>
      <c r="VSF96" s="395"/>
      <c r="VSG96" s="395"/>
      <c r="VSH96" s="395"/>
      <c r="VSI96" s="395"/>
      <c r="VSJ96" s="395"/>
      <c r="VSK96" s="395"/>
      <c r="VSL96" s="395"/>
      <c r="VSM96" s="395"/>
      <c r="VSN96" s="395"/>
      <c r="VSO96" s="395"/>
      <c r="VSP96" s="395"/>
      <c r="VSQ96" s="395"/>
      <c r="VSR96" s="395"/>
      <c r="VSS96" s="395"/>
      <c r="VST96" s="395"/>
      <c r="VSU96" s="395"/>
      <c r="VSV96" s="395"/>
      <c r="VSW96" s="395"/>
      <c r="VSX96" s="396"/>
      <c r="VSY96" s="394"/>
      <c r="VSZ96" s="395"/>
      <c r="VTA96" s="395"/>
      <c r="VTB96" s="395"/>
      <c r="VTC96" s="395"/>
      <c r="VTD96" s="395"/>
      <c r="VTE96" s="395"/>
      <c r="VTF96" s="395"/>
      <c r="VTG96" s="395"/>
      <c r="VTH96" s="395"/>
      <c r="VTI96" s="395"/>
      <c r="VTJ96" s="395"/>
      <c r="VTK96" s="395"/>
      <c r="VTL96" s="395"/>
      <c r="VTM96" s="395"/>
      <c r="VTN96" s="395"/>
      <c r="VTO96" s="395"/>
      <c r="VTP96" s="395"/>
      <c r="VTQ96" s="395"/>
      <c r="VTR96" s="395"/>
      <c r="VTS96" s="395"/>
      <c r="VTT96" s="395"/>
      <c r="VTU96" s="395"/>
      <c r="VTV96" s="395"/>
      <c r="VTW96" s="395"/>
      <c r="VTX96" s="395"/>
      <c r="VTY96" s="396"/>
      <c r="VTZ96" s="394"/>
      <c r="VUA96" s="395"/>
      <c r="VUB96" s="395"/>
      <c r="VUC96" s="395"/>
      <c r="VUD96" s="395"/>
      <c r="VUE96" s="395"/>
      <c r="VUF96" s="395"/>
      <c r="VUG96" s="395"/>
      <c r="VUH96" s="395"/>
      <c r="VUI96" s="395"/>
      <c r="VUJ96" s="395"/>
      <c r="VUK96" s="395"/>
      <c r="VUL96" s="395"/>
      <c r="VUM96" s="395"/>
      <c r="VUN96" s="395"/>
      <c r="VUO96" s="395"/>
      <c r="VUP96" s="395"/>
      <c r="VUQ96" s="395"/>
      <c r="VUR96" s="395"/>
      <c r="VUS96" s="395"/>
      <c r="VUT96" s="395"/>
      <c r="VUU96" s="395"/>
      <c r="VUV96" s="395"/>
      <c r="VUW96" s="395"/>
      <c r="VUX96" s="395"/>
      <c r="VUY96" s="395"/>
      <c r="VUZ96" s="396"/>
      <c r="VVA96" s="394"/>
      <c r="VVB96" s="395"/>
      <c r="VVC96" s="395"/>
      <c r="VVD96" s="395"/>
      <c r="VVE96" s="395"/>
      <c r="VVF96" s="395"/>
      <c r="VVG96" s="395"/>
      <c r="VVH96" s="395"/>
      <c r="VVI96" s="395"/>
      <c r="VVJ96" s="395"/>
      <c r="VVK96" s="395"/>
      <c r="VVL96" s="395"/>
      <c r="VVM96" s="395"/>
      <c r="VVN96" s="395"/>
      <c r="VVO96" s="395"/>
      <c r="VVP96" s="395"/>
      <c r="VVQ96" s="395"/>
      <c r="VVR96" s="395"/>
      <c r="VVS96" s="395"/>
      <c r="VVT96" s="395"/>
      <c r="VVU96" s="395"/>
      <c r="VVV96" s="395"/>
      <c r="VVW96" s="395"/>
      <c r="VVX96" s="395"/>
      <c r="VVY96" s="395"/>
      <c r="VVZ96" s="395"/>
      <c r="VWA96" s="396"/>
      <c r="VWB96" s="394"/>
      <c r="VWC96" s="395"/>
      <c r="VWD96" s="395"/>
      <c r="VWE96" s="395"/>
      <c r="VWF96" s="395"/>
      <c r="VWG96" s="395"/>
      <c r="VWH96" s="395"/>
      <c r="VWI96" s="395"/>
      <c r="VWJ96" s="395"/>
      <c r="VWK96" s="395"/>
      <c r="VWL96" s="395"/>
      <c r="VWM96" s="395"/>
      <c r="VWN96" s="395"/>
      <c r="VWO96" s="395"/>
      <c r="VWP96" s="395"/>
      <c r="VWQ96" s="395"/>
      <c r="VWR96" s="395"/>
      <c r="VWS96" s="395"/>
      <c r="VWT96" s="395"/>
      <c r="VWU96" s="395"/>
      <c r="VWV96" s="395"/>
      <c r="VWW96" s="395"/>
      <c r="VWX96" s="395"/>
      <c r="VWY96" s="395"/>
      <c r="VWZ96" s="395"/>
      <c r="VXA96" s="395"/>
      <c r="VXB96" s="396"/>
      <c r="VXC96" s="394"/>
      <c r="VXD96" s="395"/>
      <c r="VXE96" s="395"/>
      <c r="VXF96" s="395"/>
      <c r="VXG96" s="395"/>
      <c r="VXH96" s="395"/>
      <c r="VXI96" s="395"/>
      <c r="VXJ96" s="395"/>
      <c r="VXK96" s="395"/>
      <c r="VXL96" s="395"/>
      <c r="VXM96" s="395"/>
      <c r="VXN96" s="395"/>
      <c r="VXO96" s="395"/>
      <c r="VXP96" s="395"/>
      <c r="VXQ96" s="395"/>
      <c r="VXR96" s="395"/>
      <c r="VXS96" s="395"/>
      <c r="VXT96" s="395"/>
      <c r="VXU96" s="395"/>
      <c r="VXV96" s="395"/>
      <c r="VXW96" s="395"/>
      <c r="VXX96" s="395"/>
      <c r="VXY96" s="395"/>
      <c r="VXZ96" s="395"/>
      <c r="VYA96" s="395"/>
      <c r="VYB96" s="395"/>
      <c r="VYC96" s="396"/>
      <c r="VYD96" s="394"/>
      <c r="VYE96" s="395"/>
      <c r="VYF96" s="395"/>
      <c r="VYG96" s="395"/>
      <c r="VYH96" s="395"/>
      <c r="VYI96" s="395"/>
      <c r="VYJ96" s="395"/>
      <c r="VYK96" s="395"/>
      <c r="VYL96" s="395"/>
      <c r="VYM96" s="395"/>
      <c r="VYN96" s="395"/>
      <c r="VYO96" s="395"/>
      <c r="VYP96" s="395"/>
      <c r="VYQ96" s="395"/>
      <c r="VYR96" s="395"/>
      <c r="VYS96" s="395"/>
      <c r="VYT96" s="395"/>
      <c r="VYU96" s="395"/>
      <c r="VYV96" s="395"/>
      <c r="VYW96" s="395"/>
      <c r="VYX96" s="395"/>
      <c r="VYY96" s="395"/>
      <c r="VYZ96" s="395"/>
      <c r="VZA96" s="395"/>
      <c r="VZB96" s="395"/>
      <c r="VZC96" s="395"/>
      <c r="VZD96" s="396"/>
      <c r="VZE96" s="394"/>
      <c r="VZF96" s="395"/>
      <c r="VZG96" s="395"/>
      <c r="VZH96" s="395"/>
      <c r="VZI96" s="395"/>
      <c r="VZJ96" s="395"/>
      <c r="VZK96" s="395"/>
      <c r="VZL96" s="395"/>
      <c r="VZM96" s="395"/>
      <c r="VZN96" s="395"/>
      <c r="VZO96" s="395"/>
      <c r="VZP96" s="395"/>
      <c r="VZQ96" s="395"/>
      <c r="VZR96" s="395"/>
      <c r="VZS96" s="395"/>
      <c r="VZT96" s="395"/>
      <c r="VZU96" s="395"/>
      <c r="VZV96" s="395"/>
      <c r="VZW96" s="395"/>
      <c r="VZX96" s="395"/>
      <c r="VZY96" s="395"/>
      <c r="VZZ96" s="395"/>
      <c r="WAA96" s="395"/>
      <c r="WAB96" s="395"/>
      <c r="WAC96" s="395"/>
      <c r="WAD96" s="395"/>
      <c r="WAE96" s="396"/>
      <c r="WAF96" s="394"/>
      <c r="WAG96" s="395"/>
      <c r="WAH96" s="395"/>
      <c r="WAI96" s="395"/>
      <c r="WAJ96" s="395"/>
      <c r="WAK96" s="395"/>
      <c r="WAL96" s="395"/>
      <c r="WAM96" s="395"/>
      <c r="WAN96" s="395"/>
      <c r="WAO96" s="395"/>
      <c r="WAP96" s="395"/>
      <c r="WAQ96" s="395"/>
      <c r="WAR96" s="395"/>
      <c r="WAS96" s="395"/>
      <c r="WAT96" s="395"/>
      <c r="WAU96" s="395"/>
      <c r="WAV96" s="395"/>
      <c r="WAW96" s="395"/>
      <c r="WAX96" s="395"/>
      <c r="WAY96" s="395"/>
      <c r="WAZ96" s="395"/>
      <c r="WBA96" s="395"/>
      <c r="WBB96" s="395"/>
      <c r="WBC96" s="395"/>
      <c r="WBD96" s="395"/>
      <c r="WBE96" s="395"/>
      <c r="WBF96" s="396"/>
      <c r="WBG96" s="394"/>
      <c r="WBH96" s="395"/>
      <c r="WBI96" s="395"/>
      <c r="WBJ96" s="395"/>
      <c r="WBK96" s="395"/>
      <c r="WBL96" s="395"/>
      <c r="WBM96" s="395"/>
      <c r="WBN96" s="395"/>
      <c r="WBO96" s="395"/>
      <c r="WBP96" s="395"/>
      <c r="WBQ96" s="395"/>
      <c r="WBR96" s="395"/>
      <c r="WBS96" s="395"/>
      <c r="WBT96" s="395"/>
      <c r="WBU96" s="395"/>
      <c r="WBV96" s="395"/>
      <c r="WBW96" s="395"/>
      <c r="WBX96" s="395"/>
      <c r="WBY96" s="395"/>
      <c r="WBZ96" s="395"/>
      <c r="WCA96" s="395"/>
      <c r="WCB96" s="395"/>
      <c r="WCC96" s="395"/>
      <c r="WCD96" s="395"/>
      <c r="WCE96" s="395"/>
      <c r="WCF96" s="395"/>
      <c r="WCG96" s="396"/>
      <c r="WCH96" s="394"/>
      <c r="WCI96" s="395"/>
      <c r="WCJ96" s="395"/>
      <c r="WCK96" s="395"/>
      <c r="WCL96" s="395"/>
      <c r="WCM96" s="395"/>
      <c r="WCN96" s="395"/>
      <c r="WCO96" s="395"/>
      <c r="WCP96" s="395"/>
      <c r="WCQ96" s="395"/>
      <c r="WCR96" s="395"/>
      <c r="WCS96" s="395"/>
      <c r="WCT96" s="395"/>
      <c r="WCU96" s="395"/>
      <c r="WCV96" s="395"/>
      <c r="WCW96" s="395"/>
      <c r="WCX96" s="395"/>
      <c r="WCY96" s="395"/>
      <c r="WCZ96" s="395"/>
      <c r="WDA96" s="395"/>
      <c r="WDB96" s="395"/>
      <c r="WDC96" s="395"/>
      <c r="WDD96" s="395"/>
      <c r="WDE96" s="395"/>
      <c r="WDF96" s="395"/>
      <c r="WDG96" s="395"/>
      <c r="WDH96" s="396"/>
      <c r="WDI96" s="394"/>
      <c r="WDJ96" s="395"/>
      <c r="WDK96" s="395"/>
      <c r="WDL96" s="395"/>
      <c r="WDM96" s="395"/>
      <c r="WDN96" s="395"/>
      <c r="WDO96" s="395"/>
      <c r="WDP96" s="395"/>
      <c r="WDQ96" s="395"/>
      <c r="WDR96" s="395"/>
      <c r="WDS96" s="395"/>
      <c r="WDT96" s="395"/>
      <c r="WDU96" s="395"/>
      <c r="WDV96" s="395"/>
      <c r="WDW96" s="395"/>
      <c r="WDX96" s="395"/>
      <c r="WDY96" s="395"/>
      <c r="WDZ96" s="395"/>
      <c r="WEA96" s="395"/>
      <c r="WEB96" s="395"/>
      <c r="WEC96" s="395"/>
      <c r="WED96" s="395"/>
      <c r="WEE96" s="395"/>
      <c r="WEF96" s="395"/>
      <c r="WEG96" s="395"/>
      <c r="WEH96" s="395"/>
      <c r="WEI96" s="396"/>
      <c r="WEJ96" s="394"/>
      <c r="WEK96" s="395"/>
      <c r="WEL96" s="395"/>
      <c r="WEM96" s="395"/>
      <c r="WEN96" s="395"/>
      <c r="WEO96" s="395"/>
      <c r="WEP96" s="395"/>
      <c r="WEQ96" s="395"/>
      <c r="WER96" s="395"/>
      <c r="WES96" s="395"/>
      <c r="WET96" s="395"/>
      <c r="WEU96" s="395"/>
      <c r="WEV96" s="395"/>
      <c r="WEW96" s="395"/>
      <c r="WEX96" s="395"/>
      <c r="WEY96" s="395"/>
      <c r="WEZ96" s="395"/>
      <c r="WFA96" s="395"/>
      <c r="WFB96" s="395"/>
      <c r="WFC96" s="395"/>
      <c r="WFD96" s="395"/>
      <c r="WFE96" s="395"/>
      <c r="WFF96" s="395"/>
      <c r="WFG96" s="395"/>
      <c r="WFH96" s="395"/>
      <c r="WFI96" s="395"/>
      <c r="WFJ96" s="396"/>
      <c r="WFK96" s="394"/>
      <c r="WFL96" s="395"/>
      <c r="WFM96" s="395"/>
      <c r="WFN96" s="395"/>
      <c r="WFO96" s="395"/>
      <c r="WFP96" s="395"/>
      <c r="WFQ96" s="395"/>
      <c r="WFR96" s="395"/>
      <c r="WFS96" s="395"/>
      <c r="WFT96" s="395"/>
      <c r="WFU96" s="395"/>
      <c r="WFV96" s="395"/>
      <c r="WFW96" s="395"/>
      <c r="WFX96" s="395"/>
      <c r="WFY96" s="395"/>
      <c r="WFZ96" s="395"/>
      <c r="WGA96" s="395"/>
      <c r="WGB96" s="395"/>
      <c r="WGC96" s="395"/>
      <c r="WGD96" s="395"/>
      <c r="WGE96" s="395"/>
      <c r="WGF96" s="395"/>
      <c r="WGG96" s="395"/>
      <c r="WGH96" s="395"/>
      <c r="WGI96" s="395"/>
      <c r="WGJ96" s="395"/>
      <c r="WGK96" s="396"/>
      <c r="WGL96" s="394"/>
      <c r="WGM96" s="395"/>
      <c r="WGN96" s="395"/>
      <c r="WGO96" s="395"/>
      <c r="WGP96" s="395"/>
      <c r="WGQ96" s="395"/>
      <c r="WGR96" s="395"/>
      <c r="WGS96" s="395"/>
      <c r="WGT96" s="395"/>
      <c r="WGU96" s="395"/>
      <c r="WGV96" s="395"/>
      <c r="WGW96" s="395"/>
      <c r="WGX96" s="395"/>
      <c r="WGY96" s="395"/>
      <c r="WGZ96" s="395"/>
      <c r="WHA96" s="395"/>
      <c r="WHB96" s="395"/>
      <c r="WHC96" s="395"/>
      <c r="WHD96" s="395"/>
      <c r="WHE96" s="395"/>
      <c r="WHF96" s="395"/>
      <c r="WHG96" s="395"/>
      <c r="WHH96" s="395"/>
      <c r="WHI96" s="395"/>
      <c r="WHJ96" s="395"/>
      <c r="WHK96" s="395"/>
      <c r="WHL96" s="396"/>
      <c r="WHM96" s="394"/>
      <c r="WHN96" s="395"/>
      <c r="WHO96" s="395"/>
      <c r="WHP96" s="395"/>
      <c r="WHQ96" s="395"/>
      <c r="WHR96" s="395"/>
      <c r="WHS96" s="395"/>
      <c r="WHT96" s="395"/>
      <c r="WHU96" s="395"/>
      <c r="WHV96" s="395"/>
      <c r="WHW96" s="395"/>
      <c r="WHX96" s="395"/>
      <c r="WHY96" s="395"/>
      <c r="WHZ96" s="395"/>
      <c r="WIA96" s="395"/>
      <c r="WIB96" s="395"/>
      <c r="WIC96" s="395"/>
      <c r="WID96" s="395"/>
      <c r="WIE96" s="395"/>
      <c r="WIF96" s="395"/>
      <c r="WIG96" s="395"/>
      <c r="WIH96" s="395"/>
      <c r="WII96" s="395"/>
      <c r="WIJ96" s="395"/>
      <c r="WIK96" s="395"/>
      <c r="WIL96" s="395"/>
      <c r="WIM96" s="396"/>
      <c r="WIN96" s="394"/>
      <c r="WIO96" s="395"/>
      <c r="WIP96" s="395"/>
      <c r="WIQ96" s="395"/>
      <c r="WIR96" s="395"/>
      <c r="WIS96" s="395"/>
      <c r="WIT96" s="395"/>
      <c r="WIU96" s="395"/>
      <c r="WIV96" s="395"/>
      <c r="WIW96" s="395"/>
      <c r="WIX96" s="395"/>
      <c r="WIY96" s="395"/>
      <c r="WIZ96" s="395"/>
      <c r="WJA96" s="395"/>
      <c r="WJB96" s="395"/>
      <c r="WJC96" s="395"/>
      <c r="WJD96" s="395"/>
      <c r="WJE96" s="395"/>
      <c r="WJF96" s="395"/>
      <c r="WJG96" s="395"/>
      <c r="WJH96" s="395"/>
      <c r="WJI96" s="395"/>
      <c r="WJJ96" s="395"/>
      <c r="WJK96" s="395"/>
      <c r="WJL96" s="395"/>
      <c r="WJM96" s="395"/>
      <c r="WJN96" s="396"/>
      <c r="WJO96" s="394"/>
      <c r="WJP96" s="395"/>
      <c r="WJQ96" s="395"/>
      <c r="WJR96" s="395"/>
      <c r="WJS96" s="395"/>
      <c r="WJT96" s="395"/>
      <c r="WJU96" s="395"/>
      <c r="WJV96" s="395"/>
      <c r="WJW96" s="395"/>
      <c r="WJX96" s="395"/>
      <c r="WJY96" s="395"/>
      <c r="WJZ96" s="395"/>
      <c r="WKA96" s="395"/>
      <c r="WKB96" s="395"/>
      <c r="WKC96" s="395"/>
      <c r="WKD96" s="395"/>
      <c r="WKE96" s="395"/>
      <c r="WKF96" s="395"/>
      <c r="WKG96" s="395"/>
      <c r="WKH96" s="395"/>
      <c r="WKI96" s="395"/>
      <c r="WKJ96" s="395"/>
      <c r="WKK96" s="395"/>
      <c r="WKL96" s="395"/>
      <c r="WKM96" s="395"/>
      <c r="WKN96" s="395"/>
      <c r="WKO96" s="396"/>
      <c r="WKP96" s="394"/>
      <c r="WKQ96" s="395"/>
      <c r="WKR96" s="395"/>
      <c r="WKS96" s="395"/>
      <c r="WKT96" s="395"/>
      <c r="WKU96" s="395"/>
      <c r="WKV96" s="395"/>
      <c r="WKW96" s="395"/>
      <c r="WKX96" s="395"/>
      <c r="WKY96" s="395"/>
      <c r="WKZ96" s="395"/>
      <c r="WLA96" s="395"/>
      <c r="WLB96" s="395"/>
      <c r="WLC96" s="395"/>
      <c r="WLD96" s="395"/>
      <c r="WLE96" s="395"/>
      <c r="WLF96" s="395"/>
      <c r="WLG96" s="395"/>
      <c r="WLH96" s="395"/>
      <c r="WLI96" s="395"/>
      <c r="WLJ96" s="395"/>
      <c r="WLK96" s="395"/>
      <c r="WLL96" s="395"/>
      <c r="WLM96" s="395"/>
      <c r="WLN96" s="395"/>
      <c r="WLO96" s="395"/>
      <c r="WLP96" s="396"/>
      <c r="WLQ96" s="394"/>
      <c r="WLR96" s="395"/>
      <c r="WLS96" s="395"/>
      <c r="WLT96" s="395"/>
      <c r="WLU96" s="395"/>
      <c r="WLV96" s="395"/>
      <c r="WLW96" s="395"/>
      <c r="WLX96" s="395"/>
      <c r="WLY96" s="395"/>
      <c r="WLZ96" s="395"/>
      <c r="WMA96" s="395"/>
      <c r="WMB96" s="395"/>
      <c r="WMC96" s="395"/>
      <c r="WMD96" s="395"/>
      <c r="WME96" s="395"/>
      <c r="WMF96" s="395"/>
      <c r="WMG96" s="395"/>
      <c r="WMH96" s="395"/>
      <c r="WMI96" s="395"/>
      <c r="WMJ96" s="395"/>
      <c r="WMK96" s="395"/>
      <c r="WML96" s="395"/>
      <c r="WMM96" s="395"/>
      <c r="WMN96" s="395"/>
      <c r="WMO96" s="395"/>
      <c r="WMP96" s="395"/>
      <c r="WMQ96" s="396"/>
      <c r="WMR96" s="394"/>
      <c r="WMS96" s="395"/>
      <c r="WMT96" s="395"/>
      <c r="WMU96" s="395"/>
      <c r="WMV96" s="395"/>
      <c r="WMW96" s="395"/>
      <c r="WMX96" s="395"/>
      <c r="WMY96" s="395"/>
      <c r="WMZ96" s="395"/>
      <c r="WNA96" s="395"/>
      <c r="WNB96" s="395"/>
      <c r="WNC96" s="395"/>
      <c r="WND96" s="395"/>
      <c r="WNE96" s="395"/>
      <c r="WNF96" s="395"/>
      <c r="WNG96" s="395"/>
      <c r="WNH96" s="395"/>
      <c r="WNI96" s="395"/>
      <c r="WNJ96" s="395"/>
      <c r="WNK96" s="395"/>
      <c r="WNL96" s="395"/>
      <c r="WNM96" s="395"/>
      <c r="WNN96" s="395"/>
      <c r="WNO96" s="395"/>
      <c r="WNP96" s="395"/>
      <c r="WNQ96" s="395"/>
      <c r="WNR96" s="396"/>
      <c r="WNS96" s="394"/>
      <c r="WNT96" s="395"/>
      <c r="WNU96" s="395"/>
      <c r="WNV96" s="395"/>
      <c r="WNW96" s="395"/>
      <c r="WNX96" s="395"/>
      <c r="WNY96" s="395"/>
      <c r="WNZ96" s="395"/>
      <c r="WOA96" s="395"/>
      <c r="WOB96" s="395"/>
      <c r="WOC96" s="395"/>
      <c r="WOD96" s="395"/>
      <c r="WOE96" s="395"/>
      <c r="WOF96" s="395"/>
      <c r="WOG96" s="395"/>
      <c r="WOH96" s="395"/>
      <c r="WOI96" s="395"/>
      <c r="WOJ96" s="395"/>
      <c r="WOK96" s="395"/>
      <c r="WOL96" s="395"/>
      <c r="WOM96" s="395"/>
      <c r="WON96" s="395"/>
      <c r="WOO96" s="395"/>
      <c r="WOP96" s="395"/>
      <c r="WOQ96" s="395"/>
      <c r="WOR96" s="395"/>
      <c r="WOS96" s="396"/>
      <c r="WOT96" s="394"/>
      <c r="WOU96" s="395"/>
      <c r="WOV96" s="395"/>
      <c r="WOW96" s="395"/>
      <c r="WOX96" s="395"/>
      <c r="WOY96" s="395"/>
      <c r="WOZ96" s="395"/>
      <c r="WPA96" s="395"/>
      <c r="WPB96" s="395"/>
      <c r="WPC96" s="395"/>
      <c r="WPD96" s="395"/>
      <c r="WPE96" s="395"/>
      <c r="WPF96" s="395"/>
      <c r="WPG96" s="395"/>
      <c r="WPH96" s="395"/>
      <c r="WPI96" s="395"/>
      <c r="WPJ96" s="395"/>
      <c r="WPK96" s="395"/>
      <c r="WPL96" s="395"/>
      <c r="WPM96" s="395"/>
      <c r="WPN96" s="395"/>
      <c r="WPO96" s="395"/>
      <c r="WPP96" s="395"/>
      <c r="WPQ96" s="395"/>
      <c r="WPR96" s="395"/>
      <c r="WPS96" s="395"/>
      <c r="WPT96" s="396"/>
      <c r="WPU96" s="394"/>
      <c r="WPV96" s="395"/>
      <c r="WPW96" s="395"/>
      <c r="WPX96" s="395"/>
      <c r="WPY96" s="395"/>
      <c r="WPZ96" s="395"/>
      <c r="WQA96" s="395"/>
      <c r="WQB96" s="395"/>
      <c r="WQC96" s="395"/>
      <c r="WQD96" s="395"/>
      <c r="WQE96" s="395"/>
      <c r="WQF96" s="395"/>
      <c r="WQG96" s="395"/>
      <c r="WQH96" s="395"/>
      <c r="WQI96" s="395"/>
      <c r="WQJ96" s="395"/>
      <c r="WQK96" s="395"/>
      <c r="WQL96" s="395"/>
      <c r="WQM96" s="395"/>
      <c r="WQN96" s="395"/>
      <c r="WQO96" s="395"/>
      <c r="WQP96" s="395"/>
      <c r="WQQ96" s="395"/>
      <c r="WQR96" s="395"/>
      <c r="WQS96" s="395"/>
      <c r="WQT96" s="395"/>
      <c r="WQU96" s="396"/>
      <c r="WQV96" s="394"/>
      <c r="WQW96" s="395"/>
      <c r="WQX96" s="395"/>
      <c r="WQY96" s="395"/>
      <c r="WQZ96" s="395"/>
      <c r="WRA96" s="395"/>
      <c r="WRB96" s="395"/>
      <c r="WRC96" s="395"/>
      <c r="WRD96" s="395"/>
      <c r="WRE96" s="395"/>
      <c r="WRF96" s="395"/>
      <c r="WRG96" s="395"/>
      <c r="WRH96" s="395"/>
      <c r="WRI96" s="395"/>
      <c r="WRJ96" s="395"/>
      <c r="WRK96" s="395"/>
      <c r="WRL96" s="395"/>
      <c r="WRM96" s="395"/>
      <c r="WRN96" s="395"/>
      <c r="WRO96" s="395"/>
      <c r="WRP96" s="395"/>
      <c r="WRQ96" s="395"/>
      <c r="WRR96" s="395"/>
      <c r="WRS96" s="395"/>
      <c r="WRT96" s="395"/>
      <c r="WRU96" s="395"/>
      <c r="WRV96" s="396"/>
      <c r="WRW96" s="394"/>
      <c r="WRX96" s="395"/>
      <c r="WRY96" s="395"/>
      <c r="WRZ96" s="395"/>
      <c r="WSA96" s="395"/>
      <c r="WSB96" s="395"/>
      <c r="WSC96" s="395"/>
      <c r="WSD96" s="395"/>
      <c r="WSE96" s="395"/>
      <c r="WSF96" s="395"/>
      <c r="WSG96" s="395"/>
      <c r="WSH96" s="395"/>
      <c r="WSI96" s="395"/>
      <c r="WSJ96" s="395"/>
      <c r="WSK96" s="395"/>
      <c r="WSL96" s="395"/>
      <c r="WSM96" s="395"/>
      <c r="WSN96" s="395"/>
      <c r="WSO96" s="395"/>
      <c r="WSP96" s="395"/>
      <c r="WSQ96" s="395"/>
      <c r="WSR96" s="395"/>
      <c r="WSS96" s="395"/>
      <c r="WST96" s="395"/>
      <c r="WSU96" s="395"/>
      <c r="WSV96" s="395"/>
      <c r="WSW96" s="396"/>
      <c r="WSX96" s="394"/>
      <c r="WSY96" s="395"/>
      <c r="WSZ96" s="395"/>
      <c r="WTA96" s="395"/>
      <c r="WTB96" s="395"/>
      <c r="WTC96" s="395"/>
      <c r="WTD96" s="395"/>
      <c r="WTE96" s="395"/>
      <c r="WTF96" s="395"/>
      <c r="WTG96" s="395"/>
      <c r="WTH96" s="395"/>
      <c r="WTI96" s="395"/>
      <c r="WTJ96" s="395"/>
      <c r="WTK96" s="395"/>
      <c r="WTL96" s="395"/>
      <c r="WTM96" s="395"/>
      <c r="WTN96" s="395"/>
      <c r="WTO96" s="395"/>
      <c r="WTP96" s="395"/>
      <c r="WTQ96" s="395"/>
      <c r="WTR96" s="395"/>
      <c r="WTS96" s="395"/>
      <c r="WTT96" s="395"/>
      <c r="WTU96" s="395"/>
      <c r="WTV96" s="395"/>
      <c r="WTW96" s="395"/>
      <c r="WTX96" s="396"/>
      <c r="WTY96" s="394"/>
      <c r="WTZ96" s="395"/>
      <c r="WUA96" s="395"/>
      <c r="WUB96" s="395"/>
      <c r="WUC96" s="395"/>
      <c r="WUD96" s="395"/>
      <c r="WUE96" s="395"/>
      <c r="WUF96" s="395"/>
      <c r="WUG96" s="395"/>
      <c r="WUH96" s="395"/>
      <c r="WUI96" s="395"/>
      <c r="WUJ96" s="395"/>
      <c r="WUK96" s="395"/>
      <c r="WUL96" s="395"/>
      <c r="WUM96" s="395"/>
      <c r="WUN96" s="395"/>
      <c r="WUO96" s="395"/>
      <c r="WUP96" s="395"/>
      <c r="WUQ96" s="395"/>
      <c r="WUR96" s="395"/>
      <c r="WUS96" s="395"/>
      <c r="WUT96" s="395"/>
      <c r="WUU96" s="395"/>
      <c r="WUV96" s="395"/>
      <c r="WUW96" s="395"/>
      <c r="WUX96" s="395"/>
      <c r="WUY96" s="396"/>
      <c r="WUZ96" s="394"/>
      <c r="WVA96" s="395"/>
      <c r="WVB96" s="395"/>
      <c r="WVC96" s="395"/>
      <c r="WVD96" s="395"/>
      <c r="WVE96" s="395"/>
      <c r="WVF96" s="395"/>
      <c r="WVG96" s="395"/>
      <c r="WVH96" s="395"/>
      <c r="WVI96" s="395"/>
      <c r="WVJ96" s="395"/>
      <c r="WVK96" s="395"/>
      <c r="WVL96" s="395"/>
      <c r="WVM96" s="395"/>
      <c r="WVN96" s="395"/>
      <c r="WVO96" s="395"/>
      <c r="WVP96" s="395"/>
      <c r="WVQ96" s="395"/>
      <c r="WVR96" s="395"/>
      <c r="WVS96" s="395"/>
      <c r="WVT96" s="395"/>
      <c r="WVU96" s="395"/>
      <c r="WVV96" s="395"/>
      <c r="WVW96" s="395"/>
      <c r="WVX96" s="395"/>
      <c r="WVY96" s="395"/>
      <c r="WVZ96" s="396"/>
      <c r="WWA96" s="394"/>
      <c r="WWB96" s="395"/>
      <c r="WWC96" s="395"/>
      <c r="WWD96" s="395"/>
      <c r="WWE96" s="395"/>
      <c r="WWF96" s="395"/>
      <c r="WWG96" s="395"/>
      <c r="WWH96" s="395"/>
      <c r="WWI96" s="395"/>
      <c r="WWJ96" s="395"/>
      <c r="WWK96" s="395"/>
      <c r="WWL96" s="395"/>
      <c r="WWM96" s="395"/>
      <c r="WWN96" s="395"/>
      <c r="WWO96" s="395"/>
      <c r="WWP96" s="395"/>
      <c r="WWQ96" s="395"/>
      <c r="WWR96" s="395"/>
      <c r="WWS96" s="395"/>
      <c r="WWT96" s="395"/>
      <c r="WWU96" s="395"/>
      <c r="WWV96" s="395"/>
      <c r="WWW96" s="395"/>
      <c r="WWX96" s="395"/>
      <c r="WWY96" s="395"/>
      <c r="WWZ96" s="395"/>
      <c r="WXA96" s="396"/>
      <c r="WXB96" s="394"/>
      <c r="WXC96" s="395"/>
      <c r="WXD96" s="395"/>
      <c r="WXE96" s="395"/>
      <c r="WXF96" s="395"/>
      <c r="WXG96" s="395"/>
      <c r="WXH96" s="395"/>
      <c r="WXI96" s="395"/>
      <c r="WXJ96" s="395"/>
      <c r="WXK96" s="395"/>
      <c r="WXL96" s="395"/>
      <c r="WXM96" s="395"/>
      <c r="WXN96" s="395"/>
      <c r="WXO96" s="395"/>
      <c r="WXP96" s="395"/>
      <c r="WXQ96" s="395"/>
      <c r="WXR96" s="395"/>
      <c r="WXS96" s="395"/>
      <c r="WXT96" s="395"/>
      <c r="WXU96" s="395"/>
      <c r="WXV96" s="395"/>
      <c r="WXW96" s="395"/>
      <c r="WXX96" s="395"/>
      <c r="WXY96" s="395"/>
      <c r="WXZ96" s="395"/>
      <c r="WYA96" s="395"/>
      <c r="WYB96" s="396"/>
      <c r="WYC96" s="394"/>
      <c r="WYD96" s="395"/>
      <c r="WYE96" s="395"/>
      <c r="WYF96" s="395"/>
      <c r="WYG96" s="395"/>
      <c r="WYH96" s="395"/>
      <c r="WYI96" s="395"/>
      <c r="WYJ96" s="395"/>
      <c r="WYK96" s="395"/>
      <c r="WYL96" s="395"/>
      <c r="WYM96" s="395"/>
      <c r="WYN96" s="395"/>
      <c r="WYO96" s="395"/>
      <c r="WYP96" s="395"/>
      <c r="WYQ96" s="395"/>
      <c r="WYR96" s="395"/>
      <c r="WYS96" s="395"/>
      <c r="WYT96" s="395"/>
      <c r="WYU96" s="395"/>
      <c r="WYV96" s="395"/>
      <c r="WYW96" s="395"/>
      <c r="WYX96" s="395"/>
      <c r="WYY96" s="395"/>
      <c r="WYZ96" s="395"/>
      <c r="WZA96" s="395"/>
      <c r="WZB96" s="395"/>
      <c r="WZC96" s="396"/>
      <c r="WZD96" s="394"/>
      <c r="WZE96" s="395"/>
      <c r="WZF96" s="395"/>
      <c r="WZG96" s="395"/>
      <c r="WZH96" s="395"/>
      <c r="WZI96" s="395"/>
      <c r="WZJ96" s="395"/>
      <c r="WZK96" s="395"/>
      <c r="WZL96" s="395"/>
      <c r="WZM96" s="395"/>
      <c r="WZN96" s="395"/>
      <c r="WZO96" s="395"/>
      <c r="WZP96" s="395"/>
      <c r="WZQ96" s="395"/>
      <c r="WZR96" s="395"/>
      <c r="WZS96" s="395"/>
      <c r="WZT96" s="395"/>
      <c r="WZU96" s="395"/>
      <c r="WZV96" s="395"/>
      <c r="WZW96" s="395"/>
      <c r="WZX96" s="395"/>
      <c r="WZY96" s="395"/>
      <c r="WZZ96" s="395"/>
      <c r="XAA96" s="395"/>
      <c r="XAB96" s="395"/>
      <c r="XAC96" s="395"/>
      <c r="XAD96" s="396"/>
      <c r="XAE96" s="394"/>
      <c r="XAF96" s="395"/>
      <c r="XAG96" s="395"/>
      <c r="XAH96" s="395"/>
      <c r="XAI96" s="395"/>
      <c r="XAJ96" s="395"/>
      <c r="XAK96" s="395"/>
      <c r="XAL96" s="395"/>
      <c r="XAM96" s="395"/>
      <c r="XAN96" s="395"/>
      <c r="XAO96" s="395"/>
      <c r="XAP96" s="395"/>
      <c r="XAQ96" s="395"/>
      <c r="XAR96" s="395"/>
      <c r="XAS96" s="395"/>
      <c r="XAT96" s="395"/>
      <c r="XAU96" s="395"/>
      <c r="XAV96" s="395"/>
      <c r="XAW96" s="395"/>
      <c r="XAX96" s="395"/>
      <c r="XAY96" s="395"/>
      <c r="XAZ96" s="395"/>
      <c r="XBA96" s="395"/>
      <c r="XBB96" s="395"/>
      <c r="XBC96" s="395"/>
      <c r="XBD96" s="395"/>
      <c r="XBE96" s="396"/>
      <c r="XBF96" s="394"/>
      <c r="XBG96" s="395"/>
      <c r="XBH96" s="395"/>
      <c r="XBI96" s="395"/>
      <c r="XBJ96" s="395"/>
      <c r="XBK96" s="395"/>
      <c r="XBL96" s="395"/>
      <c r="XBM96" s="395"/>
      <c r="XBN96" s="395"/>
      <c r="XBO96" s="395"/>
      <c r="XBP96" s="395"/>
      <c r="XBQ96" s="395"/>
      <c r="XBR96" s="395"/>
      <c r="XBS96" s="395"/>
      <c r="XBT96" s="395"/>
      <c r="XBU96" s="395"/>
      <c r="XBV96" s="395"/>
      <c r="XBW96" s="395"/>
      <c r="XBX96" s="395"/>
      <c r="XBY96" s="395"/>
      <c r="XBZ96" s="395"/>
      <c r="XCA96" s="395"/>
      <c r="XCB96" s="395"/>
      <c r="XCC96" s="395"/>
      <c r="XCD96" s="395"/>
      <c r="XCE96" s="395"/>
      <c r="XCF96" s="396"/>
      <c r="XCG96" s="394"/>
      <c r="XCH96" s="395"/>
      <c r="XCI96" s="395"/>
      <c r="XCJ96" s="395"/>
      <c r="XCK96" s="395"/>
      <c r="XCL96" s="395"/>
      <c r="XCM96" s="395"/>
      <c r="XCN96" s="395"/>
      <c r="XCO96" s="395"/>
      <c r="XCP96" s="395"/>
      <c r="XCQ96" s="395"/>
      <c r="XCR96" s="395"/>
      <c r="XCS96" s="395"/>
      <c r="XCT96" s="395"/>
      <c r="XCU96" s="395"/>
      <c r="XCV96" s="395"/>
      <c r="XCW96" s="395"/>
      <c r="XCX96" s="395"/>
      <c r="XCY96" s="395"/>
      <c r="XCZ96" s="395"/>
      <c r="XDA96" s="395"/>
      <c r="XDB96" s="395"/>
      <c r="XDC96" s="395"/>
      <c r="XDD96" s="395"/>
      <c r="XDE96" s="395"/>
      <c r="XDF96" s="395"/>
      <c r="XDG96" s="396"/>
      <c r="XDH96" s="394"/>
      <c r="XDI96" s="395"/>
      <c r="XDJ96" s="395"/>
      <c r="XDK96" s="395"/>
      <c r="XDL96" s="395"/>
      <c r="XDM96" s="395"/>
      <c r="XDN96" s="395"/>
      <c r="XDO96" s="395"/>
      <c r="XDP96" s="395"/>
      <c r="XDQ96" s="395"/>
      <c r="XDR96" s="395"/>
      <c r="XDS96" s="395"/>
      <c r="XDT96" s="395"/>
      <c r="XDU96" s="395"/>
      <c r="XDV96" s="395"/>
      <c r="XDW96" s="395"/>
      <c r="XDX96" s="395"/>
      <c r="XDY96" s="395"/>
      <c r="XDZ96" s="395"/>
      <c r="XEA96" s="395"/>
      <c r="XEB96" s="395"/>
      <c r="XEC96" s="395"/>
      <c r="XED96" s="395"/>
      <c r="XEE96" s="395"/>
      <c r="XEF96" s="395"/>
      <c r="XEG96" s="395"/>
      <c r="XEH96" s="396"/>
      <c r="XEI96" s="394"/>
      <c r="XEJ96" s="394"/>
      <c r="XEK96" s="394"/>
      <c r="XEL96" s="394"/>
      <c r="XEM96" s="394"/>
      <c r="XEN96" s="394"/>
      <c r="XEO96" s="394"/>
      <c r="XEP96" s="394"/>
      <c r="XEQ96" s="394"/>
      <c r="XER96" s="394"/>
      <c r="XES96" s="394"/>
      <c r="XET96" s="394"/>
      <c r="XEU96" s="394"/>
      <c r="XEV96" s="394"/>
      <c r="XEW96" s="394"/>
      <c r="XEX96" s="394"/>
      <c r="XEY96" s="394"/>
      <c r="XEZ96" s="394"/>
      <c r="XFA96" s="394"/>
      <c r="XFB96" s="394"/>
      <c r="XFC96" s="394"/>
      <c r="XFD96" s="394"/>
    </row>
    <row r="97" spans="1:16384">
      <c r="A97" s="302" t="s">
        <v>341</v>
      </c>
      <c r="B97" s="303"/>
      <c r="C97" s="303"/>
      <c r="D97" s="304"/>
      <c r="E97" s="307" t="s">
        <v>342</v>
      </c>
      <c r="F97" s="308"/>
      <c r="G97" s="302" t="s">
        <v>343</v>
      </c>
      <c r="H97" s="303"/>
      <c r="I97" s="303"/>
      <c r="J97" s="303"/>
      <c r="K97" s="304"/>
      <c r="L97" s="112">
        <v>60</v>
      </c>
      <c r="M97" s="112">
        <v>90</v>
      </c>
      <c r="N97" s="112">
        <v>30</v>
      </c>
      <c r="O97" s="112">
        <v>120</v>
      </c>
      <c r="P97" s="307">
        <f>AVERAGE(N97:O97)</f>
        <v>75</v>
      </c>
      <c r="Q97" s="308"/>
      <c r="R97" s="270">
        <v>0.47499999999999998</v>
      </c>
      <c r="S97" s="271"/>
      <c r="T97" s="302" t="s">
        <v>344</v>
      </c>
      <c r="U97" s="303"/>
      <c r="V97" s="303"/>
      <c r="W97" s="303"/>
      <c r="X97" s="303"/>
      <c r="Y97" s="303"/>
      <c r="Z97" s="303"/>
      <c r="AA97" s="304"/>
    </row>
    <row r="98" spans="1:16384">
      <c r="A98" s="302" t="s">
        <v>345</v>
      </c>
      <c r="B98" s="303"/>
      <c r="C98" s="303"/>
      <c r="D98" s="304"/>
      <c r="E98" s="307" t="s">
        <v>346</v>
      </c>
      <c r="F98" s="308"/>
      <c r="G98" s="302" t="s">
        <v>347</v>
      </c>
      <c r="H98" s="303"/>
      <c r="I98" s="303"/>
      <c r="J98" s="303"/>
      <c r="K98" s="304"/>
      <c r="L98" s="112">
        <v>90</v>
      </c>
      <c r="M98" s="112">
        <v>120</v>
      </c>
      <c r="N98" s="112">
        <v>60</v>
      </c>
      <c r="O98" s="112">
        <v>180</v>
      </c>
      <c r="P98" s="307">
        <f t="shared" ref="P98:P118" si="2">AVERAGE(N98:O98)</f>
        <v>120</v>
      </c>
      <c r="Q98" s="308"/>
      <c r="R98" s="270">
        <v>0.09</v>
      </c>
      <c r="S98" s="271"/>
      <c r="T98" s="302" t="s">
        <v>348</v>
      </c>
      <c r="U98" s="303"/>
      <c r="V98" s="303"/>
      <c r="W98" s="303"/>
      <c r="X98" s="303"/>
      <c r="Y98" s="303"/>
      <c r="Z98" s="303"/>
      <c r="AA98" s="304"/>
    </row>
    <row r="99" spans="1:16384">
      <c r="A99" s="302" t="s">
        <v>349</v>
      </c>
      <c r="B99" s="303"/>
      <c r="C99" s="303"/>
      <c r="D99" s="304"/>
      <c r="E99" s="307" t="s">
        <v>350</v>
      </c>
      <c r="F99" s="308"/>
      <c r="G99" s="302" t="s">
        <v>351</v>
      </c>
      <c r="H99" s="303"/>
      <c r="I99" s="303"/>
      <c r="J99" s="303"/>
      <c r="K99" s="304"/>
      <c r="L99" s="112">
        <v>30</v>
      </c>
      <c r="M99" s="112">
        <v>60</v>
      </c>
      <c r="N99" s="112">
        <v>24</v>
      </c>
      <c r="O99" s="112">
        <v>120</v>
      </c>
      <c r="P99" s="307">
        <f t="shared" si="2"/>
        <v>72</v>
      </c>
      <c r="Q99" s="308"/>
      <c r="R99" s="270">
        <v>5.5E-2</v>
      </c>
      <c r="S99" s="271"/>
      <c r="T99" s="302" t="s">
        <v>352</v>
      </c>
      <c r="U99" s="303"/>
      <c r="V99" s="303"/>
      <c r="W99" s="303"/>
      <c r="X99" s="303"/>
      <c r="Y99" s="303"/>
      <c r="Z99" s="303"/>
      <c r="AA99" s="304"/>
    </row>
    <row r="100" spans="1:16384">
      <c r="A100" s="302" t="s">
        <v>353</v>
      </c>
      <c r="B100" s="303"/>
      <c r="C100" s="303"/>
      <c r="D100" s="304"/>
      <c r="E100" s="307" t="s">
        <v>354</v>
      </c>
      <c r="F100" s="308"/>
      <c r="G100" s="302" t="s">
        <v>355</v>
      </c>
      <c r="H100" s="303"/>
      <c r="I100" s="303"/>
      <c r="J100" s="303"/>
      <c r="K100" s="304"/>
      <c r="L100" s="112">
        <v>90</v>
      </c>
      <c r="M100" s="112">
        <v>120</v>
      </c>
      <c r="N100" s="112">
        <v>30</v>
      </c>
      <c r="O100" s="112">
        <v>180</v>
      </c>
      <c r="P100" s="307">
        <f t="shared" si="2"/>
        <v>105</v>
      </c>
      <c r="Q100" s="308"/>
      <c r="R100" s="270">
        <v>2.5000000000000001E-2</v>
      </c>
      <c r="S100" s="271"/>
      <c r="T100" s="302" t="s">
        <v>356</v>
      </c>
      <c r="U100" s="303"/>
      <c r="V100" s="303"/>
      <c r="W100" s="303"/>
      <c r="X100" s="303"/>
      <c r="Y100" s="303"/>
      <c r="Z100" s="303"/>
      <c r="AA100" s="304"/>
    </row>
    <row r="101" spans="1:16384">
      <c r="A101" s="302" t="s">
        <v>357</v>
      </c>
      <c r="B101" s="303"/>
      <c r="C101" s="303"/>
      <c r="D101" s="304"/>
      <c r="E101" s="307" t="s">
        <v>354</v>
      </c>
      <c r="F101" s="308"/>
      <c r="G101" s="302" t="s">
        <v>358</v>
      </c>
      <c r="H101" s="303"/>
      <c r="I101" s="303"/>
      <c r="J101" s="303"/>
      <c r="K101" s="304"/>
      <c r="L101" s="112">
        <v>60</v>
      </c>
      <c r="M101" s="112">
        <v>120</v>
      </c>
      <c r="N101" s="112">
        <v>30</v>
      </c>
      <c r="O101" s="112">
        <v>180</v>
      </c>
      <c r="P101" s="307">
        <f t="shared" si="2"/>
        <v>105</v>
      </c>
      <c r="Q101" s="308"/>
      <c r="R101" s="270">
        <v>2.5000000000000001E-2</v>
      </c>
      <c r="S101" s="271"/>
      <c r="T101" s="302" t="s">
        <v>359</v>
      </c>
      <c r="U101" s="303"/>
      <c r="V101" s="303"/>
      <c r="W101" s="303"/>
      <c r="X101" s="303"/>
      <c r="Y101" s="303"/>
      <c r="Z101" s="303"/>
      <c r="AA101" s="304"/>
    </row>
    <row r="102" spans="1:16384">
      <c r="A102" s="397" t="s">
        <v>360</v>
      </c>
      <c r="B102" s="398"/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9"/>
      <c r="AB102" s="394"/>
      <c r="AC102" s="395"/>
      <c r="AD102" s="395"/>
      <c r="AE102" s="395"/>
      <c r="AF102" s="395"/>
      <c r="AG102" s="395"/>
      <c r="AH102" s="395"/>
      <c r="AI102" s="395"/>
      <c r="AJ102" s="395"/>
      <c r="AK102" s="395"/>
      <c r="AL102" s="395"/>
      <c r="AM102" s="395"/>
      <c r="AN102" s="395"/>
      <c r="AO102" s="395"/>
      <c r="AP102" s="395"/>
      <c r="AQ102" s="395"/>
      <c r="AR102" s="395"/>
      <c r="AS102" s="395"/>
      <c r="AT102" s="395"/>
      <c r="AU102" s="395"/>
      <c r="AV102" s="395"/>
      <c r="AW102" s="395"/>
      <c r="AX102" s="395"/>
      <c r="AY102" s="395"/>
      <c r="AZ102" s="395"/>
      <c r="BA102" s="395"/>
      <c r="BB102" s="396"/>
      <c r="BC102" s="394"/>
      <c r="BD102" s="395"/>
      <c r="BE102" s="395"/>
      <c r="BF102" s="395"/>
      <c r="BG102" s="395"/>
      <c r="BH102" s="395"/>
      <c r="BI102" s="395"/>
      <c r="BJ102" s="395"/>
      <c r="BK102" s="395"/>
      <c r="BL102" s="395"/>
      <c r="BM102" s="395"/>
      <c r="BN102" s="395"/>
      <c r="BO102" s="395"/>
      <c r="BP102" s="395"/>
      <c r="BQ102" s="395"/>
      <c r="BR102" s="395"/>
      <c r="BS102" s="395"/>
      <c r="BT102" s="395"/>
      <c r="BU102" s="395"/>
      <c r="BV102" s="395"/>
      <c r="BW102" s="395"/>
      <c r="BX102" s="395"/>
      <c r="BY102" s="395"/>
      <c r="BZ102" s="395"/>
      <c r="CA102" s="395"/>
      <c r="CB102" s="395"/>
      <c r="CC102" s="396"/>
      <c r="CD102" s="394"/>
      <c r="CE102" s="395"/>
      <c r="CF102" s="395"/>
      <c r="CG102" s="395"/>
      <c r="CH102" s="395"/>
      <c r="CI102" s="395"/>
      <c r="CJ102" s="395"/>
      <c r="CK102" s="395"/>
      <c r="CL102" s="395"/>
      <c r="CM102" s="395"/>
      <c r="CN102" s="395"/>
      <c r="CO102" s="395"/>
      <c r="CP102" s="395"/>
      <c r="CQ102" s="395"/>
      <c r="CR102" s="395"/>
      <c r="CS102" s="395"/>
      <c r="CT102" s="395"/>
      <c r="CU102" s="395"/>
      <c r="CV102" s="395"/>
      <c r="CW102" s="395"/>
      <c r="CX102" s="395"/>
      <c r="CY102" s="395"/>
      <c r="CZ102" s="395"/>
      <c r="DA102" s="395"/>
      <c r="DB102" s="395"/>
      <c r="DC102" s="395"/>
      <c r="DD102" s="396"/>
      <c r="DE102" s="394"/>
      <c r="DF102" s="395"/>
      <c r="DG102" s="395"/>
      <c r="DH102" s="395"/>
      <c r="DI102" s="395"/>
      <c r="DJ102" s="395"/>
      <c r="DK102" s="395"/>
      <c r="DL102" s="395"/>
      <c r="DM102" s="395"/>
      <c r="DN102" s="395"/>
      <c r="DO102" s="395"/>
      <c r="DP102" s="395"/>
      <c r="DQ102" s="395"/>
      <c r="DR102" s="395"/>
      <c r="DS102" s="395"/>
      <c r="DT102" s="395"/>
      <c r="DU102" s="395"/>
      <c r="DV102" s="395"/>
      <c r="DW102" s="395"/>
      <c r="DX102" s="395"/>
      <c r="DY102" s="395"/>
      <c r="DZ102" s="395"/>
      <c r="EA102" s="395"/>
      <c r="EB102" s="395"/>
      <c r="EC102" s="395"/>
      <c r="ED102" s="395"/>
      <c r="EE102" s="396"/>
      <c r="EF102" s="394"/>
      <c r="EG102" s="395"/>
      <c r="EH102" s="395"/>
      <c r="EI102" s="395"/>
      <c r="EJ102" s="395"/>
      <c r="EK102" s="395"/>
      <c r="EL102" s="395"/>
      <c r="EM102" s="395"/>
      <c r="EN102" s="395"/>
      <c r="EO102" s="395"/>
      <c r="EP102" s="395"/>
      <c r="EQ102" s="395"/>
      <c r="ER102" s="395"/>
      <c r="ES102" s="395"/>
      <c r="ET102" s="395"/>
      <c r="EU102" s="395"/>
      <c r="EV102" s="395"/>
      <c r="EW102" s="395"/>
      <c r="EX102" s="395"/>
      <c r="EY102" s="395"/>
      <c r="EZ102" s="395"/>
      <c r="FA102" s="395"/>
      <c r="FB102" s="395"/>
      <c r="FC102" s="395"/>
      <c r="FD102" s="395"/>
      <c r="FE102" s="395"/>
      <c r="FF102" s="396"/>
      <c r="FG102" s="394"/>
      <c r="FH102" s="395"/>
      <c r="FI102" s="395"/>
      <c r="FJ102" s="395"/>
      <c r="FK102" s="395"/>
      <c r="FL102" s="395"/>
      <c r="FM102" s="395"/>
      <c r="FN102" s="395"/>
      <c r="FO102" s="395"/>
      <c r="FP102" s="395"/>
      <c r="FQ102" s="395"/>
      <c r="FR102" s="395"/>
      <c r="FS102" s="395"/>
      <c r="FT102" s="395"/>
      <c r="FU102" s="395"/>
      <c r="FV102" s="395"/>
      <c r="FW102" s="395"/>
      <c r="FX102" s="395"/>
      <c r="FY102" s="395"/>
      <c r="FZ102" s="395"/>
      <c r="GA102" s="395"/>
      <c r="GB102" s="395"/>
      <c r="GC102" s="395"/>
      <c r="GD102" s="395"/>
      <c r="GE102" s="395"/>
      <c r="GF102" s="395"/>
      <c r="GG102" s="396"/>
      <c r="GH102" s="394"/>
      <c r="GI102" s="395"/>
      <c r="GJ102" s="395"/>
      <c r="GK102" s="395"/>
      <c r="GL102" s="395"/>
      <c r="GM102" s="395"/>
      <c r="GN102" s="395"/>
      <c r="GO102" s="395"/>
      <c r="GP102" s="395"/>
      <c r="GQ102" s="395"/>
      <c r="GR102" s="395"/>
      <c r="GS102" s="395"/>
      <c r="GT102" s="395"/>
      <c r="GU102" s="395"/>
      <c r="GV102" s="395"/>
      <c r="GW102" s="395"/>
      <c r="GX102" s="395"/>
      <c r="GY102" s="395"/>
      <c r="GZ102" s="395"/>
      <c r="HA102" s="395"/>
      <c r="HB102" s="395"/>
      <c r="HC102" s="395"/>
      <c r="HD102" s="395"/>
      <c r="HE102" s="395"/>
      <c r="HF102" s="395"/>
      <c r="HG102" s="395"/>
      <c r="HH102" s="396"/>
      <c r="HI102" s="394"/>
      <c r="HJ102" s="395"/>
      <c r="HK102" s="395"/>
      <c r="HL102" s="395"/>
      <c r="HM102" s="395"/>
      <c r="HN102" s="395"/>
      <c r="HO102" s="395"/>
      <c r="HP102" s="395"/>
      <c r="HQ102" s="395"/>
      <c r="HR102" s="395"/>
      <c r="HS102" s="395"/>
      <c r="HT102" s="395"/>
      <c r="HU102" s="395"/>
      <c r="HV102" s="395"/>
      <c r="HW102" s="395"/>
      <c r="HX102" s="395"/>
      <c r="HY102" s="395"/>
      <c r="HZ102" s="395"/>
      <c r="IA102" s="395"/>
      <c r="IB102" s="395"/>
      <c r="IC102" s="395"/>
      <c r="ID102" s="395"/>
      <c r="IE102" s="395"/>
      <c r="IF102" s="395"/>
      <c r="IG102" s="395"/>
      <c r="IH102" s="395"/>
      <c r="II102" s="396"/>
      <c r="IJ102" s="394"/>
      <c r="IK102" s="395"/>
      <c r="IL102" s="395"/>
      <c r="IM102" s="395"/>
      <c r="IN102" s="395"/>
      <c r="IO102" s="395"/>
      <c r="IP102" s="395"/>
      <c r="IQ102" s="395"/>
      <c r="IR102" s="395"/>
      <c r="IS102" s="395"/>
      <c r="IT102" s="395"/>
      <c r="IU102" s="395"/>
      <c r="IV102" s="395"/>
      <c r="IW102" s="395"/>
      <c r="IX102" s="395"/>
      <c r="IY102" s="395"/>
      <c r="IZ102" s="395"/>
      <c r="JA102" s="395"/>
      <c r="JB102" s="395"/>
      <c r="JC102" s="395"/>
      <c r="JD102" s="395"/>
      <c r="JE102" s="395"/>
      <c r="JF102" s="395"/>
      <c r="JG102" s="395"/>
      <c r="JH102" s="395"/>
      <c r="JI102" s="395"/>
      <c r="JJ102" s="396"/>
      <c r="JK102" s="394"/>
      <c r="JL102" s="395"/>
      <c r="JM102" s="395"/>
      <c r="JN102" s="395"/>
      <c r="JO102" s="395"/>
      <c r="JP102" s="395"/>
      <c r="JQ102" s="395"/>
      <c r="JR102" s="395"/>
      <c r="JS102" s="395"/>
      <c r="JT102" s="395"/>
      <c r="JU102" s="395"/>
      <c r="JV102" s="395"/>
      <c r="JW102" s="395"/>
      <c r="JX102" s="395"/>
      <c r="JY102" s="395"/>
      <c r="JZ102" s="395"/>
      <c r="KA102" s="395"/>
      <c r="KB102" s="395"/>
      <c r="KC102" s="395"/>
      <c r="KD102" s="395"/>
      <c r="KE102" s="395"/>
      <c r="KF102" s="395"/>
      <c r="KG102" s="395"/>
      <c r="KH102" s="395"/>
      <c r="KI102" s="395"/>
      <c r="KJ102" s="395"/>
      <c r="KK102" s="396"/>
      <c r="KL102" s="394"/>
      <c r="KM102" s="395"/>
      <c r="KN102" s="395"/>
      <c r="KO102" s="395"/>
      <c r="KP102" s="395"/>
      <c r="KQ102" s="395"/>
      <c r="KR102" s="395"/>
      <c r="KS102" s="395"/>
      <c r="KT102" s="395"/>
      <c r="KU102" s="395"/>
      <c r="KV102" s="395"/>
      <c r="KW102" s="395"/>
      <c r="KX102" s="395"/>
      <c r="KY102" s="395"/>
      <c r="KZ102" s="395"/>
      <c r="LA102" s="395"/>
      <c r="LB102" s="395"/>
      <c r="LC102" s="395"/>
      <c r="LD102" s="395"/>
      <c r="LE102" s="395"/>
      <c r="LF102" s="395"/>
      <c r="LG102" s="395"/>
      <c r="LH102" s="395"/>
      <c r="LI102" s="395"/>
      <c r="LJ102" s="395"/>
      <c r="LK102" s="395"/>
      <c r="LL102" s="396"/>
      <c r="LM102" s="394"/>
      <c r="LN102" s="395"/>
      <c r="LO102" s="395"/>
      <c r="LP102" s="395"/>
      <c r="LQ102" s="395"/>
      <c r="LR102" s="395"/>
      <c r="LS102" s="395"/>
      <c r="LT102" s="395"/>
      <c r="LU102" s="395"/>
      <c r="LV102" s="395"/>
      <c r="LW102" s="395"/>
      <c r="LX102" s="395"/>
      <c r="LY102" s="395"/>
      <c r="LZ102" s="395"/>
      <c r="MA102" s="395"/>
      <c r="MB102" s="395"/>
      <c r="MC102" s="395"/>
      <c r="MD102" s="395"/>
      <c r="ME102" s="395"/>
      <c r="MF102" s="395"/>
      <c r="MG102" s="395"/>
      <c r="MH102" s="395"/>
      <c r="MI102" s="395"/>
      <c r="MJ102" s="395"/>
      <c r="MK102" s="395"/>
      <c r="ML102" s="395"/>
      <c r="MM102" s="396"/>
      <c r="MN102" s="394"/>
      <c r="MO102" s="395"/>
      <c r="MP102" s="395"/>
      <c r="MQ102" s="395"/>
      <c r="MR102" s="395"/>
      <c r="MS102" s="395"/>
      <c r="MT102" s="395"/>
      <c r="MU102" s="395"/>
      <c r="MV102" s="395"/>
      <c r="MW102" s="395"/>
      <c r="MX102" s="395"/>
      <c r="MY102" s="395"/>
      <c r="MZ102" s="395"/>
      <c r="NA102" s="395"/>
      <c r="NB102" s="395"/>
      <c r="NC102" s="395"/>
      <c r="ND102" s="395"/>
      <c r="NE102" s="395"/>
      <c r="NF102" s="395"/>
      <c r="NG102" s="395"/>
      <c r="NH102" s="395"/>
      <c r="NI102" s="395"/>
      <c r="NJ102" s="395"/>
      <c r="NK102" s="395"/>
      <c r="NL102" s="395"/>
      <c r="NM102" s="395"/>
      <c r="NN102" s="396"/>
      <c r="NO102" s="394"/>
      <c r="NP102" s="395"/>
      <c r="NQ102" s="395"/>
      <c r="NR102" s="395"/>
      <c r="NS102" s="395"/>
      <c r="NT102" s="395"/>
      <c r="NU102" s="395"/>
      <c r="NV102" s="395"/>
      <c r="NW102" s="395"/>
      <c r="NX102" s="395"/>
      <c r="NY102" s="395"/>
      <c r="NZ102" s="395"/>
      <c r="OA102" s="395"/>
      <c r="OB102" s="395"/>
      <c r="OC102" s="395"/>
      <c r="OD102" s="395"/>
      <c r="OE102" s="395"/>
      <c r="OF102" s="395"/>
      <c r="OG102" s="395"/>
      <c r="OH102" s="395"/>
      <c r="OI102" s="395"/>
      <c r="OJ102" s="395"/>
      <c r="OK102" s="395"/>
      <c r="OL102" s="395"/>
      <c r="OM102" s="395"/>
      <c r="ON102" s="395"/>
      <c r="OO102" s="396"/>
      <c r="OP102" s="394"/>
      <c r="OQ102" s="395"/>
      <c r="OR102" s="395"/>
      <c r="OS102" s="395"/>
      <c r="OT102" s="395"/>
      <c r="OU102" s="395"/>
      <c r="OV102" s="395"/>
      <c r="OW102" s="395"/>
      <c r="OX102" s="395"/>
      <c r="OY102" s="395"/>
      <c r="OZ102" s="395"/>
      <c r="PA102" s="395"/>
      <c r="PB102" s="395"/>
      <c r="PC102" s="395"/>
      <c r="PD102" s="395"/>
      <c r="PE102" s="395"/>
      <c r="PF102" s="395"/>
      <c r="PG102" s="395"/>
      <c r="PH102" s="395"/>
      <c r="PI102" s="395"/>
      <c r="PJ102" s="395"/>
      <c r="PK102" s="395"/>
      <c r="PL102" s="395"/>
      <c r="PM102" s="395"/>
      <c r="PN102" s="395"/>
      <c r="PO102" s="395"/>
      <c r="PP102" s="396"/>
      <c r="PQ102" s="394"/>
      <c r="PR102" s="395"/>
      <c r="PS102" s="395"/>
      <c r="PT102" s="395"/>
      <c r="PU102" s="395"/>
      <c r="PV102" s="395"/>
      <c r="PW102" s="395"/>
      <c r="PX102" s="395"/>
      <c r="PY102" s="395"/>
      <c r="PZ102" s="395"/>
      <c r="QA102" s="395"/>
      <c r="QB102" s="395"/>
      <c r="QC102" s="395"/>
      <c r="QD102" s="395"/>
      <c r="QE102" s="395"/>
      <c r="QF102" s="395"/>
      <c r="QG102" s="395"/>
      <c r="QH102" s="395"/>
      <c r="QI102" s="395"/>
      <c r="QJ102" s="395"/>
      <c r="QK102" s="395"/>
      <c r="QL102" s="395"/>
      <c r="QM102" s="395"/>
      <c r="QN102" s="395"/>
      <c r="QO102" s="395"/>
      <c r="QP102" s="395"/>
      <c r="QQ102" s="396"/>
      <c r="QR102" s="394"/>
      <c r="QS102" s="395"/>
      <c r="QT102" s="395"/>
      <c r="QU102" s="395"/>
      <c r="QV102" s="395"/>
      <c r="QW102" s="395"/>
      <c r="QX102" s="395"/>
      <c r="QY102" s="395"/>
      <c r="QZ102" s="395"/>
      <c r="RA102" s="395"/>
      <c r="RB102" s="395"/>
      <c r="RC102" s="395"/>
      <c r="RD102" s="395"/>
      <c r="RE102" s="395"/>
      <c r="RF102" s="395"/>
      <c r="RG102" s="395"/>
      <c r="RH102" s="395"/>
      <c r="RI102" s="395"/>
      <c r="RJ102" s="395"/>
      <c r="RK102" s="395"/>
      <c r="RL102" s="395"/>
      <c r="RM102" s="395"/>
      <c r="RN102" s="395"/>
      <c r="RO102" s="395"/>
      <c r="RP102" s="395"/>
      <c r="RQ102" s="395"/>
      <c r="RR102" s="396"/>
      <c r="RS102" s="394"/>
      <c r="RT102" s="395"/>
      <c r="RU102" s="395"/>
      <c r="RV102" s="395"/>
      <c r="RW102" s="395"/>
      <c r="RX102" s="395"/>
      <c r="RY102" s="395"/>
      <c r="RZ102" s="395"/>
      <c r="SA102" s="395"/>
      <c r="SB102" s="395"/>
      <c r="SC102" s="395"/>
      <c r="SD102" s="395"/>
      <c r="SE102" s="395"/>
      <c r="SF102" s="395"/>
      <c r="SG102" s="395"/>
      <c r="SH102" s="395"/>
      <c r="SI102" s="395"/>
      <c r="SJ102" s="395"/>
      <c r="SK102" s="395"/>
      <c r="SL102" s="395"/>
      <c r="SM102" s="395"/>
      <c r="SN102" s="395"/>
      <c r="SO102" s="395"/>
      <c r="SP102" s="395"/>
      <c r="SQ102" s="395"/>
      <c r="SR102" s="395"/>
      <c r="SS102" s="396"/>
      <c r="ST102" s="394"/>
      <c r="SU102" s="395"/>
      <c r="SV102" s="395"/>
      <c r="SW102" s="395"/>
      <c r="SX102" s="395"/>
      <c r="SY102" s="395"/>
      <c r="SZ102" s="395"/>
      <c r="TA102" s="395"/>
      <c r="TB102" s="395"/>
      <c r="TC102" s="395"/>
      <c r="TD102" s="395"/>
      <c r="TE102" s="395"/>
      <c r="TF102" s="395"/>
      <c r="TG102" s="395"/>
      <c r="TH102" s="395"/>
      <c r="TI102" s="395"/>
      <c r="TJ102" s="395"/>
      <c r="TK102" s="395"/>
      <c r="TL102" s="395"/>
      <c r="TM102" s="395"/>
      <c r="TN102" s="395"/>
      <c r="TO102" s="395"/>
      <c r="TP102" s="395"/>
      <c r="TQ102" s="395"/>
      <c r="TR102" s="395"/>
      <c r="TS102" s="395"/>
      <c r="TT102" s="396"/>
      <c r="TU102" s="394"/>
      <c r="TV102" s="395"/>
      <c r="TW102" s="395"/>
      <c r="TX102" s="395"/>
      <c r="TY102" s="395"/>
      <c r="TZ102" s="395"/>
      <c r="UA102" s="395"/>
      <c r="UB102" s="395"/>
      <c r="UC102" s="395"/>
      <c r="UD102" s="395"/>
      <c r="UE102" s="395"/>
      <c r="UF102" s="395"/>
      <c r="UG102" s="395"/>
      <c r="UH102" s="395"/>
      <c r="UI102" s="395"/>
      <c r="UJ102" s="395"/>
      <c r="UK102" s="395"/>
      <c r="UL102" s="395"/>
      <c r="UM102" s="395"/>
      <c r="UN102" s="395"/>
      <c r="UO102" s="395"/>
      <c r="UP102" s="395"/>
      <c r="UQ102" s="395"/>
      <c r="UR102" s="395"/>
      <c r="US102" s="395"/>
      <c r="UT102" s="395"/>
      <c r="UU102" s="396"/>
      <c r="UV102" s="394"/>
      <c r="UW102" s="395"/>
      <c r="UX102" s="395"/>
      <c r="UY102" s="395"/>
      <c r="UZ102" s="395"/>
      <c r="VA102" s="395"/>
      <c r="VB102" s="395"/>
      <c r="VC102" s="395"/>
      <c r="VD102" s="395"/>
      <c r="VE102" s="395"/>
      <c r="VF102" s="395"/>
      <c r="VG102" s="395"/>
      <c r="VH102" s="395"/>
      <c r="VI102" s="395"/>
      <c r="VJ102" s="395"/>
      <c r="VK102" s="395"/>
      <c r="VL102" s="395"/>
      <c r="VM102" s="395"/>
      <c r="VN102" s="395"/>
      <c r="VO102" s="395"/>
      <c r="VP102" s="395"/>
      <c r="VQ102" s="395"/>
      <c r="VR102" s="395"/>
      <c r="VS102" s="395"/>
      <c r="VT102" s="395"/>
      <c r="VU102" s="395"/>
      <c r="VV102" s="396"/>
      <c r="VW102" s="394"/>
      <c r="VX102" s="395"/>
      <c r="VY102" s="395"/>
      <c r="VZ102" s="395"/>
      <c r="WA102" s="395"/>
      <c r="WB102" s="395"/>
      <c r="WC102" s="395"/>
      <c r="WD102" s="395"/>
      <c r="WE102" s="395"/>
      <c r="WF102" s="395"/>
      <c r="WG102" s="395"/>
      <c r="WH102" s="395"/>
      <c r="WI102" s="395"/>
      <c r="WJ102" s="395"/>
      <c r="WK102" s="395"/>
      <c r="WL102" s="395"/>
      <c r="WM102" s="395"/>
      <c r="WN102" s="395"/>
      <c r="WO102" s="395"/>
      <c r="WP102" s="395"/>
      <c r="WQ102" s="395"/>
      <c r="WR102" s="395"/>
      <c r="WS102" s="395"/>
      <c r="WT102" s="395"/>
      <c r="WU102" s="395"/>
      <c r="WV102" s="395"/>
      <c r="WW102" s="396"/>
      <c r="WX102" s="394"/>
      <c r="WY102" s="395"/>
      <c r="WZ102" s="395"/>
      <c r="XA102" s="395"/>
      <c r="XB102" s="395"/>
      <c r="XC102" s="395"/>
      <c r="XD102" s="395"/>
      <c r="XE102" s="395"/>
      <c r="XF102" s="395"/>
      <c r="XG102" s="395"/>
      <c r="XH102" s="395"/>
      <c r="XI102" s="395"/>
      <c r="XJ102" s="395"/>
      <c r="XK102" s="395"/>
      <c r="XL102" s="395"/>
      <c r="XM102" s="395"/>
      <c r="XN102" s="395"/>
      <c r="XO102" s="395"/>
      <c r="XP102" s="395"/>
      <c r="XQ102" s="395"/>
      <c r="XR102" s="395"/>
      <c r="XS102" s="395"/>
      <c r="XT102" s="395"/>
      <c r="XU102" s="395"/>
      <c r="XV102" s="395"/>
      <c r="XW102" s="395"/>
      <c r="XX102" s="396"/>
      <c r="XY102" s="394"/>
      <c r="XZ102" s="395"/>
      <c r="YA102" s="395"/>
      <c r="YB102" s="395"/>
      <c r="YC102" s="395"/>
      <c r="YD102" s="395"/>
      <c r="YE102" s="395"/>
      <c r="YF102" s="395"/>
      <c r="YG102" s="395"/>
      <c r="YH102" s="395"/>
      <c r="YI102" s="395"/>
      <c r="YJ102" s="395"/>
      <c r="YK102" s="395"/>
      <c r="YL102" s="395"/>
      <c r="YM102" s="395"/>
      <c r="YN102" s="395"/>
      <c r="YO102" s="395"/>
      <c r="YP102" s="395"/>
      <c r="YQ102" s="395"/>
      <c r="YR102" s="395"/>
      <c r="YS102" s="395"/>
      <c r="YT102" s="395"/>
      <c r="YU102" s="395"/>
      <c r="YV102" s="395"/>
      <c r="YW102" s="395"/>
      <c r="YX102" s="395"/>
      <c r="YY102" s="396"/>
      <c r="YZ102" s="394"/>
      <c r="ZA102" s="395"/>
      <c r="ZB102" s="395"/>
      <c r="ZC102" s="395"/>
      <c r="ZD102" s="395"/>
      <c r="ZE102" s="395"/>
      <c r="ZF102" s="395"/>
      <c r="ZG102" s="395"/>
      <c r="ZH102" s="395"/>
      <c r="ZI102" s="395"/>
      <c r="ZJ102" s="395"/>
      <c r="ZK102" s="395"/>
      <c r="ZL102" s="395"/>
      <c r="ZM102" s="395"/>
      <c r="ZN102" s="395"/>
      <c r="ZO102" s="395"/>
      <c r="ZP102" s="395"/>
      <c r="ZQ102" s="395"/>
      <c r="ZR102" s="395"/>
      <c r="ZS102" s="395"/>
      <c r="ZT102" s="395"/>
      <c r="ZU102" s="395"/>
      <c r="ZV102" s="395"/>
      <c r="ZW102" s="395"/>
      <c r="ZX102" s="395"/>
      <c r="ZY102" s="395"/>
      <c r="ZZ102" s="396"/>
      <c r="AAA102" s="394"/>
      <c r="AAB102" s="395"/>
      <c r="AAC102" s="395"/>
      <c r="AAD102" s="395"/>
      <c r="AAE102" s="395"/>
      <c r="AAF102" s="395"/>
      <c r="AAG102" s="395"/>
      <c r="AAH102" s="395"/>
      <c r="AAI102" s="395"/>
      <c r="AAJ102" s="395"/>
      <c r="AAK102" s="395"/>
      <c r="AAL102" s="395"/>
      <c r="AAM102" s="395"/>
      <c r="AAN102" s="395"/>
      <c r="AAO102" s="395"/>
      <c r="AAP102" s="395"/>
      <c r="AAQ102" s="395"/>
      <c r="AAR102" s="395"/>
      <c r="AAS102" s="395"/>
      <c r="AAT102" s="395"/>
      <c r="AAU102" s="395"/>
      <c r="AAV102" s="395"/>
      <c r="AAW102" s="395"/>
      <c r="AAX102" s="395"/>
      <c r="AAY102" s="395"/>
      <c r="AAZ102" s="395"/>
      <c r="ABA102" s="396"/>
      <c r="ABB102" s="394"/>
      <c r="ABC102" s="395"/>
      <c r="ABD102" s="395"/>
      <c r="ABE102" s="395"/>
      <c r="ABF102" s="395"/>
      <c r="ABG102" s="395"/>
      <c r="ABH102" s="395"/>
      <c r="ABI102" s="395"/>
      <c r="ABJ102" s="395"/>
      <c r="ABK102" s="395"/>
      <c r="ABL102" s="395"/>
      <c r="ABM102" s="395"/>
      <c r="ABN102" s="395"/>
      <c r="ABO102" s="395"/>
      <c r="ABP102" s="395"/>
      <c r="ABQ102" s="395"/>
      <c r="ABR102" s="395"/>
      <c r="ABS102" s="395"/>
      <c r="ABT102" s="395"/>
      <c r="ABU102" s="395"/>
      <c r="ABV102" s="395"/>
      <c r="ABW102" s="395"/>
      <c r="ABX102" s="395"/>
      <c r="ABY102" s="395"/>
      <c r="ABZ102" s="395"/>
      <c r="ACA102" s="395"/>
      <c r="ACB102" s="396"/>
      <c r="ACC102" s="394"/>
      <c r="ACD102" s="395"/>
      <c r="ACE102" s="395"/>
      <c r="ACF102" s="395"/>
      <c r="ACG102" s="395"/>
      <c r="ACH102" s="395"/>
      <c r="ACI102" s="395"/>
      <c r="ACJ102" s="395"/>
      <c r="ACK102" s="395"/>
      <c r="ACL102" s="395"/>
      <c r="ACM102" s="395"/>
      <c r="ACN102" s="395"/>
      <c r="ACO102" s="395"/>
      <c r="ACP102" s="395"/>
      <c r="ACQ102" s="395"/>
      <c r="ACR102" s="395"/>
      <c r="ACS102" s="395"/>
      <c r="ACT102" s="395"/>
      <c r="ACU102" s="395"/>
      <c r="ACV102" s="395"/>
      <c r="ACW102" s="395"/>
      <c r="ACX102" s="395"/>
      <c r="ACY102" s="395"/>
      <c r="ACZ102" s="395"/>
      <c r="ADA102" s="395"/>
      <c r="ADB102" s="395"/>
      <c r="ADC102" s="396"/>
      <c r="ADD102" s="394"/>
      <c r="ADE102" s="395"/>
      <c r="ADF102" s="395"/>
      <c r="ADG102" s="395"/>
      <c r="ADH102" s="395"/>
      <c r="ADI102" s="395"/>
      <c r="ADJ102" s="395"/>
      <c r="ADK102" s="395"/>
      <c r="ADL102" s="395"/>
      <c r="ADM102" s="395"/>
      <c r="ADN102" s="395"/>
      <c r="ADO102" s="395"/>
      <c r="ADP102" s="395"/>
      <c r="ADQ102" s="395"/>
      <c r="ADR102" s="395"/>
      <c r="ADS102" s="395"/>
      <c r="ADT102" s="395"/>
      <c r="ADU102" s="395"/>
      <c r="ADV102" s="395"/>
      <c r="ADW102" s="395"/>
      <c r="ADX102" s="395"/>
      <c r="ADY102" s="395"/>
      <c r="ADZ102" s="395"/>
      <c r="AEA102" s="395"/>
      <c r="AEB102" s="395"/>
      <c r="AEC102" s="395"/>
      <c r="AED102" s="396"/>
      <c r="AEE102" s="394"/>
      <c r="AEF102" s="395"/>
      <c r="AEG102" s="395"/>
      <c r="AEH102" s="395"/>
      <c r="AEI102" s="395"/>
      <c r="AEJ102" s="395"/>
      <c r="AEK102" s="395"/>
      <c r="AEL102" s="395"/>
      <c r="AEM102" s="395"/>
      <c r="AEN102" s="395"/>
      <c r="AEO102" s="395"/>
      <c r="AEP102" s="395"/>
      <c r="AEQ102" s="395"/>
      <c r="AER102" s="395"/>
      <c r="AES102" s="395"/>
      <c r="AET102" s="395"/>
      <c r="AEU102" s="395"/>
      <c r="AEV102" s="395"/>
      <c r="AEW102" s="395"/>
      <c r="AEX102" s="395"/>
      <c r="AEY102" s="395"/>
      <c r="AEZ102" s="395"/>
      <c r="AFA102" s="395"/>
      <c r="AFB102" s="395"/>
      <c r="AFC102" s="395"/>
      <c r="AFD102" s="395"/>
      <c r="AFE102" s="396"/>
      <c r="AFF102" s="394"/>
      <c r="AFG102" s="395"/>
      <c r="AFH102" s="395"/>
      <c r="AFI102" s="395"/>
      <c r="AFJ102" s="395"/>
      <c r="AFK102" s="395"/>
      <c r="AFL102" s="395"/>
      <c r="AFM102" s="395"/>
      <c r="AFN102" s="395"/>
      <c r="AFO102" s="395"/>
      <c r="AFP102" s="395"/>
      <c r="AFQ102" s="395"/>
      <c r="AFR102" s="395"/>
      <c r="AFS102" s="395"/>
      <c r="AFT102" s="395"/>
      <c r="AFU102" s="395"/>
      <c r="AFV102" s="395"/>
      <c r="AFW102" s="395"/>
      <c r="AFX102" s="395"/>
      <c r="AFY102" s="395"/>
      <c r="AFZ102" s="395"/>
      <c r="AGA102" s="395"/>
      <c r="AGB102" s="395"/>
      <c r="AGC102" s="395"/>
      <c r="AGD102" s="395"/>
      <c r="AGE102" s="395"/>
      <c r="AGF102" s="396"/>
      <c r="AGG102" s="394"/>
      <c r="AGH102" s="395"/>
      <c r="AGI102" s="395"/>
      <c r="AGJ102" s="395"/>
      <c r="AGK102" s="395"/>
      <c r="AGL102" s="395"/>
      <c r="AGM102" s="395"/>
      <c r="AGN102" s="395"/>
      <c r="AGO102" s="395"/>
      <c r="AGP102" s="395"/>
      <c r="AGQ102" s="395"/>
      <c r="AGR102" s="395"/>
      <c r="AGS102" s="395"/>
      <c r="AGT102" s="395"/>
      <c r="AGU102" s="395"/>
      <c r="AGV102" s="395"/>
      <c r="AGW102" s="395"/>
      <c r="AGX102" s="395"/>
      <c r="AGY102" s="395"/>
      <c r="AGZ102" s="395"/>
      <c r="AHA102" s="395"/>
      <c r="AHB102" s="395"/>
      <c r="AHC102" s="395"/>
      <c r="AHD102" s="395"/>
      <c r="AHE102" s="395"/>
      <c r="AHF102" s="395"/>
      <c r="AHG102" s="396"/>
      <c r="AHH102" s="394"/>
      <c r="AHI102" s="395"/>
      <c r="AHJ102" s="395"/>
      <c r="AHK102" s="395"/>
      <c r="AHL102" s="395"/>
      <c r="AHM102" s="395"/>
      <c r="AHN102" s="395"/>
      <c r="AHO102" s="395"/>
      <c r="AHP102" s="395"/>
      <c r="AHQ102" s="395"/>
      <c r="AHR102" s="395"/>
      <c r="AHS102" s="395"/>
      <c r="AHT102" s="395"/>
      <c r="AHU102" s="395"/>
      <c r="AHV102" s="395"/>
      <c r="AHW102" s="395"/>
      <c r="AHX102" s="395"/>
      <c r="AHY102" s="395"/>
      <c r="AHZ102" s="395"/>
      <c r="AIA102" s="395"/>
      <c r="AIB102" s="395"/>
      <c r="AIC102" s="395"/>
      <c r="AID102" s="395"/>
      <c r="AIE102" s="395"/>
      <c r="AIF102" s="395"/>
      <c r="AIG102" s="395"/>
      <c r="AIH102" s="396"/>
      <c r="AII102" s="394"/>
      <c r="AIJ102" s="395"/>
      <c r="AIK102" s="395"/>
      <c r="AIL102" s="395"/>
      <c r="AIM102" s="395"/>
      <c r="AIN102" s="395"/>
      <c r="AIO102" s="395"/>
      <c r="AIP102" s="395"/>
      <c r="AIQ102" s="395"/>
      <c r="AIR102" s="395"/>
      <c r="AIS102" s="395"/>
      <c r="AIT102" s="395"/>
      <c r="AIU102" s="395"/>
      <c r="AIV102" s="395"/>
      <c r="AIW102" s="395"/>
      <c r="AIX102" s="395"/>
      <c r="AIY102" s="395"/>
      <c r="AIZ102" s="395"/>
      <c r="AJA102" s="395"/>
      <c r="AJB102" s="395"/>
      <c r="AJC102" s="395"/>
      <c r="AJD102" s="395"/>
      <c r="AJE102" s="395"/>
      <c r="AJF102" s="395"/>
      <c r="AJG102" s="395"/>
      <c r="AJH102" s="395"/>
      <c r="AJI102" s="396"/>
      <c r="AJJ102" s="394"/>
      <c r="AJK102" s="395"/>
      <c r="AJL102" s="395"/>
      <c r="AJM102" s="395"/>
      <c r="AJN102" s="395"/>
      <c r="AJO102" s="395"/>
      <c r="AJP102" s="395"/>
      <c r="AJQ102" s="395"/>
      <c r="AJR102" s="395"/>
      <c r="AJS102" s="395"/>
      <c r="AJT102" s="395"/>
      <c r="AJU102" s="395"/>
      <c r="AJV102" s="395"/>
      <c r="AJW102" s="395"/>
      <c r="AJX102" s="395"/>
      <c r="AJY102" s="395"/>
      <c r="AJZ102" s="395"/>
      <c r="AKA102" s="395"/>
      <c r="AKB102" s="395"/>
      <c r="AKC102" s="395"/>
      <c r="AKD102" s="395"/>
      <c r="AKE102" s="395"/>
      <c r="AKF102" s="395"/>
      <c r="AKG102" s="395"/>
      <c r="AKH102" s="395"/>
      <c r="AKI102" s="395"/>
      <c r="AKJ102" s="396"/>
      <c r="AKK102" s="394"/>
      <c r="AKL102" s="395"/>
      <c r="AKM102" s="395"/>
      <c r="AKN102" s="395"/>
      <c r="AKO102" s="395"/>
      <c r="AKP102" s="395"/>
      <c r="AKQ102" s="395"/>
      <c r="AKR102" s="395"/>
      <c r="AKS102" s="395"/>
      <c r="AKT102" s="395"/>
      <c r="AKU102" s="395"/>
      <c r="AKV102" s="395"/>
      <c r="AKW102" s="395"/>
      <c r="AKX102" s="395"/>
      <c r="AKY102" s="395"/>
      <c r="AKZ102" s="395"/>
      <c r="ALA102" s="395"/>
      <c r="ALB102" s="395"/>
      <c r="ALC102" s="395"/>
      <c r="ALD102" s="395"/>
      <c r="ALE102" s="395"/>
      <c r="ALF102" s="395"/>
      <c r="ALG102" s="395"/>
      <c r="ALH102" s="395"/>
      <c r="ALI102" s="395"/>
      <c r="ALJ102" s="395"/>
      <c r="ALK102" s="396"/>
      <c r="ALL102" s="394"/>
      <c r="ALM102" s="395"/>
      <c r="ALN102" s="395"/>
      <c r="ALO102" s="395"/>
      <c r="ALP102" s="395"/>
      <c r="ALQ102" s="395"/>
      <c r="ALR102" s="395"/>
      <c r="ALS102" s="395"/>
      <c r="ALT102" s="395"/>
      <c r="ALU102" s="395"/>
      <c r="ALV102" s="395"/>
      <c r="ALW102" s="395"/>
      <c r="ALX102" s="395"/>
      <c r="ALY102" s="395"/>
      <c r="ALZ102" s="395"/>
      <c r="AMA102" s="395"/>
      <c r="AMB102" s="395"/>
      <c r="AMC102" s="395"/>
      <c r="AMD102" s="395"/>
      <c r="AME102" s="395"/>
      <c r="AMF102" s="395"/>
      <c r="AMG102" s="395"/>
      <c r="AMH102" s="395"/>
      <c r="AMI102" s="395"/>
      <c r="AMJ102" s="395"/>
      <c r="AMK102" s="395"/>
      <c r="AML102" s="396"/>
      <c r="AMM102" s="394"/>
      <c r="AMN102" s="395"/>
      <c r="AMO102" s="395"/>
      <c r="AMP102" s="395"/>
      <c r="AMQ102" s="395"/>
      <c r="AMR102" s="395"/>
      <c r="AMS102" s="395"/>
      <c r="AMT102" s="395"/>
      <c r="AMU102" s="395"/>
      <c r="AMV102" s="395"/>
      <c r="AMW102" s="395"/>
      <c r="AMX102" s="395"/>
      <c r="AMY102" s="395"/>
      <c r="AMZ102" s="395"/>
      <c r="ANA102" s="395"/>
      <c r="ANB102" s="395"/>
      <c r="ANC102" s="395"/>
      <c r="AND102" s="395"/>
      <c r="ANE102" s="395"/>
      <c r="ANF102" s="395"/>
      <c r="ANG102" s="395"/>
      <c r="ANH102" s="395"/>
      <c r="ANI102" s="395"/>
      <c r="ANJ102" s="395"/>
      <c r="ANK102" s="395"/>
      <c r="ANL102" s="395"/>
      <c r="ANM102" s="396"/>
      <c r="ANN102" s="394"/>
      <c r="ANO102" s="395"/>
      <c r="ANP102" s="395"/>
      <c r="ANQ102" s="395"/>
      <c r="ANR102" s="395"/>
      <c r="ANS102" s="395"/>
      <c r="ANT102" s="395"/>
      <c r="ANU102" s="395"/>
      <c r="ANV102" s="395"/>
      <c r="ANW102" s="395"/>
      <c r="ANX102" s="395"/>
      <c r="ANY102" s="395"/>
      <c r="ANZ102" s="395"/>
      <c r="AOA102" s="395"/>
      <c r="AOB102" s="395"/>
      <c r="AOC102" s="395"/>
      <c r="AOD102" s="395"/>
      <c r="AOE102" s="395"/>
      <c r="AOF102" s="395"/>
      <c r="AOG102" s="395"/>
      <c r="AOH102" s="395"/>
      <c r="AOI102" s="395"/>
      <c r="AOJ102" s="395"/>
      <c r="AOK102" s="395"/>
      <c r="AOL102" s="395"/>
      <c r="AOM102" s="395"/>
      <c r="AON102" s="396"/>
      <c r="AOO102" s="394"/>
      <c r="AOP102" s="395"/>
      <c r="AOQ102" s="395"/>
      <c r="AOR102" s="395"/>
      <c r="AOS102" s="395"/>
      <c r="AOT102" s="395"/>
      <c r="AOU102" s="395"/>
      <c r="AOV102" s="395"/>
      <c r="AOW102" s="395"/>
      <c r="AOX102" s="395"/>
      <c r="AOY102" s="395"/>
      <c r="AOZ102" s="395"/>
      <c r="APA102" s="395"/>
      <c r="APB102" s="395"/>
      <c r="APC102" s="395"/>
      <c r="APD102" s="395"/>
      <c r="APE102" s="395"/>
      <c r="APF102" s="395"/>
      <c r="APG102" s="395"/>
      <c r="APH102" s="395"/>
      <c r="API102" s="395"/>
      <c r="APJ102" s="395"/>
      <c r="APK102" s="395"/>
      <c r="APL102" s="395"/>
      <c r="APM102" s="395"/>
      <c r="APN102" s="395"/>
      <c r="APO102" s="396"/>
      <c r="APP102" s="394"/>
      <c r="APQ102" s="395"/>
      <c r="APR102" s="395"/>
      <c r="APS102" s="395"/>
      <c r="APT102" s="395"/>
      <c r="APU102" s="395"/>
      <c r="APV102" s="395"/>
      <c r="APW102" s="395"/>
      <c r="APX102" s="395"/>
      <c r="APY102" s="395"/>
      <c r="APZ102" s="395"/>
      <c r="AQA102" s="395"/>
      <c r="AQB102" s="395"/>
      <c r="AQC102" s="395"/>
      <c r="AQD102" s="395"/>
      <c r="AQE102" s="395"/>
      <c r="AQF102" s="395"/>
      <c r="AQG102" s="395"/>
      <c r="AQH102" s="395"/>
      <c r="AQI102" s="395"/>
      <c r="AQJ102" s="395"/>
      <c r="AQK102" s="395"/>
      <c r="AQL102" s="395"/>
      <c r="AQM102" s="395"/>
      <c r="AQN102" s="395"/>
      <c r="AQO102" s="395"/>
      <c r="AQP102" s="396"/>
      <c r="AQQ102" s="394"/>
      <c r="AQR102" s="395"/>
      <c r="AQS102" s="395"/>
      <c r="AQT102" s="395"/>
      <c r="AQU102" s="395"/>
      <c r="AQV102" s="395"/>
      <c r="AQW102" s="395"/>
      <c r="AQX102" s="395"/>
      <c r="AQY102" s="395"/>
      <c r="AQZ102" s="395"/>
      <c r="ARA102" s="395"/>
      <c r="ARB102" s="395"/>
      <c r="ARC102" s="395"/>
      <c r="ARD102" s="395"/>
      <c r="ARE102" s="395"/>
      <c r="ARF102" s="395"/>
      <c r="ARG102" s="395"/>
      <c r="ARH102" s="395"/>
      <c r="ARI102" s="395"/>
      <c r="ARJ102" s="395"/>
      <c r="ARK102" s="395"/>
      <c r="ARL102" s="395"/>
      <c r="ARM102" s="395"/>
      <c r="ARN102" s="395"/>
      <c r="ARO102" s="395"/>
      <c r="ARP102" s="395"/>
      <c r="ARQ102" s="396"/>
      <c r="ARR102" s="394"/>
      <c r="ARS102" s="395"/>
      <c r="ART102" s="395"/>
      <c r="ARU102" s="395"/>
      <c r="ARV102" s="395"/>
      <c r="ARW102" s="395"/>
      <c r="ARX102" s="395"/>
      <c r="ARY102" s="395"/>
      <c r="ARZ102" s="395"/>
      <c r="ASA102" s="395"/>
      <c r="ASB102" s="395"/>
      <c r="ASC102" s="395"/>
      <c r="ASD102" s="395"/>
      <c r="ASE102" s="395"/>
      <c r="ASF102" s="395"/>
      <c r="ASG102" s="395"/>
      <c r="ASH102" s="395"/>
      <c r="ASI102" s="395"/>
      <c r="ASJ102" s="395"/>
      <c r="ASK102" s="395"/>
      <c r="ASL102" s="395"/>
      <c r="ASM102" s="395"/>
      <c r="ASN102" s="395"/>
      <c r="ASO102" s="395"/>
      <c r="ASP102" s="395"/>
      <c r="ASQ102" s="395"/>
      <c r="ASR102" s="396"/>
      <c r="ASS102" s="394"/>
      <c r="AST102" s="395"/>
      <c r="ASU102" s="395"/>
      <c r="ASV102" s="395"/>
      <c r="ASW102" s="395"/>
      <c r="ASX102" s="395"/>
      <c r="ASY102" s="395"/>
      <c r="ASZ102" s="395"/>
      <c r="ATA102" s="395"/>
      <c r="ATB102" s="395"/>
      <c r="ATC102" s="395"/>
      <c r="ATD102" s="395"/>
      <c r="ATE102" s="395"/>
      <c r="ATF102" s="395"/>
      <c r="ATG102" s="395"/>
      <c r="ATH102" s="395"/>
      <c r="ATI102" s="395"/>
      <c r="ATJ102" s="395"/>
      <c r="ATK102" s="395"/>
      <c r="ATL102" s="395"/>
      <c r="ATM102" s="395"/>
      <c r="ATN102" s="395"/>
      <c r="ATO102" s="395"/>
      <c r="ATP102" s="395"/>
      <c r="ATQ102" s="395"/>
      <c r="ATR102" s="395"/>
      <c r="ATS102" s="396"/>
      <c r="ATT102" s="394"/>
      <c r="ATU102" s="395"/>
      <c r="ATV102" s="395"/>
      <c r="ATW102" s="395"/>
      <c r="ATX102" s="395"/>
      <c r="ATY102" s="395"/>
      <c r="ATZ102" s="395"/>
      <c r="AUA102" s="395"/>
      <c r="AUB102" s="395"/>
      <c r="AUC102" s="395"/>
      <c r="AUD102" s="395"/>
      <c r="AUE102" s="395"/>
      <c r="AUF102" s="395"/>
      <c r="AUG102" s="395"/>
      <c r="AUH102" s="395"/>
      <c r="AUI102" s="395"/>
      <c r="AUJ102" s="395"/>
      <c r="AUK102" s="395"/>
      <c r="AUL102" s="395"/>
      <c r="AUM102" s="395"/>
      <c r="AUN102" s="395"/>
      <c r="AUO102" s="395"/>
      <c r="AUP102" s="395"/>
      <c r="AUQ102" s="395"/>
      <c r="AUR102" s="395"/>
      <c r="AUS102" s="395"/>
      <c r="AUT102" s="396"/>
      <c r="AUU102" s="394"/>
      <c r="AUV102" s="395"/>
      <c r="AUW102" s="395"/>
      <c r="AUX102" s="395"/>
      <c r="AUY102" s="395"/>
      <c r="AUZ102" s="395"/>
      <c r="AVA102" s="395"/>
      <c r="AVB102" s="395"/>
      <c r="AVC102" s="395"/>
      <c r="AVD102" s="395"/>
      <c r="AVE102" s="395"/>
      <c r="AVF102" s="395"/>
      <c r="AVG102" s="395"/>
      <c r="AVH102" s="395"/>
      <c r="AVI102" s="395"/>
      <c r="AVJ102" s="395"/>
      <c r="AVK102" s="395"/>
      <c r="AVL102" s="395"/>
      <c r="AVM102" s="395"/>
      <c r="AVN102" s="395"/>
      <c r="AVO102" s="395"/>
      <c r="AVP102" s="395"/>
      <c r="AVQ102" s="395"/>
      <c r="AVR102" s="395"/>
      <c r="AVS102" s="395"/>
      <c r="AVT102" s="395"/>
      <c r="AVU102" s="396"/>
      <c r="AVV102" s="394"/>
      <c r="AVW102" s="395"/>
      <c r="AVX102" s="395"/>
      <c r="AVY102" s="395"/>
      <c r="AVZ102" s="395"/>
      <c r="AWA102" s="395"/>
      <c r="AWB102" s="395"/>
      <c r="AWC102" s="395"/>
      <c r="AWD102" s="395"/>
      <c r="AWE102" s="395"/>
      <c r="AWF102" s="395"/>
      <c r="AWG102" s="395"/>
      <c r="AWH102" s="395"/>
      <c r="AWI102" s="395"/>
      <c r="AWJ102" s="395"/>
      <c r="AWK102" s="395"/>
      <c r="AWL102" s="395"/>
      <c r="AWM102" s="395"/>
      <c r="AWN102" s="395"/>
      <c r="AWO102" s="395"/>
      <c r="AWP102" s="395"/>
      <c r="AWQ102" s="395"/>
      <c r="AWR102" s="395"/>
      <c r="AWS102" s="395"/>
      <c r="AWT102" s="395"/>
      <c r="AWU102" s="395"/>
      <c r="AWV102" s="396"/>
      <c r="AWW102" s="394"/>
      <c r="AWX102" s="395"/>
      <c r="AWY102" s="395"/>
      <c r="AWZ102" s="395"/>
      <c r="AXA102" s="395"/>
      <c r="AXB102" s="395"/>
      <c r="AXC102" s="395"/>
      <c r="AXD102" s="395"/>
      <c r="AXE102" s="395"/>
      <c r="AXF102" s="395"/>
      <c r="AXG102" s="395"/>
      <c r="AXH102" s="395"/>
      <c r="AXI102" s="395"/>
      <c r="AXJ102" s="395"/>
      <c r="AXK102" s="395"/>
      <c r="AXL102" s="395"/>
      <c r="AXM102" s="395"/>
      <c r="AXN102" s="395"/>
      <c r="AXO102" s="395"/>
      <c r="AXP102" s="395"/>
      <c r="AXQ102" s="395"/>
      <c r="AXR102" s="395"/>
      <c r="AXS102" s="395"/>
      <c r="AXT102" s="395"/>
      <c r="AXU102" s="395"/>
      <c r="AXV102" s="395"/>
      <c r="AXW102" s="396"/>
      <c r="AXX102" s="394"/>
      <c r="AXY102" s="395"/>
      <c r="AXZ102" s="395"/>
      <c r="AYA102" s="395"/>
      <c r="AYB102" s="395"/>
      <c r="AYC102" s="395"/>
      <c r="AYD102" s="395"/>
      <c r="AYE102" s="395"/>
      <c r="AYF102" s="395"/>
      <c r="AYG102" s="395"/>
      <c r="AYH102" s="395"/>
      <c r="AYI102" s="395"/>
      <c r="AYJ102" s="395"/>
      <c r="AYK102" s="395"/>
      <c r="AYL102" s="395"/>
      <c r="AYM102" s="395"/>
      <c r="AYN102" s="395"/>
      <c r="AYO102" s="395"/>
      <c r="AYP102" s="395"/>
      <c r="AYQ102" s="395"/>
      <c r="AYR102" s="395"/>
      <c r="AYS102" s="395"/>
      <c r="AYT102" s="395"/>
      <c r="AYU102" s="395"/>
      <c r="AYV102" s="395"/>
      <c r="AYW102" s="395"/>
      <c r="AYX102" s="396"/>
      <c r="AYY102" s="394"/>
      <c r="AYZ102" s="395"/>
      <c r="AZA102" s="395"/>
      <c r="AZB102" s="395"/>
      <c r="AZC102" s="395"/>
      <c r="AZD102" s="395"/>
      <c r="AZE102" s="395"/>
      <c r="AZF102" s="395"/>
      <c r="AZG102" s="395"/>
      <c r="AZH102" s="395"/>
      <c r="AZI102" s="395"/>
      <c r="AZJ102" s="395"/>
      <c r="AZK102" s="395"/>
      <c r="AZL102" s="395"/>
      <c r="AZM102" s="395"/>
      <c r="AZN102" s="395"/>
      <c r="AZO102" s="395"/>
      <c r="AZP102" s="395"/>
      <c r="AZQ102" s="395"/>
      <c r="AZR102" s="395"/>
      <c r="AZS102" s="395"/>
      <c r="AZT102" s="395"/>
      <c r="AZU102" s="395"/>
      <c r="AZV102" s="395"/>
      <c r="AZW102" s="395"/>
      <c r="AZX102" s="395"/>
      <c r="AZY102" s="396"/>
      <c r="AZZ102" s="394"/>
      <c r="BAA102" s="395"/>
      <c r="BAB102" s="395"/>
      <c r="BAC102" s="395"/>
      <c r="BAD102" s="395"/>
      <c r="BAE102" s="395"/>
      <c r="BAF102" s="395"/>
      <c r="BAG102" s="395"/>
      <c r="BAH102" s="395"/>
      <c r="BAI102" s="395"/>
      <c r="BAJ102" s="395"/>
      <c r="BAK102" s="395"/>
      <c r="BAL102" s="395"/>
      <c r="BAM102" s="395"/>
      <c r="BAN102" s="395"/>
      <c r="BAO102" s="395"/>
      <c r="BAP102" s="395"/>
      <c r="BAQ102" s="395"/>
      <c r="BAR102" s="395"/>
      <c r="BAS102" s="395"/>
      <c r="BAT102" s="395"/>
      <c r="BAU102" s="395"/>
      <c r="BAV102" s="395"/>
      <c r="BAW102" s="395"/>
      <c r="BAX102" s="395"/>
      <c r="BAY102" s="395"/>
      <c r="BAZ102" s="396"/>
      <c r="BBA102" s="394"/>
      <c r="BBB102" s="395"/>
      <c r="BBC102" s="395"/>
      <c r="BBD102" s="395"/>
      <c r="BBE102" s="395"/>
      <c r="BBF102" s="395"/>
      <c r="BBG102" s="395"/>
      <c r="BBH102" s="395"/>
      <c r="BBI102" s="395"/>
      <c r="BBJ102" s="395"/>
      <c r="BBK102" s="395"/>
      <c r="BBL102" s="395"/>
      <c r="BBM102" s="395"/>
      <c r="BBN102" s="395"/>
      <c r="BBO102" s="395"/>
      <c r="BBP102" s="395"/>
      <c r="BBQ102" s="395"/>
      <c r="BBR102" s="395"/>
      <c r="BBS102" s="395"/>
      <c r="BBT102" s="395"/>
      <c r="BBU102" s="395"/>
      <c r="BBV102" s="395"/>
      <c r="BBW102" s="395"/>
      <c r="BBX102" s="395"/>
      <c r="BBY102" s="395"/>
      <c r="BBZ102" s="395"/>
      <c r="BCA102" s="396"/>
      <c r="BCB102" s="394"/>
      <c r="BCC102" s="395"/>
      <c r="BCD102" s="395"/>
      <c r="BCE102" s="395"/>
      <c r="BCF102" s="395"/>
      <c r="BCG102" s="395"/>
      <c r="BCH102" s="395"/>
      <c r="BCI102" s="395"/>
      <c r="BCJ102" s="395"/>
      <c r="BCK102" s="395"/>
      <c r="BCL102" s="395"/>
      <c r="BCM102" s="395"/>
      <c r="BCN102" s="395"/>
      <c r="BCO102" s="395"/>
      <c r="BCP102" s="395"/>
      <c r="BCQ102" s="395"/>
      <c r="BCR102" s="395"/>
      <c r="BCS102" s="395"/>
      <c r="BCT102" s="395"/>
      <c r="BCU102" s="395"/>
      <c r="BCV102" s="395"/>
      <c r="BCW102" s="395"/>
      <c r="BCX102" s="395"/>
      <c r="BCY102" s="395"/>
      <c r="BCZ102" s="395"/>
      <c r="BDA102" s="395"/>
      <c r="BDB102" s="396"/>
      <c r="BDC102" s="394"/>
      <c r="BDD102" s="395"/>
      <c r="BDE102" s="395"/>
      <c r="BDF102" s="395"/>
      <c r="BDG102" s="395"/>
      <c r="BDH102" s="395"/>
      <c r="BDI102" s="395"/>
      <c r="BDJ102" s="395"/>
      <c r="BDK102" s="395"/>
      <c r="BDL102" s="395"/>
      <c r="BDM102" s="395"/>
      <c r="BDN102" s="395"/>
      <c r="BDO102" s="395"/>
      <c r="BDP102" s="395"/>
      <c r="BDQ102" s="395"/>
      <c r="BDR102" s="395"/>
      <c r="BDS102" s="395"/>
      <c r="BDT102" s="395"/>
      <c r="BDU102" s="395"/>
      <c r="BDV102" s="395"/>
      <c r="BDW102" s="395"/>
      <c r="BDX102" s="395"/>
      <c r="BDY102" s="395"/>
      <c r="BDZ102" s="395"/>
      <c r="BEA102" s="395"/>
      <c r="BEB102" s="395"/>
      <c r="BEC102" s="396"/>
      <c r="BED102" s="394"/>
      <c r="BEE102" s="395"/>
      <c r="BEF102" s="395"/>
      <c r="BEG102" s="395"/>
      <c r="BEH102" s="395"/>
      <c r="BEI102" s="395"/>
      <c r="BEJ102" s="395"/>
      <c r="BEK102" s="395"/>
      <c r="BEL102" s="395"/>
      <c r="BEM102" s="395"/>
      <c r="BEN102" s="395"/>
      <c r="BEO102" s="395"/>
      <c r="BEP102" s="395"/>
      <c r="BEQ102" s="395"/>
      <c r="BER102" s="395"/>
      <c r="BES102" s="395"/>
      <c r="BET102" s="395"/>
      <c r="BEU102" s="395"/>
      <c r="BEV102" s="395"/>
      <c r="BEW102" s="395"/>
      <c r="BEX102" s="395"/>
      <c r="BEY102" s="395"/>
      <c r="BEZ102" s="395"/>
      <c r="BFA102" s="395"/>
      <c r="BFB102" s="395"/>
      <c r="BFC102" s="395"/>
      <c r="BFD102" s="396"/>
      <c r="BFE102" s="394"/>
      <c r="BFF102" s="395"/>
      <c r="BFG102" s="395"/>
      <c r="BFH102" s="395"/>
      <c r="BFI102" s="395"/>
      <c r="BFJ102" s="395"/>
      <c r="BFK102" s="395"/>
      <c r="BFL102" s="395"/>
      <c r="BFM102" s="395"/>
      <c r="BFN102" s="395"/>
      <c r="BFO102" s="395"/>
      <c r="BFP102" s="395"/>
      <c r="BFQ102" s="395"/>
      <c r="BFR102" s="395"/>
      <c r="BFS102" s="395"/>
      <c r="BFT102" s="395"/>
      <c r="BFU102" s="395"/>
      <c r="BFV102" s="395"/>
      <c r="BFW102" s="395"/>
      <c r="BFX102" s="395"/>
      <c r="BFY102" s="395"/>
      <c r="BFZ102" s="395"/>
      <c r="BGA102" s="395"/>
      <c r="BGB102" s="395"/>
      <c r="BGC102" s="395"/>
      <c r="BGD102" s="395"/>
      <c r="BGE102" s="396"/>
      <c r="BGF102" s="394"/>
      <c r="BGG102" s="395"/>
      <c r="BGH102" s="395"/>
      <c r="BGI102" s="395"/>
      <c r="BGJ102" s="395"/>
      <c r="BGK102" s="395"/>
      <c r="BGL102" s="395"/>
      <c r="BGM102" s="395"/>
      <c r="BGN102" s="395"/>
      <c r="BGO102" s="395"/>
      <c r="BGP102" s="395"/>
      <c r="BGQ102" s="395"/>
      <c r="BGR102" s="395"/>
      <c r="BGS102" s="395"/>
      <c r="BGT102" s="395"/>
      <c r="BGU102" s="395"/>
      <c r="BGV102" s="395"/>
      <c r="BGW102" s="395"/>
      <c r="BGX102" s="395"/>
      <c r="BGY102" s="395"/>
      <c r="BGZ102" s="395"/>
      <c r="BHA102" s="395"/>
      <c r="BHB102" s="395"/>
      <c r="BHC102" s="395"/>
      <c r="BHD102" s="395"/>
      <c r="BHE102" s="395"/>
      <c r="BHF102" s="396"/>
      <c r="BHG102" s="394"/>
      <c r="BHH102" s="395"/>
      <c r="BHI102" s="395"/>
      <c r="BHJ102" s="395"/>
      <c r="BHK102" s="395"/>
      <c r="BHL102" s="395"/>
      <c r="BHM102" s="395"/>
      <c r="BHN102" s="395"/>
      <c r="BHO102" s="395"/>
      <c r="BHP102" s="395"/>
      <c r="BHQ102" s="395"/>
      <c r="BHR102" s="395"/>
      <c r="BHS102" s="395"/>
      <c r="BHT102" s="395"/>
      <c r="BHU102" s="395"/>
      <c r="BHV102" s="395"/>
      <c r="BHW102" s="395"/>
      <c r="BHX102" s="395"/>
      <c r="BHY102" s="395"/>
      <c r="BHZ102" s="395"/>
      <c r="BIA102" s="395"/>
      <c r="BIB102" s="395"/>
      <c r="BIC102" s="395"/>
      <c r="BID102" s="395"/>
      <c r="BIE102" s="395"/>
      <c r="BIF102" s="395"/>
      <c r="BIG102" s="396"/>
      <c r="BIH102" s="394"/>
      <c r="BII102" s="395"/>
      <c r="BIJ102" s="395"/>
      <c r="BIK102" s="395"/>
      <c r="BIL102" s="395"/>
      <c r="BIM102" s="395"/>
      <c r="BIN102" s="395"/>
      <c r="BIO102" s="395"/>
      <c r="BIP102" s="395"/>
      <c r="BIQ102" s="395"/>
      <c r="BIR102" s="395"/>
      <c r="BIS102" s="395"/>
      <c r="BIT102" s="395"/>
      <c r="BIU102" s="395"/>
      <c r="BIV102" s="395"/>
      <c r="BIW102" s="395"/>
      <c r="BIX102" s="395"/>
      <c r="BIY102" s="395"/>
      <c r="BIZ102" s="395"/>
      <c r="BJA102" s="395"/>
      <c r="BJB102" s="395"/>
      <c r="BJC102" s="395"/>
      <c r="BJD102" s="395"/>
      <c r="BJE102" s="395"/>
      <c r="BJF102" s="395"/>
      <c r="BJG102" s="395"/>
      <c r="BJH102" s="396"/>
      <c r="BJI102" s="394"/>
      <c r="BJJ102" s="395"/>
      <c r="BJK102" s="395"/>
      <c r="BJL102" s="395"/>
      <c r="BJM102" s="395"/>
      <c r="BJN102" s="395"/>
      <c r="BJO102" s="395"/>
      <c r="BJP102" s="395"/>
      <c r="BJQ102" s="395"/>
      <c r="BJR102" s="395"/>
      <c r="BJS102" s="395"/>
      <c r="BJT102" s="395"/>
      <c r="BJU102" s="395"/>
      <c r="BJV102" s="395"/>
      <c r="BJW102" s="395"/>
      <c r="BJX102" s="395"/>
      <c r="BJY102" s="395"/>
      <c r="BJZ102" s="395"/>
      <c r="BKA102" s="395"/>
      <c r="BKB102" s="395"/>
      <c r="BKC102" s="395"/>
      <c r="BKD102" s="395"/>
      <c r="BKE102" s="395"/>
      <c r="BKF102" s="395"/>
      <c r="BKG102" s="395"/>
      <c r="BKH102" s="395"/>
      <c r="BKI102" s="396"/>
      <c r="BKJ102" s="394"/>
      <c r="BKK102" s="395"/>
      <c r="BKL102" s="395"/>
      <c r="BKM102" s="395"/>
      <c r="BKN102" s="395"/>
      <c r="BKO102" s="395"/>
      <c r="BKP102" s="395"/>
      <c r="BKQ102" s="395"/>
      <c r="BKR102" s="395"/>
      <c r="BKS102" s="395"/>
      <c r="BKT102" s="395"/>
      <c r="BKU102" s="395"/>
      <c r="BKV102" s="395"/>
      <c r="BKW102" s="395"/>
      <c r="BKX102" s="395"/>
      <c r="BKY102" s="395"/>
      <c r="BKZ102" s="395"/>
      <c r="BLA102" s="395"/>
      <c r="BLB102" s="395"/>
      <c r="BLC102" s="395"/>
      <c r="BLD102" s="395"/>
      <c r="BLE102" s="395"/>
      <c r="BLF102" s="395"/>
      <c r="BLG102" s="395"/>
      <c r="BLH102" s="395"/>
      <c r="BLI102" s="395"/>
      <c r="BLJ102" s="396"/>
      <c r="BLK102" s="394"/>
      <c r="BLL102" s="395"/>
      <c r="BLM102" s="395"/>
      <c r="BLN102" s="395"/>
      <c r="BLO102" s="395"/>
      <c r="BLP102" s="395"/>
      <c r="BLQ102" s="395"/>
      <c r="BLR102" s="395"/>
      <c r="BLS102" s="395"/>
      <c r="BLT102" s="395"/>
      <c r="BLU102" s="395"/>
      <c r="BLV102" s="395"/>
      <c r="BLW102" s="395"/>
      <c r="BLX102" s="395"/>
      <c r="BLY102" s="395"/>
      <c r="BLZ102" s="395"/>
      <c r="BMA102" s="395"/>
      <c r="BMB102" s="395"/>
      <c r="BMC102" s="395"/>
      <c r="BMD102" s="395"/>
      <c r="BME102" s="395"/>
      <c r="BMF102" s="395"/>
      <c r="BMG102" s="395"/>
      <c r="BMH102" s="395"/>
      <c r="BMI102" s="395"/>
      <c r="BMJ102" s="395"/>
      <c r="BMK102" s="396"/>
      <c r="BML102" s="394"/>
      <c r="BMM102" s="395"/>
      <c r="BMN102" s="395"/>
      <c r="BMO102" s="395"/>
      <c r="BMP102" s="395"/>
      <c r="BMQ102" s="395"/>
      <c r="BMR102" s="395"/>
      <c r="BMS102" s="395"/>
      <c r="BMT102" s="395"/>
      <c r="BMU102" s="395"/>
      <c r="BMV102" s="395"/>
      <c r="BMW102" s="395"/>
      <c r="BMX102" s="395"/>
      <c r="BMY102" s="395"/>
      <c r="BMZ102" s="395"/>
      <c r="BNA102" s="395"/>
      <c r="BNB102" s="395"/>
      <c r="BNC102" s="395"/>
      <c r="BND102" s="395"/>
      <c r="BNE102" s="395"/>
      <c r="BNF102" s="395"/>
      <c r="BNG102" s="395"/>
      <c r="BNH102" s="395"/>
      <c r="BNI102" s="395"/>
      <c r="BNJ102" s="395"/>
      <c r="BNK102" s="395"/>
      <c r="BNL102" s="396"/>
      <c r="BNM102" s="394"/>
      <c r="BNN102" s="395"/>
      <c r="BNO102" s="395"/>
      <c r="BNP102" s="395"/>
      <c r="BNQ102" s="395"/>
      <c r="BNR102" s="395"/>
      <c r="BNS102" s="395"/>
      <c r="BNT102" s="395"/>
      <c r="BNU102" s="395"/>
      <c r="BNV102" s="395"/>
      <c r="BNW102" s="395"/>
      <c r="BNX102" s="395"/>
      <c r="BNY102" s="395"/>
      <c r="BNZ102" s="395"/>
      <c r="BOA102" s="395"/>
      <c r="BOB102" s="395"/>
      <c r="BOC102" s="395"/>
      <c r="BOD102" s="395"/>
      <c r="BOE102" s="395"/>
      <c r="BOF102" s="395"/>
      <c r="BOG102" s="395"/>
      <c r="BOH102" s="395"/>
      <c r="BOI102" s="395"/>
      <c r="BOJ102" s="395"/>
      <c r="BOK102" s="395"/>
      <c r="BOL102" s="395"/>
      <c r="BOM102" s="396"/>
      <c r="BON102" s="394"/>
      <c r="BOO102" s="395"/>
      <c r="BOP102" s="395"/>
      <c r="BOQ102" s="395"/>
      <c r="BOR102" s="395"/>
      <c r="BOS102" s="395"/>
      <c r="BOT102" s="395"/>
      <c r="BOU102" s="395"/>
      <c r="BOV102" s="395"/>
      <c r="BOW102" s="395"/>
      <c r="BOX102" s="395"/>
      <c r="BOY102" s="395"/>
      <c r="BOZ102" s="395"/>
      <c r="BPA102" s="395"/>
      <c r="BPB102" s="395"/>
      <c r="BPC102" s="395"/>
      <c r="BPD102" s="395"/>
      <c r="BPE102" s="395"/>
      <c r="BPF102" s="395"/>
      <c r="BPG102" s="395"/>
      <c r="BPH102" s="395"/>
      <c r="BPI102" s="395"/>
      <c r="BPJ102" s="395"/>
      <c r="BPK102" s="395"/>
      <c r="BPL102" s="395"/>
      <c r="BPM102" s="395"/>
      <c r="BPN102" s="396"/>
      <c r="BPO102" s="394"/>
      <c r="BPP102" s="395"/>
      <c r="BPQ102" s="395"/>
      <c r="BPR102" s="395"/>
      <c r="BPS102" s="395"/>
      <c r="BPT102" s="395"/>
      <c r="BPU102" s="395"/>
      <c r="BPV102" s="395"/>
      <c r="BPW102" s="395"/>
      <c r="BPX102" s="395"/>
      <c r="BPY102" s="395"/>
      <c r="BPZ102" s="395"/>
      <c r="BQA102" s="395"/>
      <c r="BQB102" s="395"/>
      <c r="BQC102" s="395"/>
      <c r="BQD102" s="395"/>
      <c r="BQE102" s="395"/>
      <c r="BQF102" s="395"/>
      <c r="BQG102" s="395"/>
      <c r="BQH102" s="395"/>
      <c r="BQI102" s="395"/>
      <c r="BQJ102" s="395"/>
      <c r="BQK102" s="395"/>
      <c r="BQL102" s="395"/>
      <c r="BQM102" s="395"/>
      <c r="BQN102" s="395"/>
      <c r="BQO102" s="396"/>
      <c r="BQP102" s="394"/>
      <c r="BQQ102" s="395"/>
      <c r="BQR102" s="395"/>
      <c r="BQS102" s="395"/>
      <c r="BQT102" s="395"/>
      <c r="BQU102" s="395"/>
      <c r="BQV102" s="395"/>
      <c r="BQW102" s="395"/>
      <c r="BQX102" s="395"/>
      <c r="BQY102" s="395"/>
      <c r="BQZ102" s="395"/>
      <c r="BRA102" s="395"/>
      <c r="BRB102" s="395"/>
      <c r="BRC102" s="395"/>
      <c r="BRD102" s="395"/>
      <c r="BRE102" s="395"/>
      <c r="BRF102" s="395"/>
      <c r="BRG102" s="395"/>
      <c r="BRH102" s="395"/>
      <c r="BRI102" s="395"/>
      <c r="BRJ102" s="395"/>
      <c r="BRK102" s="395"/>
      <c r="BRL102" s="395"/>
      <c r="BRM102" s="395"/>
      <c r="BRN102" s="395"/>
      <c r="BRO102" s="395"/>
      <c r="BRP102" s="396"/>
      <c r="BRQ102" s="394"/>
      <c r="BRR102" s="395"/>
      <c r="BRS102" s="395"/>
      <c r="BRT102" s="395"/>
      <c r="BRU102" s="395"/>
      <c r="BRV102" s="395"/>
      <c r="BRW102" s="395"/>
      <c r="BRX102" s="395"/>
      <c r="BRY102" s="395"/>
      <c r="BRZ102" s="395"/>
      <c r="BSA102" s="395"/>
      <c r="BSB102" s="395"/>
      <c r="BSC102" s="395"/>
      <c r="BSD102" s="395"/>
      <c r="BSE102" s="395"/>
      <c r="BSF102" s="395"/>
      <c r="BSG102" s="395"/>
      <c r="BSH102" s="395"/>
      <c r="BSI102" s="395"/>
      <c r="BSJ102" s="395"/>
      <c r="BSK102" s="395"/>
      <c r="BSL102" s="395"/>
      <c r="BSM102" s="395"/>
      <c r="BSN102" s="395"/>
      <c r="BSO102" s="395"/>
      <c r="BSP102" s="395"/>
      <c r="BSQ102" s="396"/>
      <c r="BSR102" s="394"/>
      <c r="BSS102" s="395"/>
      <c r="BST102" s="395"/>
      <c r="BSU102" s="395"/>
      <c r="BSV102" s="395"/>
      <c r="BSW102" s="395"/>
      <c r="BSX102" s="395"/>
      <c r="BSY102" s="395"/>
      <c r="BSZ102" s="395"/>
      <c r="BTA102" s="395"/>
      <c r="BTB102" s="395"/>
      <c r="BTC102" s="395"/>
      <c r="BTD102" s="395"/>
      <c r="BTE102" s="395"/>
      <c r="BTF102" s="395"/>
      <c r="BTG102" s="395"/>
      <c r="BTH102" s="395"/>
      <c r="BTI102" s="395"/>
      <c r="BTJ102" s="395"/>
      <c r="BTK102" s="395"/>
      <c r="BTL102" s="395"/>
      <c r="BTM102" s="395"/>
      <c r="BTN102" s="395"/>
      <c r="BTO102" s="395"/>
      <c r="BTP102" s="395"/>
      <c r="BTQ102" s="395"/>
      <c r="BTR102" s="396"/>
      <c r="BTS102" s="394"/>
      <c r="BTT102" s="395"/>
      <c r="BTU102" s="395"/>
      <c r="BTV102" s="395"/>
      <c r="BTW102" s="395"/>
      <c r="BTX102" s="395"/>
      <c r="BTY102" s="395"/>
      <c r="BTZ102" s="395"/>
      <c r="BUA102" s="395"/>
      <c r="BUB102" s="395"/>
      <c r="BUC102" s="395"/>
      <c r="BUD102" s="395"/>
      <c r="BUE102" s="395"/>
      <c r="BUF102" s="395"/>
      <c r="BUG102" s="395"/>
      <c r="BUH102" s="395"/>
      <c r="BUI102" s="395"/>
      <c r="BUJ102" s="395"/>
      <c r="BUK102" s="395"/>
      <c r="BUL102" s="395"/>
      <c r="BUM102" s="395"/>
      <c r="BUN102" s="395"/>
      <c r="BUO102" s="395"/>
      <c r="BUP102" s="395"/>
      <c r="BUQ102" s="395"/>
      <c r="BUR102" s="395"/>
      <c r="BUS102" s="396"/>
      <c r="BUT102" s="394"/>
      <c r="BUU102" s="395"/>
      <c r="BUV102" s="395"/>
      <c r="BUW102" s="395"/>
      <c r="BUX102" s="395"/>
      <c r="BUY102" s="395"/>
      <c r="BUZ102" s="395"/>
      <c r="BVA102" s="395"/>
      <c r="BVB102" s="395"/>
      <c r="BVC102" s="395"/>
      <c r="BVD102" s="395"/>
      <c r="BVE102" s="395"/>
      <c r="BVF102" s="395"/>
      <c r="BVG102" s="395"/>
      <c r="BVH102" s="395"/>
      <c r="BVI102" s="395"/>
      <c r="BVJ102" s="395"/>
      <c r="BVK102" s="395"/>
      <c r="BVL102" s="395"/>
      <c r="BVM102" s="395"/>
      <c r="BVN102" s="395"/>
      <c r="BVO102" s="395"/>
      <c r="BVP102" s="395"/>
      <c r="BVQ102" s="395"/>
      <c r="BVR102" s="395"/>
      <c r="BVS102" s="395"/>
      <c r="BVT102" s="396"/>
      <c r="BVU102" s="394"/>
      <c r="BVV102" s="395"/>
      <c r="BVW102" s="395"/>
      <c r="BVX102" s="395"/>
      <c r="BVY102" s="395"/>
      <c r="BVZ102" s="395"/>
      <c r="BWA102" s="395"/>
      <c r="BWB102" s="395"/>
      <c r="BWC102" s="395"/>
      <c r="BWD102" s="395"/>
      <c r="BWE102" s="395"/>
      <c r="BWF102" s="395"/>
      <c r="BWG102" s="395"/>
      <c r="BWH102" s="395"/>
      <c r="BWI102" s="395"/>
      <c r="BWJ102" s="395"/>
      <c r="BWK102" s="395"/>
      <c r="BWL102" s="395"/>
      <c r="BWM102" s="395"/>
      <c r="BWN102" s="395"/>
      <c r="BWO102" s="395"/>
      <c r="BWP102" s="395"/>
      <c r="BWQ102" s="395"/>
      <c r="BWR102" s="395"/>
      <c r="BWS102" s="395"/>
      <c r="BWT102" s="395"/>
      <c r="BWU102" s="396"/>
      <c r="BWV102" s="394"/>
      <c r="BWW102" s="395"/>
      <c r="BWX102" s="395"/>
      <c r="BWY102" s="395"/>
      <c r="BWZ102" s="395"/>
      <c r="BXA102" s="395"/>
      <c r="BXB102" s="395"/>
      <c r="BXC102" s="395"/>
      <c r="BXD102" s="395"/>
      <c r="BXE102" s="395"/>
      <c r="BXF102" s="395"/>
      <c r="BXG102" s="395"/>
      <c r="BXH102" s="395"/>
      <c r="BXI102" s="395"/>
      <c r="BXJ102" s="395"/>
      <c r="BXK102" s="395"/>
      <c r="BXL102" s="395"/>
      <c r="BXM102" s="395"/>
      <c r="BXN102" s="395"/>
      <c r="BXO102" s="395"/>
      <c r="BXP102" s="395"/>
      <c r="BXQ102" s="395"/>
      <c r="BXR102" s="395"/>
      <c r="BXS102" s="395"/>
      <c r="BXT102" s="395"/>
      <c r="BXU102" s="395"/>
      <c r="BXV102" s="396"/>
      <c r="BXW102" s="394"/>
      <c r="BXX102" s="395"/>
      <c r="BXY102" s="395"/>
      <c r="BXZ102" s="395"/>
      <c r="BYA102" s="395"/>
      <c r="BYB102" s="395"/>
      <c r="BYC102" s="395"/>
      <c r="BYD102" s="395"/>
      <c r="BYE102" s="395"/>
      <c r="BYF102" s="395"/>
      <c r="BYG102" s="395"/>
      <c r="BYH102" s="395"/>
      <c r="BYI102" s="395"/>
      <c r="BYJ102" s="395"/>
      <c r="BYK102" s="395"/>
      <c r="BYL102" s="395"/>
      <c r="BYM102" s="395"/>
      <c r="BYN102" s="395"/>
      <c r="BYO102" s="395"/>
      <c r="BYP102" s="395"/>
      <c r="BYQ102" s="395"/>
      <c r="BYR102" s="395"/>
      <c r="BYS102" s="395"/>
      <c r="BYT102" s="395"/>
      <c r="BYU102" s="395"/>
      <c r="BYV102" s="395"/>
      <c r="BYW102" s="396"/>
      <c r="BYX102" s="394"/>
      <c r="BYY102" s="395"/>
      <c r="BYZ102" s="395"/>
      <c r="BZA102" s="395"/>
      <c r="BZB102" s="395"/>
      <c r="BZC102" s="395"/>
      <c r="BZD102" s="395"/>
      <c r="BZE102" s="395"/>
      <c r="BZF102" s="395"/>
      <c r="BZG102" s="395"/>
      <c r="BZH102" s="395"/>
      <c r="BZI102" s="395"/>
      <c r="BZJ102" s="395"/>
      <c r="BZK102" s="395"/>
      <c r="BZL102" s="395"/>
      <c r="BZM102" s="395"/>
      <c r="BZN102" s="395"/>
      <c r="BZO102" s="395"/>
      <c r="BZP102" s="395"/>
      <c r="BZQ102" s="395"/>
      <c r="BZR102" s="395"/>
      <c r="BZS102" s="395"/>
      <c r="BZT102" s="395"/>
      <c r="BZU102" s="395"/>
      <c r="BZV102" s="395"/>
      <c r="BZW102" s="395"/>
      <c r="BZX102" s="396"/>
      <c r="BZY102" s="394"/>
      <c r="BZZ102" s="395"/>
      <c r="CAA102" s="395"/>
      <c r="CAB102" s="395"/>
      <c r="CAC102" s="395"/>
      <c r="CAD102" s="395"/>
      <c r="CAE102" s="395"/>
      <c r="CAF102" s="395"/>
      <c r="CAG102" s="395"/>
      <c r="CAH102" s="395"/>
      <c r="CAI102" s="395"/>
      <c r="CAJ102" s="395"/>
      <c r="CAK102" s="395"/>
      <c r="CAL102" s="395"/>
      <c r="CAM102" s="395"/>
      <c r="CAN102" s="395"/>
      <c r="CAO102" s="395"/>
      <c r="CAP102" s="395"/>
      <c r="CAQ102" s="395"/>
      <c r="CAR102" s="395"/>
      <c r="CAS102" s="395"/>
      <c r="CAT102" s="395"/>
      <c r="CAU102" s="395"/>
      <c r="CAV102" s="395"/>
      <c r="CAW102" s="395"/>
      <c r="CAX102" s="395"/>
      <c r="CAY102" s="396"/>
      <c r="CAZ102" s="394"/>
      <c r="CBA102" s="395"/>
      <c r="CBB102" s="395"/>
      <c r="CBC102" s="395"/>
      <c r="CBD102" s="395"/>
      <c r="CBE102" s="395"/>
      <c r="CBF102" s="395"/>
      <c r="CBG102" s="395"/>
      <c r="CBH102" s="395"/>
      <c r="CBI102" s="395"/>
      <c r="CBJ102" s="395"/>
      <c r="CBK102" s="395"/>
      <c r="CBL102" s="395"/>
      <c r="CBM102" s="395"/>
      <c r="CBN102" s="395"/>
      <c r="CBO102" s="395"/>
      <c r="CBP102" s="395"/>
      <c r="CBQ102" s="395"/>
      <c r="CBR102" s="395"/>
      <c r="CBS102" s="395"/>
      <c r="CBT102" s="395"/>
      <c r="CBU102" s="395"/>
      <c r="CBV102" s="395"/>
      <c r="CBW102" s="395"/>
      <c r="CBX102" s="395"/>
      <c r="CBY102" s="395"/>
      <c r="CBZ102" s="396"/>
      <c r="CCA102" s="394"/>
      <c r="CCB102" s="395"/>
      <c r="CCC102" s="395"/>
      <c r="CCD102" s="395"/>
      <c r="CCE102" s="395"/>
      <c r="CCF102" s="395"/>
      <c r="CCG102" s="395"/>
      <c r="CCH102" s="395"/>
      <c r="CCI102" s="395"/>
      <c r="CCJ102" s="395"/>
      <c r="CCK102" s="395"/>
      <c r="CCL102" s="395"/>
      <c r="CCM102" s="395"/>
      <c r="CCN102" s="395"/>
      <c r="CCO102" s="395"/>
      <c r="CCP102" s="395"/>
      <c r="CCQ102" s="395"/>
      <c r="CCR102" s="395"/>
      <c r="CCS102" s="395"/>
      <c r="CCT102" s="395"/>
      <c r="CCU102" s="395"/>
      <c r="CCV102" s="395"/>
      <c r="CCW102" s="395"/>
      <c r="CCX102" s="395"/>
      <c r="CCY102" s="395"/>
      <c r="CCZ102" s="395"/>
      <c r="CDA102" s="396"/>
      <c r="CDB102" s="394"/>
      <c r="CDC102" s="395"/>
      <c r="CDD102" s="395"/>
      <c r="CDE102" s="395"/>
      <c r="CDF102" s="395"/>
      <c r="CDG102" s="395"/>
      <c r="CDH102" s="395"/>
      <c r="CDI102" s="395"/>
      <c r="CDJ102" s="395"/>
      <c r="CDK102" s="395"/>
      <c r="CDL102" s="395"/>
      <c r="CDM102" s="395"/>
      <c r="CDN102" s="395"/>
      <c r="CDO102" s="395"/>
      <c r="CDP102" s="395"/>
      <c r="CDQ102" s="395"/>
      <c r="CDR102" s="395"/>
      <c r="CDS102" s="395"/>
      <c r="CDT102" s="395"/>
      <c r="CDU102" s="395"/>
      <c r="CDV102" s="395"/>
      <c r="CDW102" s="395"/>
      <c r="CDX102" s="395"/>
      <c r="CDY102" s="395"/>
      <c r="CDZ102" s="395"/>
      <c r="CEA102" s="395"/>
      <c r="CEB102" s="396"/>
      <c r="CEC102" s="394"/>
      <c r="CED102" s="395"/>
      <c r="CEE102" s="395"/>
      <c r="CEF102" s="395"/>
      <c r="CEG102" s="395"/>
      <c r="CEH102" s="395"/>
      <c r="CEI102" s="395"/>
      <c r="CEJ102" s="395"/>
      <c r="CEK102" s="395"/>
      <c r="CEL102" s="395"/>
      <c r="CEM102" s="395"/>
      <c r="CEN102" s="395"/>
      <c r="CEO102" s="395"/>
      <c r="CEP102" s="395"/>
      <c r="CEQ102" s="395"/>
      <c r="CER102" s="395"/>
      <c r="CES102" s="395"/>
      <c r="CET102" s="395"/>
      <c r="CEU102" s="395"/>
      <c r="CEV102" s="395"/>
      <c r="CEW102" s="395"/>
      <c r="CEX102" s="395"/>
      <c r="CEY102" s="395"/>
      <c r="CEZ102" s="395"/>
      <c r="CFA102" s="395"/>
      <c r="CFB102" s="395"/>
      <c r="CFC102" s="396"/>
      <c r="CFD102" s="394"/>
      <c r="CFE102" s="395"/>
      <c r="CFF102" s="395"/>
      <c r="CFG102" s="395"/>
      <c r="CFH102" s="395"/>
      <c r="CFI102" s="395"/>
      <c r="CFJ102" s="395"/>
      <c r="CFK102" s="395"/>
      <c r="CFL102" s="395"/>
      <c r="CFM102" s="395"/>
      <c r="CFN102" s="395"/>
      <c r="CFO102" s="395"/>
      <c r="CFP102" s="395"/>
      <c r="CFQ102" s="395"/>
      <c r="CFR102" s="395"/>
      <c r="CFS102" s="395"/>
      <c r="CFT102" s="395"/>
      <c r="CFU102" s="395"/>
      <c r="CFV102" s="395"/>
      <c r="CFW102" s="395"/>
      <c r="CFX102" s="395"/>
      <c r="CFY102" s="395"/>
      <c r="CFZ102" s="395"/>
      <c r="CGA102" s="395"/>
      <c r="CGB102" s="395"/>
      <c r="CGC102" s="395"/>
      <c r="CGD102" s="396"/>
      <c r="CGE102" s="394"/>
      <c r="CGF102" s="395"/>
      <c r="CGG102" s="395"/>
      <c r="CGH102" s="395"/>
      <c r="CGI102" s="395"/>
      <c r="CGJ102" s="395"/>
      <c r="CGK102" s="395"/>
      <c r="CGL102" s="395"/>
      <c r="CGM102" s="395"/>
      <c r="CGN102" s="395"/>
      <c r="CGO102" s="395"/>
      <c r="CGP102" s="395"/>
      <c r="CGQ102" s="395"/>
      <c r="CGR102" s="395"/>
      <c r="CGS102" s="395"/>
      <c r="CGT102" s="395"/>
      <c r="CGU102" s="395"/>
      <c r="CGV102" s="395"/>
      <c r="CGW102" s="395"/>
      <c r="CGX102" s="395"/>
      <c r="CGY102" s="395"/>
      <c r="CGZ102" s="395"/>
      <c r="CHA102" s="395"/>
      <c r="CHB102" s="395"/>
      <c r="CHC102" s="395"/>
      <c r="CHD102" s="395"/>
      <c r="CHE102" s="396"/>
      <c r="CHF102" s="394"/>
      <c r="CHG102" s="395"/>
      <c r="CHH102" s="395"/>
      <c r="CHI102" s="395"/>
      <c r="CHJ102" s="395"/>
      <c r="CHK102" s="395"/>
      <c r="CHL102" s="395"/>
      <c r="CHM102" s="395"/>
      <c r="CHN102" s="395"/>
      <c r="CHO102" s="395"/>
      <c r="CHP102" s="395"/>
      <c r="CHQ102" s="395"/>
      <c r="CHR102" s="395"/>
      <c r="CHS102" s="395"/>
      <c r="CHT102" s="395"/>
      <c r="CHU102" s="395"/>
      <c r="CHV102" s="395"/>
      <c r="CHW102" s="395"/>
      <c r="CHX102" s="395"/>
      <c r="CHY102" s="395"/>
      <c r="CHZ102" s="395"/>
      <c r="CIA102" s="395"/>
      <c r="CIB102" s="395"/>
      <c r="CIC102" s="395"/>
      <c r="CID102" s="395"/>
      <c r="CIE102" s="395"/>
      <c r="CIF102" s="396"/>
      <c r="CIG102" s="394"/>
      <c r="CIH102" s="395"/>
      <c r="CII102" s="395"/>
      <c r="CIJ102" s="395"/>
      <c r="CIK102" s="395"/>
      <c r="CIL102" s="395"/>
      <c r="CIM102" s="395"/>
      <c r="CIN102" s="395"/>
      <c r="CIO102" s="395"/>
      <c r="CIP102" s="395"/>
      <c r="CIQ102" s="395"/>
      <c r="CIR102" s="395"/>
      <c r="CIS102" s="395"/>
      <c r="CIT102" s="395"/>
      <c r="CIU102" s="395"/>
      <c r="CIV102" s="395"/>
      <c r="CIW102" s="395"/>
      <c r="CIX102" s="395"/>
      <c r="CIY102" s="395"/>
      <c r="CIZ102" s="395"/>
      <c r="CJA102" s="395"/>
      <c r="CJB102" s="395"/>
      <c r="CJC102" s="395"/>
      <c r="CJD102" s="395"/>
      <c r="CJE102" s="395"/>
      <c r="CJF102" s="395"/>
      <c r="CJG102" s="396"/>
      <c r="CJH102" s="394"/>
      <c r="CJI102" s="395"/>
      <c r="CJJ102" s="395"/>
      <c r="CJK102" s="395"/>
      <c r="CJL102" s="395"/>
      <c r="CJM102" s="395"/>
      <c r="CJN102" s="395"/>
      <c r="CJO102" s="395"/>
      <c r="CJP102" s="395"/>
      <c r="CJQ102" s="395"/>
      <c r="CJR102" s="395"/>
      <c r="CJS102" s="395"/>
      <c r="CJT102" s="395"/>
      <c r="CJU102" s="395"/>
      <c r="CJV102" s="395"/>
      <c r="CJW102" s="395"/>
      <c r="CJX102" s="395"/>
      <c r="CJY102" s="395"/>
      <c r="CJZ102" s="395"/>
      <c r="CKA102" s="395"/>
      <c r="CKB102" s="395"/>
      <c r="CKC102" s="395"/>
      <c r="CKD102" s="395"/>
      <c r="CKE102" s="395"/>
      <c r="CKF102" s="395"/>
      <c r="CKG102" s="395"/>
      <c r="CKH102" s="396"/>
      <c r="CKI102" s="394"/>
      <c r="CKJ102" s="395"/>
      <c r="CKK102" s="395"/>
      <c r="CKL102" s="395"/>
      <c r="CKM102" s="395"/>
      <c r="CKN102" s="395"/>
      <c r="CKO102" s="395"/>
      <c r="CKP102" s="395"/>
      <c r="CKQ102" s="395"/>
      <c r="CKR102" s="395"/>
      <c r="CKS102" s="395"/>
      <c r="CKT102" s="395"/>
      <c r="CKU102" s="395"/>
      <c r="CKV102" s="395"/>
      <c r="CKW102" s="395"/>
      <c r="CKX102" s="395"/>
      <c r="CKY102" s="395"/>
      <c r="CKZ102" s="395"/>
      <c r="CLA102" s="395"/>
      <c r="CLB102" s="395"/>
      <c r="CLC102" s="395"/>
      <c r="CLD102" s="395"/>
      <c r="CLE102" s="395"/>
      <c r="CLF102" s="395"/>
      <c r="CLG102" s="395"/>
      <c r="CLH102" s="395"/>
      <c r="CLI102" s="396"/>
      <c r="CLJ102" s="394"/>
      <c r="CLK102" s="395"/>
      <c r="CLL102" s="395"/>
      <c r="CLM102" s="395"/>
      <c r="CLN102" s="395"/>
      <c r="CLO102" s="395"/>
      <c r="CLP102" s="395"/>
      <c r="CLQ102" s="395"/>
      <c r="CLR102" s="395"/>
      <c r="CLS102" s="395"/>
      <c r="CLT102" s="395"/>
      <c r="CLU102" s="395"/>
      <c r="CLV102" s="395"/>
      <c r="CLW102" s="395"/>
      <c r="CLX102" s="395"/>
      <c r="CLY102" s="395"/>
      <c r="CLZ102" s="395"/>
      <c r="CMA102" s="395"/>
      <c r="CMB102" s="395"/>
      <c r="CMC102" s="395"/>
      <c r="CMD102" s="395"/>
      <c r="CME102" s="395"/>
      <c r="CMF102" s="395"/>
      <c r="CMG102" s="395"/>
      <c r="CMH102" s="395"/>
      <c r="CMI102" s="395"/>
      <c r="CMJ102" s="396"/>
      <c r="CMK102" s="394"/>
      <c r="CML102" s="395"/>
      <c r="CMM102" s="395"/>
      <c r="CMN102" s="395"/>
      <c r="CMO102" s="395"/>
      <c r="CMP102" s="395"/>
      <c r="CMQ102" s="395"/>
      <c r="CMR102" s="395"/>
      <c r="CMS102" s="395"/>
      <c r="CMT102" s="395"/>
      <c r="CMU102" s="395"/>
      <c r="CMV102" s="395"/>
      <c r="CMW102" s="395"/>
      <c r="CMX102" s="395"/>
      <c r="CMY102" s="395"/>
      <c r="CMZ102" s="395"/>
      <c r="CNA102" s="395"/>
      <c r="CNB102" s="395"/>
      <c r="CNC102" s="395"/>
      <c r="CND102" s="395"/>
      <c r="CNE102" s="395"/>
      <c r="CNF102" s="395"/>
      <c r="CNG102" s="395"/>
      <c r="CNH102" s="395"/>
      <c r="CNI102" s="395"/>
      <c r="CNJ102" s="395"/>
      <c r="CNK102" s="396"/>
      <c r="CNL102" s="394"/>
      <c r="CNM102" s="395"/>
      <c r="CNN102" s="395"/>
      <c r="CNO102" s="395"/>
      <c r="CNP102" s="395"/>
      <c r="CNQ102" s="395"/>
      <c r="CNR102" s="395"/>
      <c r="CNS102" s="395"/>
      <c r="CNT102" s="395"/>
      <c r="CNU102" s="395"/>
      <c r="CNV102" s="395"/>
      <c r="CNW102" s="395"/>
      <c r="CNX102" s="395"/>
      <c r="CNY102" s="395"/>
      <c r="CNZ102" s="395"/>
      <c r="COA102" s="395"/>
      <c r="COB102" s="395"/>
      <c r="COC102" s="395"/>
      <c r="COD102" s="395"/>
      <c r="COE102" s="395"/>
      <c r="COF102" s="395"/>
      <c r="COG102" s="395"/>
      <c r="COH102" s="395"/>
      <c r="COI102" s="395"/>
      <c r="COJ102" s="395"/>
      <c r="COK102" s="395"/>
      <c r="COL102" s="396"/>
      <c r="COM102" s="394"/>
      <c r="CON102" s="395"/>
      <c r="COO102" s="395"/>
      <c r="COP102" s="395"/>
      <c r="COQ102" s="395"/>
      <c r="COR102" s="395"/>
      <c r="COS102" s="395"/>
      <c r="COT102" s="395"/>
      <c r="COU102" s="395"/>
      <c r="COV102" s="395"/>
      <c r="COW102" s="395"/>
      <c r="COX102" s="395"/>
      <c r="COY102" s="395"/>
      <c r="COZ102" s="395"/>
      <c r="CPA102" s="395"/>
      <c r="CPB102" s="395"/>
      <c r="CPC102" s="395"/>
      <c r="CPD102" s="395"/>
      <c r="CPE102" s="395"/>
      <c r="CPF102" s="395"/>
      <c r="CPG102" s="395"/>
      <c r="CPH102" s="395"/>
      <c r="CPI102" s="395"/>
      <c r="CPJ102" s="395"/>
      <c r="CPK102" s="395"/>
      <c r="CPL102" s="395"/>
      <c r="CPM102" s="396"/>
      <c r="CPN102" s="394"/>
      <c r="CPO102" s="395"/>
      <c r="CPP102" s="395"/>
      <c r="CPQ102" s="395"/>
      <c r="CPR102" s="395"/>
      <c r="CPS102" s="395"/>
      <c r="CPT102" s="395"/>
      <c r="CPU102" s="395"/>
      <c r="CPV102" s="395"/>
      <c r="CPW102" s="395"/>
      <c r="CPX102" s="395"/>
      <c r="CPY102" s="395"/>
      <c r="CPZ102" s="395"/>
      <c r="CQA102" s="395"/>
      <c r="CQB102" s="395"/>
      <c r="CQC102" s="395"/>
      <c r="CQD102" s="395"/>
      <c r="CQE102" s="395"/>
      <c r="CQF102" s="395"/>
      <c r="CQG102" s="395"/>
      <c r="CQH102" s="395"/>
      <c r="CQI102" s="395"/>
      <c r="CQJ102" s="395"/>
      <c r="CQK102" s="395"/>
      <c r="CQL102" s="395"/>
      <c r="CQM102" s="395"/>
      <c r="CQN102" s="396"/>
      <c r="CQO102" s="394"/>
      <c r="CQP102" s="395"/>
      <c r="CQQ102" s="395"/>
      <c r="CQR102" s="395"/>
      <c r="CQS102" s="395"/>
      <c r="CQT102" s="395"/>
      <c r="CQU102" s="395"/>
      <c r="CQV102" s="395"/>
      <c r="CQW102" s="395"/>
      <c r="CQX102" s="395"/>
      <c r="CQY102" s="395"/>
      <c r="CQZ102" s="395"/>
      <c r="CRA102" s="395"/>
      <c r="CRB102" s="395"/>
      <c r="CRC102" s="395"/>
      <c r="CRD102" s="395"/>
      <c r="CRE102" s="395"/>
      <c r="CRF102" s="395"/>
      <c r="CRG102" s="395"/>
      <c r="CRH102" s="395"/>
      <c r="CRI102" s="395"/>
      <c r="CRJ102" s="395"/>
      <c r="CRK102" s="395"/>
      <c r="CRL102" s="395"/>
      <c r="CRM102" s="395"/>
      <c r="CRN102" s="395"/>
      <c r="CRO102" s="396"/>
      <c r="CRP102" s="394"/>
      <c r="CRQ102" s="395"/>
      <c r="CRR102" s="395"/>
      <c r="CRS102" s="395"/>
      <c r="CRT102" s="395"/>
      <c r="CRU102" s="395"/>
      <c r="CRV102" s="395"/>
      <c r="CRW102" s="395"/>
      <c r="CRX102" s="395"/>
      <c r="CRY102" s="395"/>
      <c r="CRZ102" s="395"/>
      <c r="CSA102" s="395"/>
      <c r="CSB102" s="395"/>
      <c r="CSC102" s="395"/>
      <c r="CSD102" s="395"/>
      <c r="CSE102" s="395"/>
      <c r="CSF102" s="395"/>
      <c r="CSG102" s="395"/>
      <c r="CSH102" s="395"/>
      <c r="CSI102" s="395"/>
      <c r="CSJ102" s="395"/>
      <c r="CSK102" s="395"/>
      <c r="CSL102" s="395"/>
      <c r="CSM102" s="395"/>
      <c r="CSN102" s="395"/>
      <c r="CSO102" s="395"/>
      <c r="CSP102" s="396"/>
      <c r="CSQ102" s="394"/>
      <c r="CSR102" s="395"/>
      <c r="CSS102" s="395"/>
      <c r="CST102" s="395"/>
      <c r="CSU102" s="395"/>
      <c r="CSV102" s="395"/>
      <c r="CSW102" s="395"/>
      <c r="CSX102" s="395"/>
      <c r="CSY102" s="395"/>
      <c r="CSZ102" s="395"/>
      <c r="CTA102" s="395"/>
      <c r="CTB102" s="395"/>
      <c r="CTC102" s="395"/>
      <c r="CTD102" s="395"/>
      <c r="CTE102" s="395"/>
      <c r="CTF102" s="395"/>
      <c r="CTG102" s="395"/>
      <c r="CTH102" s="395"/>
      <c r="CTI102" s="395"/>
      <c r="CTJ102" s="395"/>
      <c r="CTK102" s="395"/>
      <c r="CTL102" s="395"/>
      <c r="CTM102" s="395"/>
      <c r="CTN102" s="395"/>
      <c r="CTO102" s="395"/>
      <c r="CTP102" s="395"/>
      <c r="CTQ102" s="396"/>
      <c r="CTR102" s="394"/>
      <c r="CTS102" s="395"/>
      <c r="CTT102" s="395"/>
      <c r="CTU102" s="395"/>
      <c r="CTV102" s="395"/>
      <c r="CTW102" s="395"/>
      <c r="CTX102" s="395"/>
      <c r="CTY102" s="395"/>
      <c r="CTZ102" s="395"/>
      <c r="CUA102" s="395"/>
      <c r="CUB102" s="395"/>
      <c r="CUC102" s="395"/>
      <c r="CUD102" s="395"/>
      <c r="CUE102" s="395"/>
      <c r="CUF102" s="395"/>
      <c r="CUG102" s="395"/>
      <c r="CUH102" s="395"/>
      <c r="CUI102" s="395"/>
      <c r="CUJ102" s="395"/>
      <c r="CUK102" s="395"/>
      <c r="CUL102" s="395"/>
      <c r="CUM102" s="395"/>
      <c r="CUN102" s="395"/>
      <c r="CUO102" s="395"/>
      <c r="CUP102" s="395"/>
      <c r="CUQ102" s="395"/>
      <c r="CUR102" s="396"/>
      <c r="CUS102" s="394"/>
      <c r="CUT102" s="395"/>
      <c r="CUU102" s="395"/>
      <c r="CUV102" s="395"/>
      <c r="CUW102" s="395"/>
      <c r="CUX102" s="395"/>
      <c r="CUY102" s="395"/>
      <c r="CUZ102" s="395"/>
      <c r="CVA102" s="395"/>
      <c r="CVB102" s="395"/>
      <c r="CVC102" s="395"/>
      <c r="CVD102" s="395"/>
      <c r="CVE102" s="395"/>
      <c r="CVF102" s="395"/>
      <c r="CVG102" s="395"/>
      <c r="CVH102" s="395"/>
      <c r="CVI102" s="395"/>
      <c r="CVJ102" s="395"/>
      <c r="CVK102" s="395"/>
      <c r="CVL102" s="395"/>
      <c r="CVM102" s="395"/>
      <c r="CVN102" s="395"/>
      <c r="CVO102" s="395"/>
      <c r="CVP102" s="395"/>
      <c r="CVQ102" s="395"/>
      <c r="CVR102" s="395"/>
      <c r="CVS102" s="396"/>
      <c r="CVT102" s="394"/>
      <c r="CVU102" s="395"/>
      <c r="CVV102" s="395"/>
      <c r="CVW102" s="395"/>
      <c r="CVX102" s="395"/>
      <c r="CVY102" s="395"/>
      <c r="CVZ102" s="395"/>
      <c r="CWA102" s="395"/>
      <c r="CWB102" s="395"/>
      <c r="CWC102" s="395"/>
      <c r="CWD102" s="395"/>
      <c r="CWE102" s="395"/>
      <c r="CWF102" s="395"/>
      <c r="CWG102" s="395"/>
      <c r="CWH102" s="395"/>
      <c r="CWI102" s="395"/>
      <c r="CWJ102" s="395"/>
      <c r="CWK102" s="395"/>
      <c r="CWL102" s="395"/>
      <c r="CWM102" s="395"/>
      <c r="CWN102" s="395"/>
      <c r="CWO102" s="395"/>
      <c r="CWP102" s="395"/>
      <c r="CWQ102" s="395"/>
      <c r="CWR102" s="395"/>
      <c r="CWS102" s="395"/>
      <c r="CWT102" s="396"/>
      <c r="CWU102" s="394"/>
      <c r="CWV102" s="395"/>
      <c r="CWW102" s="395"/>
      <c r="CWX102" s="395"/>
      <c r="CWY102" s="395"/>
      <c r="CWZ102" s="395"/>
      <c r="CXA102" s="395"/>
      <c r="CXB102" s="395"/>
      <c r="CXC102" s="395"/>
      <c r="CXD102" s="395"/>
      <c r="CXE102" s="395"/>
      <c r="CXF102" s="395"/>
      <c r="CXG102" s="395"/>
      <c r="CXH102" s="395"/>
      <c r="CXI102" s="395"/>
      <c r="CXJ102" s="395"/>
      <c r="CXK102" s="395"/>
      <c r="CXL102" s="395"/>
      <c r="CXM102" s="395"/>
      <c r="CXN102" s="395"/>
      <c r="CXO102" s="395"/>
      <c r="CXP102" s="395"/>
      <c r="CXQ102" s="395"/>
      <c r="CXR102" s="395"/>
      <c r="CXS102" s="395"/>
      <c r="CXT102" s="395"/>
      <c r="CXU102" s="396"/>
      <c r="CXV102" s="394"/>
      <c r="CXW102" s="395"/>
      <c r="CXX102" s="395"/>
      <c r="CXY102" s="395"/>
      <c r="CXZ102" s="395"/>
      <c r="CYA102" s="395"/>
      <c r="CYB102" s="395"/>
      <c r="CYC102" s="395"/>
      <c r="CYD102" s="395"/>
      <c r="CYE102" s="395"/>
      <c r="CYF102" s="395"/>
      <c r="CYG102" s="395"/>
      <c r="CYH102" s="395"/>
      <c r="CYI102" s="395"/>
      <c r="CYJ102" s="395"/>
      <c r="CYK102" s="395"/>
      <c r="CYL102" s="395"/>
      <c r="CYM102" s="395"/>
      <c r="CYN102" s="395"/>
      <c r="CYO102" s="395"/>
      <c r="CYP102" s="395"/>
      <c r="CYQ102" s="395"/>
      <c r="CYR102" s="395"/>
      <c r="CYS102" s="395"/>
      <c r="CYT102" s="395"/>
      <c r="CYU102" s="395"/>
      <c r="CYV102" s="396"/>
      <c r="CYW102" s="394"/>
      <c r="CYX102" s="395"/>
      <c r="CYY102" s="395"/>
      <c r="CYZ102" s="395"/>
      <c r="CZA102" s="395"/>
      <c r="CZB102" s="395"/>
      <c r="CZC102" s="395"/>
      <c r="CZD102" s="395"/>
      <c r="CZE102" s="395"/>
      <c r="CZF102" s="395"/>
      <c r="CZG102" s="395"/>
      <c r="CZH102" s="395"/>
      <c r="CZI102" s="395"/>
      <c r="CZJ102" s="395"/>
      <c r="CZK102" s="395"/>
      <c r="CZL102" s="395"/>
      <c r="CZM102" s="395"/>
      <c r="CZN102" s="395"/>
      <c r="CZO102" s="395"/>
      <c r="CZP102" s="395"/>
      <c r="CZQ102" s="395"/>
      <c r="CZR102" s="395"/>
      <c r="CZS102" s="395"/>
      <c r="CZT102" s="395"/>
      <c r="CZU102" s="395"/>
      <c r="CZV102" s="395"/>
      <c r="CZW102" s="396"/>
      <c r="CZX102" s="394"/>
      <c r="CZY102" s="395"/>
      <c r="CZZ102" s="395"/>
      <c r="DAA102" s="395"/>
      <c r="DAB102" s="395"/>
      <c r="DAC102" s="395"/>
      <c r="DAD102" s="395"/>
      <c r="DAE102" s="395"/>
      <c r="DAF102" s="395"/>
      <c r="DAG102" s="395"/>
      <c r="DAH102" s="395"/>
      <c r="DAI102" s="395"/>
      <c r="DAJ102" s="395"/>
      <c r="DAK102" s="395"/>
      <c r="DAL102" s="395"/>
      <c r="DAM102" s="395"/>
      <c r="DAN102" s="395"/>
      <c r="DAO102" s="395"/>
      <c r="DAP102" s="395"/>
      <c r="DAQ102" s="395"/>
      <c r="DAR102" s="395"/>
      <c r="DAS102" s="395"/>
      <c r="DAT102" s="395"/>
      <c r="DAU102" s="395"/>
      <c r="DAV102" s="395"/>
      <c r="DAW102" s="395"/>
      <c r="DAX102" s="396"/>
      <c r="DAY102" s="394"/>
      <c r="DAZ102" s="395"/>
      <c r="DBA102" s="395"/>
      <c r="DBB102" s="395"/>
      <c r="DBC102" s="395"/>
      <c r="DBD102" s="395"/>
      <c r="DBE102" s="395"/>
      <c r="DBF102" s="395"/>
      <c r="DBG102" s="395"/>
      <c r="DBH102" s="395"/>
      <c r="DBI102" s="395"/>
      <c r="DBJ102" s="395"/>
      <c r="DBK102" s="395"/>
      <c r="DBL102" s="395"/>
      <c r="DBM102" s="395"/>
      <c r="DBN102" s="395"/>
      <c r="DBO102" s="395"/>
      <c r="DBP102" s="395"/>
      <c r="DBQ102" s="395"/>
      <c r="DBR102" s="395"/>
      <c r="DBS102" s="395"/>
      <c r="DBT102" s="395"/>
      <c r="DBU102" s="395"/>
      <c r="DBV102" s="395"/>
      <c r="DBW102" s="395"/>
      <c r="DBX102" s="395"/>
      <c r="DBY102" s="396"/>
      <c r="DBZ102" s="394"/>
      <c r="DCA102" s="395"/>
      <c r="DCB102" s="395"/>
      <c r="DCC102" s="395"/>
      <c r="DCD102" s="395"/>
      <c r="DCE102" s="395"/>
      <c r="DCF102" s="395"/>
      <c r="DCG102" s="395"/>
      <c r="DCH102" s="395"/>
      <c r="DCI102" s="395"/>
      <c r="DCJ102" s="395"/>
      <c r="DCK102" s="395"/>
      <c r="DCL102" s="395"/>
      <c r="DCM102" s="395"/>
      <c r="DCN102" s="395"/>
      <c r="DCO102" s="395"/>
      <c r="DCP102" s="395"/>
      <c r="DCQ102" s="395"/>
      <c r="DCR102" s="395"/>
      <c r="DCS102" s="395"/>
      <c r="DCT102" s="395"/>
      <c r="DCU102" s="395"/>
      <c r="DCV102" s="395"/>
      <c r="DCW102" s="395"/>
      <c r="DCX102" s="395"/>
      <c r="DCY102" s="395"/>
      <c r="DCZ102" s="396"/>
      <c r="DDA102" s="394"/>
      <c r="DDB102" s="395"/>
      <c r="DDC102" s="395"/>
      <c r="DDD102" s="395"/>
      <c r="DDE102" s="395"/>
      <c r="DDF102" s="395"/>
      <c r="DDG102" s="395"/>
      <c r="DDH102" s="395"/>
      <c r="DDI102" s="395"/>
      <c r="DDJ102" s="395"/>
      <c r="DDK102" s="395"/>
      <c r="DDL102" s="395"/>
      <c r="DDM102" s="395"/>
      <c r="DDN102" s="395"/>
      <c r="DDO102" s="395"/>
      <c r="DDP102" s="395"/>
      <c r="DDQ102" s="395"/>
      <c r="DDR102" s="395"/>
      <c r="DDS102" s="395"/>
      <c r="DDT102" s="395"/>
      <c r="DDU102" s="395"/>
      <c r="DDV102" s="395"/>
      <c r="DDW102" s="395"/>
      <c r="DDX102" s="395"/>
      <c r="DDY102" s="395"/>
      <c r="DDZ102" s="395"/>
      <c r="DEA102" s="396"/>
      <c r="DEB102" s="394"/>
      <c r="DEC102" s="395"/>
      <c r="DED102" s="395"/>
      <c r="DEE102" s="395"/>
      <c r="DEF102" s="395"/>
      <c r="DEG102" s="395"/>
      <c r="DEH102" s="395"/>
      <c r="DEI102" s="395"/>
      <c r="DEJ102" s="395"/>
      <c r="DEK102" s="395"/>
      <c r="DEL102" s="395"/>
      <c r="DEM102" s="395"/>
      <c r="DEN102" s="395"/>
      <c r="DEO102" s="395"/>
      <c r="DEP102" s="395"/>
      <c r="DEQ102" s="395"/>
      <c r="DER102" s="395"/>
      <c r="DES102" s="395"/>
      <c r="DET102" s="395"/>
      <c r="DEU102" s="395"/>
      <c r="DEV102" s="395"/>
      <c r="DEW102" s="395"/>
      <c r="DEX102" s="395"/>
      <c r="DEY102" s="395"/>
      <c r="DEZ102" s="395"/>
      <c r="DFA102" s="395"/>
      <c r="DFB102" s="396"/>
      <c r="DFC102" s="394"/>
      <c r="DFD102" s="395"/>
      <c r="DFE102" s="395"/>
      <c r="DFF102" s="395"/>
      <c r="DFG102" s="395"/>
      <c r="DFH102" s="395"/>
      <c r="DFI102" s="395"/>
      <c r="DFJ102" s="395"/>
      <c r="DFK102" s="395"/>
      <c r="DFL102" s="395"/>
      <c r="DFM102" s="395"/>
      <c r="DFN102" s="395"/>
      <c r="DFO102" s="395"/>
      <c r="DFP102" s="395"/>
      <c r="DFQ102" s="395"/>
      <c r="DFR102" s="395"/>
      <c r="DFS102" s="395"/>
      <c r="DFT102" s="395"/>
      <c r="DFU102" s="395"/>
      <c r="DFV102" s="395"/>
      <c r="DFW102" s="395"/>
      <c r="DFX102" s="395"/>
      <c r="DFY102" s="395"/>
      <c r="DFZ102" s="395"/>
      <c r="DGA102" s="395"/>
      <c r="DGB102" s="395"/>
      <c r="DGC102" s="396"/>
      <c r="DGD102" s="394"/>
      <c r="DGE102" s="395"/>
      <c r="DGF102" s="395"/>
      <c r="DGG102" s="395"/>
      <c r="DGH102" s="395"/>
      <c r="DGI102" s="395"/>
      <c r="DGJ102" s="395"/>
      <c r="DGK102" s="395"/>
      <c r="DGL102" s="395"/>
      <c r="DGM102" s="395"/>
      <c r="DGN102" s="395"/>
      <c r="DGO102" s="395"/>
      <c r="DGP102" s="395"/>
      <c r="DGQ102" s="395"/>
      <c r="DGR102" s="395"/>
      <c r="DGS102" s="395"/>
      <c r="DGT102" s="395"/>
      <c r="DGU102" s="395"/>
      <c r="DGV102" s="395"/>
      <c r="DGW102" s="395"/>
      <c r="DGX102" s="395"/>
      <c r="DGY102" s="395"/>
      <c r="DGZ102" s="395"/>
      <c r="DHA102" s="395"/>
      <c r="DHB102" s="395"/>
      <c r="DHC102" s="395"/>
      <c r="DHD102" s="396"/>
      <c r="DHE102" s="394"/>
      <c r="DHF102" s="395"/>
      <c r="DHG102" s="395"/>
      <c r="DHH102" s="395"/>
      <c r="DHI102" s="395"/>
      <c r="DHJ102" s="395"/>
      <c r="DHK102" s="395"/>
      <c r="DHL102" s="395"/>
      <c r="DHM102" s="395"/>
      <c r="DHN102" s="395"/>
      <c r="DHO102" s="395"/>
      <c r="DHP102" s="395"/>
      <c r="DHQ102" s="395"/>
      <c r="DHR102" s="395"/>
      <c r="DHS102" s="395"/>
      <c r="DHT102" s="395"/>
      <c r="DHU102" s="395"/>
      <c r="DHV102" s="395"/>
      <c r="DHW102" s="395"/>
      <c r="DHX102" s="395"/>
      <c r="DHY102" s="395"/>
      <c r="DHZ102" s="395"/>
      <c r="DIA102" s="395"/>
      <c r="DIB102" s="395"/>
      <c r="DIC102" s="395"/>
      <c r="DID102" s="395"/>
      <c r="DIE102" s="396"/>
      <c r="DIF102" s="394"/>
      <c r="DIG102" s="395"/>
      <c r="DIH102" s="395"/>
      <c r="DII102" s="395"/>
      <c r="DIJ102" s="395"/>
      <c r="DIK102" s="395"/>
      <c r="DIL102" s="395"/>
      <c r="DIM102" s="395"/>
      <c r="DIN102" s="395"/>
      <c r="DIO102" s="395"/>
      <c r="DIP102" s="395"/>
      <c r="DIQ102" s="395"/>
      <c r="DIR102" s="395"/>
      <c r="DIS102" s="395"/>
      <c r="DIT102" s="395"/>
      <c r="DIU102" s="395"/>
      <c r="DIV102" s="395"/>
      <c r="DIW102" s="395"/>
      <c r="DIX102" s="395"/>
      <c r="DIY102" s="395"/>
      <c r="DIZ102" s="395"/>
      <c r="DJA102" s="395"/>
      <c r="DJB102" s="395"/>
      <c r="DJC102" s="395"/>
      <c r="DJD102" s="395"/>
      <c r="DJE102" s="395"/>
      <c r="DJF102" s="396"/>
      <c r="DJG102" s="394"/>
      <c r="DJH102" s="395"/>
      <c r="DJI102" s="395"/>
      <c r="DJJ102" s="395"/>
      <c r="DJK102" s="395"/>
      <c r="DJL102" s="395"/>
      <c r="DJM102" s="395"/>
      <c r="DJN102" s="395"/>
      <c r="DJO102" s="395"/>
      <c r="DJP102" s="395"/>
      <c r="DJQ102" s="395"/>
      <c r="DJR102" s="395"/>
      <c r="DJS102" s="395"/>
      <c r="DJT102" s="395"/>
      <c r="DJU102" s="395"/>
      <c r="DJV102" s="395"/>
      <c r="DJW102" s="395"/>
      <c r="DJX102" s="395"/>
      <c r="DJY102" s="395"/>
      <c r="DJZ102" s="395"/>
      <c r="DKA102" s="395"/>
      <c r="DKB102" s="395"/>
      <c r="DKC102" s="395"/>
      <c r="DKD102" s="395"/>
      <c r="DKE102" s="395"/>
      <c r="DKF102" s="395"/>
      <c r="DKG102" s="396"/>
      <c r="DKH102" s="394"/>
      <c r="DKI102" s="395"/>
      <c r="DKJ102" s="395"/>
      <c r="DKK102" s="395"/>
      <c r="DKL102" s="395"/>
      <c r="DKM102" s="395"/>
      <c r="DKN102" s="395"/>
      <c r="DKO102" s="395"/>
      <c r="DKP102" s="395"/>
      <c r="DKQ102" s="395"/>
      <c r="DKR102" s="395"/>
      <c r="DKS102" s="395"/>
      <c r="DKT102" s="395"/>
      <c r="DKU102" s="395"/>
      <c r="DKV102" s="395"/>
      <c r="DKW102" s="395"/>
      <c r="DKX102" s="395"/>
      <c r="DKY102" s="395"/>
      <c r="DKZ102" s="395"/>
      <c r="DLA102" s="395"/>
      <c r="DLB102" s="395"/>
      <c r="DLC102" s="395"/>
      <c r="DLD102" s="395"/>
      <c r="DLE102" s="395"/>
      <c r="DLF102" s="395"/>
      <c r="DLG102" s="395"/>
      <c r="DLH102" s="396"/>
      <c r="DLI102" s="394"/>
      <c r="DLJ102" s="395"/>
      <c r="DLK102" s="395"/>
      <c r="DLL102" s="395"/>
      <c r="DLM102" s="395"/>
      <c r="DLN102" s="395"/>
      <c r="DLO102" s="395"/>
      <c r="DLP102" s="395"/>
      <c r="DLQ102" s="395"/>
      <c r="DLR102" s="395"/>
      <c r="DLS102" s="395"/>
      <c r="DLT102" s="395"/>
      <c r="DLU102" s="395"/>
      <c r="DLV102" s="395"/>
      <c r="DLW102" s="395"/>
      <c r="DLX102" s="395"/>
      <c r="DLY102" s="395"/>
      <c r="DLZ102" s="395"/>
      <c r="DMA102" s="395"/>
      <c r="DMB102" s="395"/>
      <c r="DMC102" s="395"/>
      <c r="DMD102" s="395"/>
      <c r="DME102" s="395"/>
      <c r="DMF102" s="395"/>
      <c r="DMG102" s="395"/>
      <c r="DMH102" s="395"/>
      <c r="DMI102" s="396"/>
      <c r="DMJ102" s="394"/>
      <c r="DMK102" s="395"/>
      <c r="DML102" s="395"/>
      <c r="DMM102" s="395"/>
      <c r="DMN102" s="395"/>
      <c r="DMO102" s="395"/>
      <c r="DMP102" s="395"/>
      <c r="DMQ102" s="395"/>
      <c r="DMR102" s="395"/>
      <c r="DMS102" s="395"/>
      <c r="DMT102" s="395"/>
      <c r="DMU102" s="395"/>
      <c r="DMV102" s="395"/>
      <c r="DMW102" s="395"/>
      <c r="DMX102" s="395"/>
      <c r="DMY102" s="395"/>
      <c r="DMZ102" s="395"/>
      <c r="DNA102" s="395"/>
      <c r="DNB102" s="395"/>
      <c r="DNC102" s="395"/>
      <c r="DND102" s="395"/>
      <c r="DNE102" s="395"/>
      <c r="DNF102" s="395"/>
      <c r="DNG102" s="395"/>
      <c r="DNH102" s="395"/>
      <c r="DNI102" s="395"/>
      <c r="DNJ102" s="396"/>
      <c r="DNK102" s="394"/>
      <c r="DNL102" s="395"/>
      <c r="DNM102" s="395"/>
      <c r="DNN102" s="395"/>
      <c r="DNO102" s="395"/>
      <c r="DNP102" s="395"/>
      <c r="DNQ102" s="395"/>
      <c r="DNR102" s="395"/>
      <c r="DNS102" s="395"/>
      <c r="DNT102" s="395"/>
      <c r="DNU102" s="395"/>
      <c r="DNV102" s="395"/>
      <c r="DNW102" s="395"/>
      <c r="DNX102" s="395"/>
      <c r="DNY102" s="395"/>
      <c r="DNZ102" s="395"/>
      <c r="DOA102" s="395"/>
      <c r="DOB102" s="395"/>
      <c r="DOC102" s="395"/>
      <c r="DOD102" s="395"/>
      <c r="DOE102" s="395"/>
      <c r="DOF102" s="395"/>
      <c r="DOG102" s="395"/>
      <c r="DOH102" s="395"/>
      <c r="DOI102" s="395"/>
      <c r="DOJ102" s="395"/>
      <c r="DOK102" s="396"/>
      <c r="DOL102" s="394"/>
      <c r="DOM102" s="395"/>
      <c r="DON102" s="395"/>
      <c r="DOO102" s="395"/>
      <c r="DOP102" s="395"/>
      <c r="DOQ102" s="395"/>
      <c r="DOR102" s="395"/>
      <c r="DOS102" s="395"/>
      <c r="DOT102" s="395"/>
      <c r="DOU102" s="395"/>
      <c r="DOV102" s="395"/>
      <c r="DOW102" s="395"/>
      <c r="DOX102" s="395"/>
      <c r="DOY102" s="395"/>
      <c r="DOZ102" s="395"/>
      <c r="DPA102" s="395"/>
      <c r="DPB102" s="395"/>
      <c r="DPC102" s="395"/>
      <c r="DPD102" s="395"/>
      <c r="DPE102" s="395"/>
      <c r="DPF102" s="395"/>
      <c r="DPG102" s="395"/>
      <c r="DPH102" s="395"/>
      <c r="DPI102" s="395"/>
      <c r="DPJ102" s="395"/>
      <c r="DPK102" s="395"/>
      <c r="DPL102" s="396"/>
      <c r="DPM102" s="394"/>
      <c r="DPN102" s="395"/>
      <c r="DPO102" s="395"/>
      <c r="DPP102" s="395"/>
      <c r="DPQ102" s="395"/>
      <c r="DPR102" s="395"/>
      <c r="DPS102" s="395"/>
      <c r="DPT102" s="395"/>
      <c r="DPU102" s="395"/>
      <c r="DPV102" s="395"/>
      <c r="DPW102" s="395"/>
      <c r="DPX102" s="395"/>
      <c r="DPY102" s="395"/>
      <c r="DPZ102" s="395"/>
      <c r="DQA102" s="395"/>
      <c r="DQB102" s="395"/>
      <c r="DQC102" s="395"/>
      <c r="DQD102" s="395"/>
      <c r="DQE102" s="395"/>
      <c r="DQF102" s="395"/>
      <c r="DQG102" s="395"/>
      <c r="DQH102" s="395"/>
      <c r="DQI102" s="395"/>
      <c r="DQJ102" s="395"/>
      <c r="DQK102" s="395"/>
      <c r="DQL102" s="395"/>
      <c r="DQM102" s="396"/>
      <c r="DQN102" s="394"/>
      <c r="DQO102" s="395"/>
      <c r="DQP102" s="395"/>
      <c r="DQQ102" s="395"/>
      <c r="DQR102" s="395"/>
      <c r="DQS102" s="395"/>
      <c r="DQT102" s="395"/>
      <c r="DQU102" s="395"/>
      <c r="DQV102" s="395"/>
      <c r="DQW102" s="395"/>
      <c r="DQX102" s="395"/>
      <c r="DQY102" s="395"/>
      <c r="DQZ102" s="395"/>
      <c r="DRA102" s="395"/>
      <c r="DRB102" s="395"/>
      <c r="DRC102" s="395"/>
      <c r="DRD102" s="395"/>
      <c r="DRE102" s="395"/>
      <c r="DRF102" s="395"/>
      <c r="DRG102" s="395"/>
      <c r="DRH102" s="395"/>
      <c r="DRI102" s="395"/>
      <c r="DRJ102" s="395"/>
      <c r="DRK102" s="395"/>
      <c r="DRL102" s="395"/>
      <c r="DRM102" s="395"/>
      <c r="DRN102" s="396"/>
      <c r="DRO102" s="394"/>
      <c r="DRP102" s="395"/>
      <c r="DRQ102" s="395"/>
      <c r="DRR102" s="395"/>
      <c r="DRS102" s="395"/>
      <c r="DRT102" s="395"/>
      <c r="DRU102" s="395"/>
      <c r="DRV102" s="395"/>
      <c r="DRW102" s="395"/>
      <c r="DRX102" s="395"/>
      <c r="DRY102" s="395"/>
      <c r="DRZ102" s="395"/>
      <c r="DSA102" s="395"/>
      <c r="DSB102" s="395"/>
      <c r="DSC102" s="395"/>
      <c r="DSD102" s="395"/>
      <c r="DSE102" s="395"/>
      <c r="DSF102" s="395"/>
      <c r="DSG102" s="395"/>
      <c r="DSH102" s="395"/>
      <c r="DSI102" s="395"/>
      <c r="DSJ102" s="395"/>
      <c r="DSK102" s="395"/>
      <c r="DSL102" s="395"/>
      <c r="DSM102" s="395"/>
      <c r="DSN102" s="395"/>
      <c r="DSO102" s="396"/>
      <c r="DSP102" s="394"/>
      <c r="DSQ102" s="395"/>
      <c r="DSR102" s="395"/>
      <c r="DSS102" s="395"/>
      <c r="DST102" s="395"/>
      <c r="DSU102" s="395"/>
      <c r="DSV102" s="395"/>
      <c r="DSW102" s="395"/>
      <c r="DSX102" s="395"/>
      <c r="DSY102" s="395"/>
      <c r="DSZ102" s="395"/>
      <c r="DTA102" s="395"/>
      <c r="DTB102" s="395"/>
      <c r="DTC102" s="395"/>
      <c r="DTD102" s="395"/>
      <c r="DTE102" s="395"/>
      <c r="DTF102" s="395"/>
      <c r="DTG102" s="395"/>
      <c r="DTH102" s="395"/>
      <c r="DTI102" s="395"/>
      <c r="DTJ102" s="395"/>
      <c r="DTK102" s="395"/>
      <c r="DTL102" s="395"/>
      <c r="DTM102" s="395"/>
      <c r="DTN102" s="395"/>
      <c r="DTO102" s="395"/>
      <c r="DTP102" s="396"/>
      <c r="DTQ102" s="394"/>
      <c r="DTR102" s="395"/>
      <c r="DTS102" s="395"/>
      <c r="DTT102" s="395"/>
      <c r="DTU102" s="395"/>
      <c r="DTV102" s="395"/>
      <c r="DTW102" s="395"/>
      <c r="DTX102" s="395"/>
      <c r="DTY102" s="395"/>
      <c r="DTZ102" s="395"/>
      <c r="DUA102" s="395"/>
      <c r="DUB102" s="395"/>
      <c r="DUC102" s="395"/>
      <c r="DUD102" s="395"/>
      <c r="DUE102" s="395"/>
      <c r="DUF102" s="395"/>
      <c r="DUG102" s="395"/>
      <c r="DUH102" s="395"/>
      <c r="DUI102" s="395"/>
      <c r="DUJ102" s="395"/>
      <c r="DUK102" s="395"/>
      <c r="DUL102" s="395"/>
      <c r="DUM102" s="395"/>
      <c r="DUN102" s="395"/>
      <c r="DUO102" s="395"/>
      <c r="DUP102" s="395"/>
      <c r="DUQ102" s="396"/>
      <c r="DUR102" s="394"/>
      <c r="DUS102" s="395"/>
      <c r="DUT102" s="395"/>
      <c r="DUU102" s="395"/>
      <c r="DUV102" s="395"/>
      <c r="DUW102" s="395"/>
      <c r="DUX102" s="395"/>
      <c r="DUY102" s="395"/>
      <c r="DUZ102" s="395"/>
      <c r="DVA102" s="395"/>
      <c r="DVB102" s="395"/>
      <c r="DVC102" s="395"/>
      <c r="DVD102" s="395"/>
      <c r="DVE102" s="395"/>
      <c r="DVF102" s="395"/>
      <c r="DVG102" s="395"/>
      <c r="DVH102" s="395"/>
      <c r="DVI102" s="395"/>
      <c r="DVJ102" s="395"/>
      <c r="DVK102" s="395"/>
      <c r="DVL102" s="395"/>
      <c r="DVM102" s="395"/>
      <c r="DVN102" s="395"/>
      <c r="DVO102" s="395"/>
      <c r="DVP102" s="395"/>
      <c r="DVQ102" s="395"/>
      <c r="DVR102" s="396"/>
      <c r="DVS102" s="394"/>
      <c r="DVT102" s="395"/>
      <c r="DVU102" s="395"/>
      <c r="DVV102" s="395"/>
      <c r="DVW102" s="395"/>
      <c r="DVX102" s="395"/>
      <c r="DVY102" s="395"/>
      <c r="DVZ102" s="395"/>
      <c r="DWA102" s="395"/>
      <c r="DWB102" s="395"/>
      <c r="DWC102" s="395"/>
      <c r="DWD102" s="395"/>
      <c r="DWE102" s="395"/>
      <c r="DWF102" s="395"/>
      <c r="DWG102" s="395"/>
      <c r="DWH102" s="395"/>
      <c r="DWI102" s="395"/>
      <c r="DWJ102" s="395"/>
      <c r="DWK102" s="395"/>
      <c r="DWL102" s="395"/>
      <c r="DWM102" s="395"/>
      <c r="DWN102" s="395"/>
      <c r="DWO102" s="395"/>
      <c r="DWP102" s="395"/>
      <c r="DWQ102" s="395"/>
      <c r="DWR102" s="395"/>
      <c r="DWS102" s="396"/>
      <c r="DWT102" s="394"/>
      <c r="DWU102" s="395"/>
      <c r="DWV102" s="395"/>
      <c r="DWW102" s="395"/>
      <c r="DWX102" s="395"/>
      <c r="DWY102" s="395"/>
      <c r="DWZ102" s="395"/>
      <c r="DXA102" s="395"/>
      <c r="DXB102" s="395"/>
      <c r="DXC102" s="395"/>
      <c r="DXD102" s="395"/>
      <c r="DXE102" s="395"/>
      <c r="DXF102" s="395"/>
      <c r="DXG102" s="395"/>
      <c r="DXH102" s="395"/>
      <c r="DXI102" s="395"/>
      <c r="DXJ102" s="395"/>
      <c r="DXK102" s="395"/>
      <c r="DXL102" s="395"/>
      <c r="DXM102" s="395"/>
      <c r="DXN102" s="395"/>
      <c r="DXO102" s="395"/>
      <c r="DXP102" s="395"/>
      <c r="DXQ102" s="395"/>
      <c r="DXR102" s="395"/>
      <c r="DXS102" s="395"/>
      <c r="DXT102" s="396"/>
      <c r="DXU102" s="394"/>
      <c r="DXV102" s="395"/>
      <c r="DXW102" s="395"/>
      <c r="DXX102" s="395"/>
      <c r="DXY102" s="395"/>
      <c r="DXZ102" s="395"/>
      <c r="DYA102" s="395"/>
      <c r="DYB102" s="395"/>
      <c r="DYC102" s="395"/>
      <c r="DYD102" s="395"/>
      <c r="DYE102" s="395"/>
      <c r="DYF102" s="395"/>
      <c r="DYG102" s="395"/>
      <c r="DYH102" s="395"/>
      <c r="DYI102" s="395"/>
      <c r="DYJ102" s="395"/>
      <c r="DYK102" s="395"/>
      <c r="DYL102" s="395"/>
      <c r="DYM102" s="395"/>
      <c r="DYN102" s="395"/>
      <c r="DYO102" s="395"/>
      <c r="DYP102" s="395"/>
      <c r="DYQ102" s="395"/>
      <c r="DYR102" s="395"/>
      <c r="DYS102" s="395"/>
      <c r="DYT102" s="395"/>
      <c r="DYU102" s="396"/>
      <c r="DYV102" s="394"/>
      <c r="DYW102" s="395"/>
      <c r="DYX102" s="395"/>
      <c r="DYY102" s="395"/>
      <c r="DYZ102" s="395"/>
      <c r="DZA102" s="395"/>
      <c r="DZB102" s="395"/>
      <c r="DZC102" s="395"/>
      <c r="DZD102" s="395"/>
      <c r="DZE102" s="395"/>
      <c r="DZF102" s="395"/>
      <c r="DZG102" s="395"/>
      <c r="DZH102" s="395"/>
      <c r="DZI102" s="395"/>
      <c r="DZJ102" s="395"/>
      <c r="DZK102" s="395"/>
      <c r="DZL102" s="395"/>
      <c r="DZM102" s="395"/>
      <c r="DZN102" s="395"/>
      <c r="DZO102" s="395"/>
      <c r="DZP102" s="395"/>
      <c r="DZQ102" s="395"/>
      <c r="DZR102" s="395"/>
      <c r="DZS102" s="395"/>
      <c r="DZT102" s="395"/>
      <c r="DZU102" s="395"/>
      <c r="DZV102" s="396"/>
      <c r="DZW102" s="394"/>
      <c r="DZX102" s="395"/>
      <c r="DZY102" s="395"/>
      <c r="DZZ102" s="395"/>
      <c r="EAA102" s="395"/>
      <c r="EAB102" s="395"/>
      <c r="EAC102" s="395"/>
      <c r="EAD102" s="395"/>
      <c r="EAE102" s="395"/>
      <c r="EAF102" s="395"/>
      <c r="EAG102" s="395"/>
      <c r="EAH102" s="395"/>
      <c r="EAI102" s="395"/>
      <c r="EAJ102" s="395"/>
      <c r="EAK102" s="395"/>
      <c r="EAL102" s="395"/>
      <c r="EAM102" s="395"/>
      <c r="EAN102" s="395"/>
      <c r="EAO102" s="395"/>
      <c r="EAP102" s="395"/>
      <c r="EAQ102" s="395"/>
      <c r="EAR102" s="395"/>
      <c r="EAS102" s="395"/>
      <c r="EAT102" s="395"/>
      <c r="EAU102" s="395"/>
      <c r="EAV102" s="395"/>
      <c r="EAW102" s="396"/>
      <c r="EAX102" s="394"/>
      <c r="EAY102" s="395"/>
      <c r="EAZ102" s="395"/>
      <c r="EBA102" s="395"/>
      <c r="EBB102" s="395"/>
      <c r="EBC102" s="395"/>
      <c r="EBD102" s="395"/>
      <c r="EBE102" s="395"/>
      <c r="EBF102" s="395"/>
      <c r="EBG102" s="395"/>
      <c r="EBH102" s="395"/>
      <c r="EBI102" s="395"/>
      <c r="EBJ102" s="395"/>
      <c r="EBK102" s="395"/>
      <c r="EBL102" s="395"/>
      <c r="EBM102" s="395"/>
      <c r="EBN102" s="395"/>
      <c r="EBO102" s="395"/>
      <c r="EBP102" s="395"/>
      <c r="EBQ102" s="395"/>
      <c r="EBR102" s="395"/>
      <c r="EBS102" s="395"/>
      <c r="EBT102" s="395"/>
      <c r="EBU102" s="395"/>
      <c r="EBV102" s="395"/>
      <c r="EBW102" s="395"/>
      <c r="EBX102" s="396"/>
      <c r="EBY102" s="394"/>
      <c r="EBZ102" s="395"/>
      <c r="ECA102" s="395"/>
      <c r="ECB102" s="395"/>
      <c r="ECC102" s="395"/>
      <c r="ECD102" s="395"/>
      <c r="ECE102" s="395"/>
      <c r="ECF102" s="395"/>
      <c r="ECG102" s="395"/>
      <c r="ECH102" s="395"/>
      <c r="ECI102" s="395"/>
      <c r="ECJ102" s="395"/>
      <c r="ECK102" s="395"/>
      <c r="ECL102" s="395"/>
      <c r="ECM102" s="395"/>
      <c r="ECN102" s="395"/>
      <c r="ECO102" s="395"/>
      <c r="ECP102" s="395"/>
      <c r="ECQ102" s="395"/>
      <c r="ECR102" s="395"/>
      <c r="ECS102" s="395"/>
      <c r="ECT102" s="395"/>
      <c r="ECU102" s="395"/>
      <c r="ECV102" s="395"/>
      <c r="ECW102" s="395"/>
      <c r="ECX102" s="395"/>
      <c r="ECY102" s="396"/>
      <c r="ECZ102" s="394"/>
      <c r="EDA102" s="395"/>
      <c r="EDB102" s="395"/>
      <c r="EDC102" s="395"/>
      <c r="EDD102" s="395"/>
      <c r="EDE102" s="395"/>
      <c r="EDF102" s="395"/>
      <c r="EDG102" s="395"/>
      <c r="EDH102" s="395"/>
      <c r="EDI102" s="395"/>
      <c r="EDJ102" s="395"/>
      <c r="EDK102" s="395"/>
      <c r="EDL102" s="395"/>
      <c r="EDM102" s="395"/>
      <c r="EDN102" s="395"/>
      <c r="EDO102" s="395"/>
      <c r="EDP102" s="395"/>
      <c r="EDQ102" s="395"/>
      <c r="EDR102" s="395"/>
      <c r="EDS102" s="395"/>
      <c r="EDT102" s="395"/>
      <c r="EDU102" s="395"/>
      <c r="EDV102" s="395"/>
      <c r="EDW102" s="395"/>
      <c r="EDX102" s="395"/>
      <c r="EDY102" s="395"/>
      <c r="EDZ102" s="396"/>
      <c r="EEA102" s="394"/>
      <c r="EEB102" s="395"/>
      <c r="EEC102" s="395"/>
      <c r="EED102" s="395"/>
      <c r="EEE102" s="395"/>
      <c r="EEF102" s="395"/>
      <c r="EEG102" s="395"/>
      <c r="EEH102" s="395"/>
      <c r="EEI102" s="395"/>
      <c r="EEJ102" s="395"/>
      <c r="EEK102" s="395"/>
      <c r="EEL102" s="395"/>
      <c r="EEM102" s="395"/>
      <c r="EEN102" s="395"/>
      <c r="EEO102" s="395"/>
      <c r="EEP102" s="395"/>
      <c r="EEQ102" s="395"/>
      <c r="EER102" s="395"/>
      <c r="EES102" s="395"/>
      <c r="EET102" s="395"/>
      <c r="EEU102" s="395"/>
      <c r="EEV102" s="395"/>
      <c r="EEW102" s="395"/>
      <c r="EEX102" s="395"/>
      <c r="EEY102" s="395"/>
      <c r="EEZ102" s="395"/>
      <c r="EFA102" s="396"/>
      <c r="EFB102" s="394"/>
      <c r="EFC102" s="395"/>
      <c r="EFD102" s="395"/>
      <c r="EFE102" s="395"/>
      <c r="EFF102" s="395"/>
      <c r="EFG102" s="395"/>
      <c r="EFH102" s="395"/>
      <c r="EFI102" s="395"/>
      <c r="EFJ102" s="395"/>
      <c r="EFK102" s="395"/>
      <c r="EFL102" s="395"/>
      <c r="EFM102" s="395"/>
      <c r="EFN102" s="395"/>
      <c r="EFO102" s="395"/>
      <c r="EFP102" s="395"/>
      <c r="EFQ102" s="395"/>
      <c r="EFR102" s="395"/>
      <c r="EFS102" s="395"/>
      <c r="EFT102" s="395"/>
      <c r="EFU102" s="395"/>
      <c r="EFV102" s="395"/>
      <c r="EFW102" s="395"/>
      <c r="EFX102" s="395"/>
      <c r="EFY102" s="395"/>
      <c r="EFZ102" s="395"/>
      <c r="EGA102" s="395"/>
      <c r="EGB102" s="396"/>
      <c r="EGC102" s="394"/>
      <c r="EGD102" s="395"/>
      <c r="EGE102" s="395"/>
      <c r="EGF102" s="395"/>
      <c r="EGG102" s="395"/>
      <c r="EGH102" s="395"/>
      <c r="EGI102" s="395"/>
      <c r="EGJ102" s="395"/>
      <c r="EGK102" s="395"/>
      <c r="EGL102" s="395"/>
      <c r="EGM102" s="395"/>
      <c r="EGN102" s="395"/>
      <c r="EGO102" s="395"/>
      <c r="EGP102" s="395"/>
      <c r="EGQ102" s="395"/>
      <c r="EGR102" s="395"/>
      <c r="EGS102" s="395"/>
      <c r="EGT102" s="395"/>
      <c r="EGU102" s="395"/>
      <c r="EGV102" s="395"/>
      <c r="EGW102" s="395"/>
      <c r="EGX102" s="395"/>
      <c r="EGY102" s="395"/>
      <c r="EGZ102" s="395"/>
      <c r="EHA102" s="395"/>
      <c r="EHB102" s="395"/>
      <c r="EHC102" s="396"/>
      <c r="EHD102" s="394"/>
      <c r="EHE102" s="395"/>
      <c r="EHF102" s="395"/>
      <c r="EHG102" s="395"/>
      <c r="EHH102" s="395"/>
      <c r="EHI102" s="395"/>
      <c r="EHJ102" s="395"/>
      <c r="EHK102" s="395"/>
      <c r="EHL102" s="395"/>
      <c r="EHM102" s="395"/>
      <c r="EHN102" s="395"/>
      <c r="EHO102" s="395"/>
      <c r="EHP102" s="395"/>
      <c r="EHQ102" s="395"/>
      <c r="EHR102" s="395"/>
      <c r="EHS102" s="395"/>
      <c r="EHT102" s="395"/>
      <c r="EHU102" s="395"/>
      <c r="EHV102" s="395"/>
      <c r="EHW102" s="395"/>
      <c r="EHX102" s="395"/>
      <c r="EHY102" s="395"/>
      <c r="EHZ102" s="395"/>
      <c r="EIA102" s="395"/>
      <c r="EIB102" s="395"/>
      <c r="EIC102" s="395"/>
      <c r="EID102" s="396"/>
      <c r="EIE102" s="394"/>
      <c r="EIF102" s="395"/>
      <c r="EIG102" s="395"/>
      <c r="EIH102" s="395"/>
      <c r="EII102" s="395"/>
      <c r="EIJ102" s="395"/>
      <c r="EIK102" s="395"/>
      <c r="EIL102" s="395"/>
      <c r="EIM102" s="395"/>
      <c r="EIN102" s="395"/>
      <c r="EIO102" s="395"/>
      <c r="EIP102" s="395"/>
      <c r="EIQ102" s="395"/>
      <c r="EIR102" s="395"/>
      <c r="EIS102" s="395"/>
      <c r="EIT102" s="395"/>
      <c r="EIU102" s="395"/>
      <c r="EIV102" s="395"/>
      <c r="EIW102" s="395"/>
      <c r="EIX102" s="395"/>
      <c r="EIY102" s="395"/>
      <c r="EIZ102" s="395"/>
      <c r="EJA102" s="395"/>
      <c r="EJB102" s="395"/>
      <c r="EJC102" s="395"/>
      <c r="EJD102" s="395"/>
      <c r="EJE102" s="396"/>
      <c r="EJF102" s="394"/>
      <c r="EJG102" s="395"/>
      <c r="EJH102" s="395"/>
      <c r="EJI102" s="395"/>
      <c r="EJJ102" s="395"/>
      <c r="EJK102" s="395"/>
      <c r="EJL102" s="395"/>
      <c r="EJM102" s="395"/>
      <c r="EJN102" s="395"/>
      <c r="EJO102" s="395"/>
      <c r="EJP102" s="395"/>
      <c r="EJQ102" s="395"/>
      <c r="EJR102" s="395"/>
      <c r="EJS102" s="395"/>
      <c r="EJT102" s="395"/>
      <c r="EJU102" s="395"/>
      <c r="EJV102" s="395"/>
      <c r="EJW102" s="395"/>
      <c r="EJX102" s="395"/>
      <c r="EJY102" s="395"/>
      <c r="EJZ102" s="395"/>
      <c r="EKA102" s="395"/>
      <c r="EKB102" s="395"/>
      <c r="EKC102" s="395"/>
      <c r="EKD102" s="395"/>
      <c r="EKE102" s="395"/>
      <c r="EKF102" s="396"/>
      <c r="EKG102" s="394"/>
      <c r="EKH102" s="395"/>
      <c r="EKI102" s="395"/>
      <c r="EKJ102" s="395"/>
      <c r="EKK102" s="395"/>
      <c r="EKL102" s="395"/>
      <c r="EKM102" s="395"/>
      <c r="EKN102" s="395"/>
      <c r="EKO102" s="395"/>
      <c r="EKP102" s="395"/>
      <c r="EKQ102" s="395"/>
      <c r="EKR102" s="395"/>
      <c r="EKS102" s="395"/>
      <c r="EKT102" s="395"/>
      <c r="EKU102" s="395"/>
      <c r="EKV102" s="395"/>
      <c r="EKW102" s="395"/>
      <c r="EKX102" s="395"/>
      <c r="EKY102" s="395"/>
      <c r="EKZ102" s="395"/>
      <c r="ELA102" s="395"/>
      <c r="ELB102" s="395"/>
      <c r="ELC102" s="395"/>
      <c r="ELD102" s="395"/>
      <c r="ELE102" s="395"/>
      <c r="ELF102" s="395"/>
      <c r="ELG102" s="396"/>
      <c r="ELH102" s="394"/>
      <c r="ELI102" s="395"/>
      <c r="ELJ102" s="395"/>
      <c r="ELK102" s="395"/>
      <c r="ELL102" s="395"/>
      <c r="ELM102" s="395"/>
      <c r="ELN102" s="395"/>
      <c r="ELO102" s="395"/>
      <c r="ELP102" s="395"/>
      <c r="ELQ102" s="395"/>
      <c r="ELR102" s="395"/>
      <c r="ELS102" s="395"/>
      <c r="ELT102" s="395"/>
      <c r="ELU102" s="395"/>
      <c r="ELV102" s="395"/>
      <c r="ELW102" s="395"/>
      <c r="ELX102" s="395"/>
      <c r="ELY102" s="395"/>
      <c r="ELZ102" s="395"/>
      <c r="EMA102" s="395"/>
      <c r="EMB102" s="395"/>
      <c r="EMC102" s="395"/>
      <c r="EMD102" s="395"/>
      <c r="EME102" s="395"/>
      <c r="EMF102" s="395"/>
      <c r="EMG102" s="395"/>
      <c r="EMH102" s="396"/>
      <c r="EMI102" s="394"/>
      <c r="EMJ102" s="395"/>
      <c r="EMK102" s="395"/>
      <c r="EML102" s="395"/>
      <c r="EMM102" s="395"/>
      <c r="EMN102" s="395"/>
      <c r="EMO102" s="395"/>
      <c r="EMP102" s="395"/>
      <c r="EMQ102" s="395"/>
      <c r="EMR102" s="395"/>
      <c r="EMS102" s="395"/>
      <c r="EMT102" s="395"/>
      <c r="EMU102" s="395"/>
      <c r="EMV102" s="395"/>
      <c r="EMW102" s="395"/>
      <c r="EMX102" s="395"/>
      <c r="EMY102" s="395"/>
      <c r="EMZ102" s="395"/>
      <c r="ENA102" s="395"/>
      <c r="ENB102" s="395"/>
      <c r="ENC102" s="395"/>
      <c r="END102" s="395"/>
      <c r="ENE102" s="395"/>
      <c r="ENF102" s="395"/>
      <c r="ENG102" s="395"/>
      <c r="ENH102" s="395"/>
      <c r="ENI102" s="396"/>
      <c r="ENJ102" s="394"/>
      <c r="ENK102" s="395"/>
      <c r="ENL102" s="395"/>
      <c r="ENM102" s="395"/>
      <c r="ENN102" s="395"/>
      <c r="ENO102" s="395"/>
      <c r="ENP102" s="395"/>
      <c r="ENQ102" s="395"/>
      <c r="ENR102" s="395"/>
      <c r="ENS102" s="395"/>
      <c r="ENT102" s="395"/>
      <c r="ENU102" s="395"/>
      <c r="ENV102" s="395"/>
      <c r="ENW102" s="395"/>
      <c r="ENX102" s="395"/>
      <c r="ENY102" s="395"/>
      <c r="ENZ102" s="395"/>
      <c r="EOA102" s="395"/>
      <c r="EOB102" s="395"/>
      <c r="EOC102" s="395"/>
      <c r="EOD102" s="395"/>
      <c r="EOE102" s="395"/>
      <c r="EOF102" s="395"/>
      <c r="EOG102" s="395"/>
      <c r="EOH102" s="395"/>
      <c r="EOI102" s="395"/>
      <c r="EOJ102" s="396"/>
      <c r="EOK102" s="394"/>
      <c r="EOL102" s="395"/>
      <c r="EOM102" s="395"/>
      <c r="EON102" s="395"/>
      <c r="EOO102" s="395"/>
      <c r="EOP102" s="395"/>
      <c r="EOQ102" s="395"/>
      <c r="EOR102" s="395"/>
      <c r="EOS102" s="395"/>
      <c r="EOT102" s="395"/>
      <c r="EOU102" s="395"/>
      <c r="EOV102" s="395"/>
      <c r="EOW102" s="395"/>
      <c r="EOX102" s="395"/>
      <c r="EOY102" s="395"/>
      <c r="EOZ102" s="395"/>
      <c r="EPA102" s="395"/>
      <c r="EPB102" s="395"/>
      <c r="EPC102" s="395"/>
      <c r="EPD102" s="395"/>
      <c r="EPE102" s="395"/>
      <c r="EPF102" s="395"/>
      <c r="EPG102" s="395"/>
      <c r="EPH102" s="395"/>
      <c r="EPI102" s="395"/>
      <c r="EPJ102" s="395"/>
      <c r="EPK102" s="396"/>
      <c r="EPL102" s="394"/>
      <c r="EPM102" s="395"/>
      <c r="EPN102" s="395"/>
      <c r="EPO102" s="395"/>
      <c r="EPP102" s="395"/>
      <c r="EPQ102" s="395"/>
      <c r="EPR102" s="395"/>
      <c r="EPS102" s="395"/>
      <c r="EPT102" s="395"/>
      <c r="EPU102" s="395"/>
      <c r="EPV102" s="395"/>
      <c r="EPW102" s="395"/>
      <c r="EPX102" s="395"/>
      <c r="EPY102" s="395"/>
      <c r="EPZ102" s="395"/>
      <c r="EQA102" s="395"/>
      <c r="EQB102" s="395"/>
      <c r="EQC102" s="395"/>
      <c r="EQD102" s="395"/>
      <c r="EQE102" s="395"/>
      <c r="EQF102" s="395"/>
      <c r="EQG102" s="395"/>
      <c r="EQH102" s="395"/>
      <c r="EQI102" s="395"/>
      <c r="EQJ102" s="395"/>
      <c r="EQK102" s="395"/>
      <c r="EQL102" s="396"/>
      <c r="EQM102" s="394"/>
      <c r="EQN102" s="395"/>
      <c r="EQO102" s="395"/>
      <c r="EQP102" s="395"/>
      <c r="EQQ102" s="395"/>
      <c r="EQR102" s="395"/>
      <c r="EQS102" s="395"/>
      <c r="EQT102" s="395"/>
      <c r="EQU102" s="395"/>
      <c r="EQV102" s="395"/>
      <c r="EQW102" s="395"/>
      <c r="EQX102" s="395"/>
      <c r="EQY102" s="395"/>
      <c r="EQZ102" s="395"/>
      <c r="ERA102" s="395"/>
      <c r="ERB102" s="395"/>
      <c r="ERC102" s="395"/>
      <c r="ERD102" s="395"/>
      <c r="ERE102" s="395"/>
      <c r="ERF102" s="395"/>
      <c r="ERG102" s="395"/>
      <c r="ERH102" s="395"/>
      <c r="ERI102" s="395"/>
      <c r="ERJ102" s="395"/>
      <c r="ERK102" s="395"/>
      <c r="ERL102" s="395"/>
      <c r="ERM102" s="396"/>
      <c r="ERN102" s="394"/>
      <c r="ERO102" s="395"/>
      <c r="ERP102" s="395"/>
      <c r="ERQ102" s="395"/>
      <c r="ERR102" s="395"/>
      <c r="ERS102" s="395"/>
      <c r="ERT102" s="395"/>
      <c r="ERU102" s="395"/>
      <c r="ERV102" s="395"/>
      <c r="ERW102" s="395"/>
      <c r="ERX102" s="395"/>
      <c r="ERY102" s="395"/>
      <c r="ERZ102" s="395"/>
      <c r="ESA102" s="395"/>
      <c r="ESB102" s="395"/>
      <c r="ESC102" s="395"/>
      <c r="ESD102" s="395"/>
      <c r="ESE102" s="395"/>
      <c r="ESF102" s="395"/>
      <c r="ESG102" s="395"/>
      <c r="ESH102" s="395"/>
      <c r="ESI102" s="395"/>
      <c r="ESJ102" s="395"/>
      <c r="ESK102" s="395"/>
      <c r="ESL102" s="395"/>
      <c r="ESM102" s="395"/>
      <c r="ESN102" s="396"/>
      <c r="ESO102" s="394"/>
      <c r="ESP102" s="395"/>
      <c r="ESQ102" s="395"/>
      <c r="ESR102" s="395"/>
      <c r="ESS102" s="395"/>
      <c r="EST102" s="395"/>
      <c r="ESU102" s="395"/>
      <c r="ESV102" s="395"/>
      <c r="ESW102" s="395"/>
      <c r="ESX102" s="395"/>
      <c r="ESY102" s="395"/>
      <c r="ESZ102" s="395"/>
      <c r="ETA102" s="395"/>
      <c r="ETB102" s="395"/>
      <c r="ETC102" s="395"/>
      <c r="ETD102" s="395"/>
      <c r="ETE102" s="395"/>
      <c r="ETF102" s="395"/>
      <c r="ETG102" s="395"/>
      <c r="ETH102" s="395"/>
      <c r="ETI102" s="395"/>
      <c r="ETJ102" s="395"/>
      <c r="ETK102" s="395"/>
      <c r="ETL102" s="395"/>
      <c r="ETM102" s="395"/>
      <c r="ETN102" s="395"/>
      <c r="ETO102" s="396"/>
      <c r="ETP102" s="394"/>
      <c r="ETQ102" s="395"/>
      <c r="ETR102" s="395"/>
      <c r="ETS102" s="395"/>
      <c r="ETT102" s="395"/>
      <c r="ETU102" s="395"/>
      <c r="ETV102" s="395"/>
      <c r="ETW102" s="395"/>
      <c r="ETX102" s="395"/>
      <c r="ETY102" s="395"/>
      <c r="ETZ102" s="395"/>
      <c r="EUA102" s="395"/>
      <c r="EUB102" s="395"/>
      <c r="EUC102" s="395"/>
      <c r="EUD102" s="395"/>
      <c r="EUE102" s="395"/>
      <c r="EUF102" s="395"/>
      <c r="EUG102" s="395"/>
      <c r="EUH102" s="395"/>
      <c r="EUI102" s="395"/>
      <c r="EUJ102" s="395"/>
      <c r="EUK102" s="395"/>
      <c r="EUL102" s="395"/>
      <c r="EUM102" s="395"/>
      <c r="EUN102" s="395"/>
      <c r="EUO102" s="395"/>
      <c r="EUP102" s="396"/>
      <c r="EUQ102" s="394"/>
      <c r="EUR102" s="395"/>
      <c r="EUS102" s="395"/>
      <c r="EUT102" s="395"/>
      <c r="EUU102" s="395"/>
      <c r="EUV102" s="395"/>
      <c r="EUW102" s="395"/>
      <c r="EUX102" s="395"/>
      <c r="EUY102" s="395"/>
      <c r="EUZ102" s="395"/>
      <c r="EVA102" s="395"/>
      <c r="EVB102" s="395"/>
      <c r="EVC102" s="395"/>
      <c r="EVD102" s="395"/>
      <c r="EVE102" s="395"/>
      <c r="EVF102" s="395"/>
      <c r="EVG102" s="395"/>
      <c r="EVH102" s="395"/>
      <c r="EVI102" s="395"/>
      <c r="EVJ102" s="395"/>
      <c r="EVK102" s="395"/>
      <c r="EVL102" s="395"/>
      <c r="EVM102" s="395"/>
      <c r="EVN102" s="395"/>
      <c r="EVO102" s="395"/>
      <c r="EVP102" s="395"/>
      <c r="EVQ102" s="396"/>
      <c r="EVR102" s="394"/>
      <c r="EVS102" s="395"/>
      <c r="EVT102" s="395"/>
      <c r="EVU102" s="395"/>
      <c r="EVV102" s="395"/>
      <c r="EVW102" s="395"/>
      <c r="EVX102" s="395"/>
      <c r="EVY102" s="395"/>
      <c r="EVZ102" s="395"/>
      <c r="EWA102" s="395"/>
      <c r="EWB102" s="395"/>
      <c r="EWC102" s="395"/>
      <c r="EWD102" s="395"/>
      <c r="EWE102" s="395"/>
      <c r="EWF102" s="395"/>
      <c r="EWG102" s="395"/>
      <c r="EWH102" s="395"/>
      <c r="EWI102" s="395"/>
      <c r="EWJ102" s="395"/>
      <c r="EWK102" s="395"/>
      <c r="EWL102" s="395"/>
      <c r="EWM102" s="395"/>
      <c r="EWN102" s="395"/>
      <c r="EWO102" s="395"/>
      <c r="EWP102" s="395"/>
      <c r="EWQ102" s="395"/>
      <c r="EWR102" s="396"/>
      <c r="EWS102" s="394"/>
      <c r="EWT102" s="395"/>
      <c r="EWU102" s="395"/>
      <c r="EWV102" s="395"/>
      <c r="EWW102" s="395"/>
      <c r="EWX102" s="395"/>
      <c r="EWY102" s="395"/>
      <c r="EWZ102" s="395"/>
      <c r="EXA102" s="395"/>
      <c r="EXB102" s="395"/>
      <c r="EXC102" s="395"/>
      <c r="EXD102" s="395"/>
      <c r="EXE102" s="395"/>
      <c r="EXF102" s="395"/>
      <c r="EXG102" s="395"/>
      <c r="EXH102" s="395"/>
      <c r="EXI102" s="395"/>
      <c r="EXJ102" s="395"/>
      <c r="EXK102" s="395"/>
      <c r="EXL102" s="395"/>
      <c r="EXM102" s="395"/>
      <c r="EXN102" s="395"/>
      <c r="EXO102" s="395"/>
      <c r="EXP102" s="395"/>
      <c r="EXQ102" s="395"/>
      <c r="EXR102" s="395"/>
      <c r="EXS102" s="396"/>
      <c r="EXT102" s="394"/>
      <c r="EXU102" s="395"/>
      <c r="EXV102" s="395"/>
      <c r="EXW102" s="395"/>
      <c r="EXX102" s="395"/>
      <c r="EXY102" s="395"/>
      <c r="EXZ102" s="395"/>
      <c r="EYA102" s="395"/>
      <c r="EYB102" s="395"/>
      <c r="EYC102" s="395"/>
      <c r="EYD102" s="395"/>
      <c r="EYE102" s="395"/>
      <c r="EYF102" s="395"/>
      <c r="EYG102" s="395"/>
      <c r="EYH102" s="395"/>
      <c r="EYI102" s="395"/>
      <c r="EYJ102" s="395"/>
      <c r="EYK102" s="395"/>
      <c r="EYL102" s="395"/>
      <c r="EYM102" s="395"/>
      <c r="EYN102" s="395"/>
      <c r="EYO102" s="395"/>
      <c r="EYP102" s="395"/>
      <c r="EYQ102" s="395"/>
      <c r="EYR102" s="395"/>
      <c r="EYS102" s="395"/>
      <c r="EYT102" s="396"/>
      <c r="EYU102" s="394"/>
      <c r="EYV102" s="395"/>
      <c r="EYW102" s="395"/>
      <c r="EYX102" s="395"/>
      <c r="EYY102" s="395"/>
      <c r="EYZ102" s="395"/>
      <c r="EZA102" s="395"/>
      <c r="EZB102" s="395"/>
      <c r="EZC102" s="395"/>
      <c r="EZD102" s="395"/>
      <c r="EZE102" s="395"/>
      <c r="EZF102" s="395"/>
      <c r="EZG102" s="395"/>
      <c r="EZH102" s="395"/>
      <c r="EZI102" s="395"/>
      <c r="EZJ102" s="395"/>
      <c r="EZK102" s="395"/>
      <c r="EZL102" s="395"/>
      <c r="EZM102" s="395"/>
      <c r="EZN102" s="395"/>
      <c r="EZO102" s="395"/>
      <c r="EZP102" s="395"/>
      <c r="EZQ102" s="395"/>
      <c r="EZR102" s="395"/>
      <c r="EZS102" s="395"/>
      <c r="EZT102" s="395"/>
      <c r="EZU102" s="396"/>
      <c r="EZV102" s="394"/>
      <c r="EZW102" s="395"/>
      <c r="EZX102" s="395"/>
      <c r="EZY102" s="395"/>
      <c r="EZZ102" s="395"/>
      <c r="FAA102" s="395"/>
      <c r="FAB102" s="395"/>
      <c r="FAC102" s="395"/>
      <c r="FAD102" s="395"/>
      <c r="FAE102" s="395"/>
      <c r="FAF102" s="395"/>
      <c r="FAG102" s="395"/>
      <c r="FAH102" s="395"/>
      <c r="FAI102" s="395"/>
      <c r="FAJ102" s="395"/>
      <c r="FAK102" s="395"/>
      <c r="FAL102" s="395"/>
      <c r="FAM102" s="395"/>
      <c r="FAN102" s="395"/>
      <c r="FAO102" s="395"/>
      <c r="FAP102" s="395"/>
      <c r="FAQ102" s="395"/>
      <c r="FAR102" s="395"/>
      <c r="FAS102" s="395"/>
      <c r="FAT102" s="395"/>
      <c r="FAU102" s="395"/>
      <c r="FAV102" s="396"/>
      <c r="FAW102" s="394"/>
      <c r="FAX102" s="395"/>
      <c r="FAY102" s="395"/>
      <c r="FAZ102" s="395"/>
      <c r="FBA102" s="395"/>
      <c r="FBB102" s="395"/>
      <c r="FBC102" s="395"/>
      <c r="FBD102" s="395"/>
      <c r="FBE102" s="395"/>
      <c r="FBF102" s="395"/>
      <c r="FBG102" s="395"/>
      <c r="FBH102" s="395"/>
      <c r="FBI102" s="395"/>
      <c r="FBJ102" s="395"/>
      <c r="FBK102" s="395"/>
      <c r="FBL102" s="395"/>
      <c r="FBM102" s="395"/>
      <c r="FBN102" s="395"/>
      <c r="FBO102" s="395"/>
      <c r="FBP102" s="395"/>
      <c r="FBQ102" s="395"/>
      <c r="FBR102" s="395"/>
      <c r="FBS102" s="395"/>
      <c r="FBT102" s="395"/>
      <c r="FBU102" s="395"/>
      <c r="FBV102" s="395"/>
      <c r="FBW102" s="396"/>
      <c r="FBX102" s="394"/>
      <c r="FBY102" s="395"/>
      <c r="FBZ102" s="395"/>
      <c r="FCA102" s="395"/>
      <c r="FCB102" s="395"/>
      <c r="FCC102" s="395"/>
      <c r="FCD102" s="395"/>
      <c r="FCE102" s="395"/>
      <c r="FCF102" s="395"/>
      <c r="FCG102" s="395"/>
      <c r="FCH102" s="395"/>
      <c r="FCI102" s="395"/>
      <c r="FCJ102" s="395"/>
      <c r="FCK102" s="395"/>
      <c r="FCL102" s="395"/>
      <c r="FCM102" s="395"/>
      <c r="FCN102" s="395"/>
      <c r="FCO102" s="395"/>
      <c r="FCP102" s="395"/>
      <c r="FCQ102" s="395"/>
      <c r="FCR102" s="395"/>
      <c r="FCS102" s="395"/>
      <c r="FCT102" s="395"/>
      <c r="FCU102" s="395"/>
      <c r="FCV102" s="395"/>
      <c r="FCW102" s="395"/>
      <c r="FCX102" s="396"/>
      <c r="FCY102" s="394"/>
      <c r="FCZ102" s="395"/>
      <c r="FDA102" s="395"/>
      <c r="FDB102" s="395"/>
      <c r="FDC102" s="395"/>
      <c r="FDD102" s="395"/>
      <c r="FDE102" s="395"/>
      <c r="FDF102" s="395"/>
      <c r="FDG102" s="395"/>
      <c r="FDH102" s="395"/>
      <c r="FDI102" s="395"/>
      <c r="FDJ102" s="395"/>
      <c r="FDK102" s="395"/>
      <c r="FDL102" s="395"/>
      <c r="FDM102" s="395"/>
      <c r="FDN102" s="395"/>
      <c r="FDO102" s="395"/>
      <c r="FDP102" s="395"/>
      <c r="FDQ102" s="395"/>
      <c r="FDR102" s="395"/>
      <c r="FDS102" s="395"/>
      <c r="FDT102" s="395"/>
      <c r="FDU102" s="395"/>
      <c r="FDV102" s="395"/>
      <c r="FDW102" s="395"/>
      <c r="FDX102" s="395"/>
      <c r="FDY102" s="396"/>
      <c r="FDZ102" s="394"/>
      <c r="FEA102" s="395"/>
      <c r="FEB102" s="395"/>
      <c r="FEC102" s="395"/>
      <c r="FED102" s="395"/>
      <c r="FEE102" s="395"/>
      <c r="FEF102" s="395"/>
      <c r="FEG102" s="395"/>
      <c r="FEH102" s="395"/>
      <c r="FEI102" s="395"/>
      <c r="FEJ102" s="395"/>
      <c r="FEK102" s="395"/>
      <c r="FEL102" s="395"/>
      <c r="FEM102" s="395"/>
      <c r="FEN102" s="395"/>
      <c r="FEO102" s="395"/>
      <c r="FEP102" s="395"/>
      <c r="FEQ102" s="395"/>
      <c r="FER102" s="395"/>
      <c r="FES102" s="395"/>
      <c r="FET102" s="395"/>
      <c r="FEU102" s="395"/>
      <c r="FEV102" s="395"/>
      <c r="FEW102" s="395"/>
      <c r="FEX102" s="395"/>
      <c r="FEY102" s="395"/>
      <c r="FEZ102" s="396"/>
      <c r="FFA102" s="394"/>
      <c r="FFB102" s="395"/>
      <c r="FFC102" s="395"/>
      <c r="FFD102" s="395"/>
      <c r="FFE102" s="395"/>
      <c r="FFF102" s="395"/>
      <c r="FFG102" s="395"/>
      <c r="FFH102" s="395"/>
      <c r="FFI102" s="395"/>
      <c r="FFJ102" s="395"/>
      <c r="FFK102" s="395"/>
      <c r="FFL102" s="395"/>
      <c r="FFM102" s="395"/>
      <c r="FFN102" s="395"/>
      <c r="FFO102" s="395"/>
      <c r="FFP102" s="395"/>
      <c r="FFQ102" s="395"/>
      <c r="FFR102" s="395"/>
      <c r="FFS102" s="395"/>
      <c r="FFT102" s="395"/>
      <c r="FFU102" s="395"/>
      <c r="FFV102" s="395"/>
      <c r="FFW102" s="395"/>
      <c r="FFX102" s="395"/>
      <c r="FFY102" s="395"/>
      <c r="FFZ102" s="395"/>
      <c r="FGA102" s="396"/>
      <c r="FGB102" s="394"/>
      <c r="FGC102" s="395"/>
      <c r="FGD102" s="395"/>
      <c r="FGE102" s="395"/>
      <c r="FGF102" s="395"/>
      <c r="FGG102" s="395"/>
      <c r="FGH102" s="395"/>
      <c r="FGI102" s="395"/>
      <c r="FGJ102" s="395"/>
      <c r="FGK102" s="395"/>
      <c r="FGL102" s="395"/>
      <c r="FGM102" s="395"/>
      <c r="FGN102" s="395"/>
      <c r="FGO102" s="395"/>
      <c r="FGP102" s="395"/>
      <c r="FGQ102" s="395"/>
      <c r="FGR102" s="395"/>
      <c r="FGS102" s="395"/>
      <c r="FGT102" s="395"/>
      <c r="FGU102" s="395"/>
      <c r="FGV102" s="395"/>
      <c r="FGW102" s="395"/>
      <c r="FGX102" s="395"/>
      <c r="FGY102" s="395"/>
      <c r="FGZ102" s="395"/>
      <c r="FHA102" s="395"/>
      <c r="FHB102" s="396"/>
      <c r="FHC102" s="394"/>
      <c r="FHD102" s="395"/>
      <c r="FHE102" s="395"/>
      <c r="FHF102" s="395"/>
      <c r="FHG102" s="395"/>
      <c r="FHH102" s="395"/>
      <c r="FHI102" s="395"/>
      <c r="FHJ102" s="395"/>
      <c r="FHK102" s="395"/>
      <c r="FHL102" s="395"/>
      <c r="FHM102" s="395"/>
      <c r="FHN102" s="395"/>
      <c r="FHO102" s="395"/>
      <c r="FHP102" s="395"/>
      <c r="FHQ102" s="395"/>
      <c r="FHR102" s="395"/>
      <c r="FHS102" s="395"/>
      <c r="FHT102" s="395"/>
      <c r="FHU102" s="395"/>
      <c r="FHV102" s="395"/>
      <c r="FHW102" s="395"/>
      <c r="FHX102" s="395"/>
      <c r="FHY102" s="395"/>
      <c r="FHZ102" s="395"/>
      <c r="FIA102" s="395"/>
      <c r="FIB102" s="395"/>
      <c r="FIC102" s="396"/>
      <c r="FID102" s="394"/>
      <c r="FIE102" s="395"/>
      <c r="FIF102" s="395"/>
      <c r="FIG102" s="395"/>
      <c r="FIH102" s="395"/>
      <c r="FII102" s="395"/>
      <c r="FIJ102" s="395"/>
      <c r="FIK102" s="395"/>
      <c r="FIL102" s="395"/>
      <c r="FIM102" s="395"/>
      <c r="FIN102" s="395"/>
      <c r="FIO102" s="395"/>
      <c r="FIP102" s="395"/>
      <c r="FIQ102" s="395"/>
      <c r="FIR102" s="395"/>
      <c r="FIS102" s="395"/>
      <c r="FIT102" s="395"/>
      <c r="FIU102" s="395"/>
      <c r="FIV102" s="395"/>
      <c r="FIW102" s="395"/>
      <c r="FIX102" s="395"/>
      <c r="FIY102" s="395"/>
      <c r="FIZ102" s="395"/>
      <c r="FJA102" s="395"/>
      <c r="FJB102" s="395"/>
      <c r="FJC102" s="395"/>
      <c r="FJD102" s="396"/>
      <c r="FJE102" s="394"/>
      <c r="FJF102" s="395"/>
      <c r="FJG102" s="395"/>
      <c r="FJH102" s="395"/>
      <c r="FJI102" s="395"/>
      <c r="FJJ102" s="395"/>
      <c r="FJK102" s="395"/>
      <c r="FJL102" s="395"/>
      <c r="FJM102" s="395"/>
      <c r="FJN102" s="395"/>
      <c r="FJO102" s="395"/>
      <c r="FJP102" s="395"/>
      <c r="FJQ102" s="395"/>
      <c r="FJR102" s="395"/>
      <c r="FJS102" s="395"/>
      <c r="FJT102" s="395"/>
      <c r="FJU102" s="395"/>
      <c r="FJV102" s="395"/>
      <c r="FJW102" s="395"/>
      <c r="FJX102" s="395"/>
      <c r="FJY102" s="395"/>
      <c r="FJZ102" s="395"/>
      <c r="FKA102" s="395"/>
      <c r="FKB102" s="395"/>
      <c r="FKC102" s="395"/>
      <c r="FKD102" s="395"/>
      <c r="FKE102" s="396"/>
      <c r="FKF102" s="394"/>
      <c r="FKG102" s="395"/>
      <c r="FKH102" s="395"/>
      <c r="FKI102" s="395"/>
      <c r="FKJ102" s="395"/>
      <c r="FKK102" s="395"/>
      <c r="FKL102" s="395"/>
      <c r="FKM102" s="395"/>
      <c r="FKN102" s="395"/>
      <c r="FKO102" s="395"/>
      <c r="FKP102" s="395"/>
      <c r="FKQ102" s="395"/>
      <c r="FKR102" s="395"/>
      <c r="FKS102" s="395"/>
      <c r="FKT102" s="395"/>
      <c r="FKU102" s="395"/>
      <c r="FKV102" s="395"/>
      <c r="FKW102" s="395"/>
      <c r="FKX102" s="395"/>
      <c r="FKY102" s="395"/>
      <c r="FKZ102" s="395"/>
      <c r="FLA102" s="395"/>
      <c r="FLB102" s="395"/>
      <c r="FLC102" s="395"/>
      <c r="FLD102" s="395"/>
      <c r="FLE102" s="395"/>
      <c r="FLF102" s="396"/>
      <c r="FLG102" s="394"/>
      <c r="FLH102" s="395"/>
      <c r="FLI102" s="395"/>
      <c r="FLJ102" s="395"/>
      <c r="FLK102" s="395"/>
      <c r="FLL102" s="395"/>
      <c r="FLM102" s="395"/>
      <c r="FLN102" s="395"/>
      <c r="FLO102" s="395"/>
      <c r="FLP102" s="395"/>
      <c r="FLQ102" s="395"/>
      <c r="FLR102" s="395"/>
      <c r="FLS102" s="395"/>
      <c r="FLT102" s="395"/>
      <c r="FLU102" s="395"/>
      <c r="FLV102" s="395"/>
      <c r="FLW102" s="395"/>
      <c r="FLX102" s="395"/>
      <c r="FLY102" s="395"/>
      <c r="FLZ102" s="395"/>
      <c r="FMA102" s="395"/>
      <c r="FMB102" s="395"/>
      <c r="FMC102" s="395"/>
      <c r="FMD102" s="395"/>
      <c r="FME102" s="395"/>
      <c r="FMF102" s="395"/>
      <c r="FMG102" s="396"/>
      <c r="FMH102" s="394"/>
      <c r="FMI102" s="395"/>
      <c r="FMJ102" s="395"/>
      <c r="FMK102" s="395"/>
      <c r="FML102" s="395"/>
      <c r="FMM102" s="395"/>
      <c r="FMN102" s="395"/>
      <c r="FMO102" s="395"/>
      <c r="FMP102" s="395"/>
      <c r="FMQ102" s="395"/>
      <c r="FMR102" s="395"/>
      <c r="FMS102" s="395"/>
      <c r="FMT102" s="395"/>
      <c r="FMU102" s="395"/>
      <c r="FMV102" s="395"/>
      <c r="FMW102" s="395"/>
      <c r="FMX102" s="395"/>
      <c r="FMY102" s="395"/>
      <c r="FMZ102" s="395"/>
      <c r="FNA102" s="395"/>
      <c r="FNB102" s="395"/>
      <c r="FNC102" s="395"/>
      <c r="FND102" s="395"/>
      <c r="FNE102" s="395"/>
      <c r="FNF102" s="395"/>
      <c r="FNG102" s="395"/>
      <c r="FNH102" s="396"/>
      <c r="FNI102" s="394"/>
      <c r="FNJ102" s="395"/>
      <c r="FNK102" s="395"/>
      <c r="FNL102" s="395"/>
      <c r="FNM102" s="395"/>
      <c r="FNN102" s="395"/>
      <c r="FNO102" s="395"/>
      <c r="FNP102" s="395"/>
      <c r="FNQ102" s="395"/>
      <c r="FNR102" s="395"/>
      <c r="FNS102" s="395"/>
      <c r="FNT102" s="395"/>
      <c r="FNU102" s="395"/>
      <c r="FNV102" s="395"/>
      <c r="FNW102" s="395"/>
      <c r="FNX102" s="395"/>
      <c r="FNY102" s="395"/>
      <c r="FNZ102" s="395"/>
      <c r="FOA102" s="395"/>
      <c r="FOB102" s="395"/>
      <c r="FOC102" s="395"/>
      <c r="FOD102" s="395"/>
      <c r="FOE102" s="395"/>
      <c r="FOF102" s="395"/>
      <c r="FOG102" s="395"/>
      <c r="FOH102" s="395"/>
      <c r="FOI102" s="396"/>
      <c r="FOJ102" s="394"/>
      <c r="FOK102" s="395"/>
      <c r="FOL102" s="395"/>
      <c r="FOM102" s="395"/>
      <c r="FON102" s="395"/>
      <c r="FOO102" s="395"/>
      <c r="FOP102" s="395"/>
      <c r="FOQ102" s="395"/>
      <c r="FOR102" s="395"/>
      <c r="FOS102" s="395"/>
      <c r="FOT102" s="395"/>
      <c r="FOU102" s="395"/>
      <c r="FOV102" s="395"/>
      <c r="FOW102" s="395"/>
      <c r="FOX102" s="395"/>
      <c r="FOY102" s="395"/>
      <c r="FOZ102" s="395"/>
      <c r="FPA102" s="395"/>
      <c r="FPB102" s="395"/>
      <c r="FPC102" s="395"/>
      <c r="FPD102" s="395"/>
      <c r="FPE102" s="395"/>
      <c r="FPF102" s="395"/>
      <c r="FPG102" s="395"/>
      <c r="FPH102" s="395"/>
      <c r="FPI102" s="395"/>
      <c r="FPJ102" s="396"/>
      <c r="FPK102" s="394"/>
      <c r="FPL102" s="395"/>
      <c r="FPM102" s="395"/>
      <c r="FPN102" s="395"/>
      <c r="FPO102" s="395"/>
      <c r="FPP102" s="395"/>
      <c r="FPQ102" s="395"/>
      <c r="FPR102" s="395"/>
      <c r="FPS102" s="395"/>
      <c r="FPT102" s="395"/>
      <c r="FPU102" s="395"/>
      <c r="FPV102" s="395"/>
      <c r="FPW102" s="395"/>
      <c r="FPX102" s="395"/>
      <c r="FPY102" s="395"/>
      <c r="FPZ102" s="395"/>
      <c r="FQA102" s="395"/>
      <c r="FQB102" s="395"/>
      <c r="FQC102" s="395"/>
      <c r="FQD102" s="395"/>
      <c r="FQE102" s="395"/>
      <c r="FQF102" s="395"/>
      <c r="FQG102" s="395"/>
      <c r="FQH102" s="395"/>
      <c r="FQI102" s="395"/>
      <c r="FQJ102" s="395"/>
      <c r="FQK102" s="396"/>
      <c r="FQL102" s="394"/>
      <c r="FQM102" s="395"/>
      <c r="FQN102" s="395"/>
      <c r="FQO102" s="395"/>
      <c r="FQP102" s="395"/>
      <c r="FQQ102" s="395"/>
      <c r="FQR102" s="395"/>
      <c r="FQS102" s="395"/>
      <c r="FQT102" s="395"/>
      <c r="FQU102" s="395"/>
      <c r="FQV102" s="395"/>
      <c r="FQW102" s="395"/>
      <c r="FQX102" s="395"/>
      <c r="FQY102" s="395"/>
      <c r="FQZ102" s="395"/>
      <c r="FRA102" s="395"/>
      <c r="FRB102" s="395"/>
      <c r="FRC102" s="395"/>
      <c r="FRD102" s="395"/>
      <c r="FRE102" s="395"/>
      <c r="FRF102" s="395"/>
      <c r="FRG102" s="395"/>
      <c r="FRH102" s="395"/>
      <c r="FRI102" s="395"/>
      <c r="FRJ102" s="395"/>
      <c r="FRK102" s="395"/>
      <c r="FRL102" s="396"/>
      <c r="FRM102" s="394"/>
      <c r="FRN102" s="395"/>
      <c r="FRO102" s="395"/>
      <c r="FRP102" s="395"/>
      <c r="FRQ102" s="395"/>
      <c r="FRR102" s="395"/>
      <c r="FRS102" s="395"/>
      <c r="FRT102" s="395"/>
      <c r="FRU102" s="395"/>
      <c r="FRV102" s="395"/>
      <c r="FRW102" s="395"/>
      <c r="FRX102" s="395"/>
      <c r="FRY102" s="395"/>
      <c r="FRZ102" s="395"/>
      <c r="FSA102" s="395"/>
      <c r="FSB102" s="395"/>
      <c r="FSC102" s="395"/>
      <c r="FSD102" s="395"/>
      <c r="FSE102" s="395"/>
      <c r="FSF102" s="395"/>
      <c r="FSG102" s="395"/>
      <c r="FSH102" s="395"/>
      <c r="FSI102" s="395"/>
      <c r="FSJ102" s="395"/>
      <c r="FSK102" s="395"/>
      <c r="FSL102" s="395"/>
      <c r="FSM102" s="396"/>
      <c r="FSN102" s="394"/>
      <c r="FSO102" s="395"/>
      <c r="FSP102" s="395"/>
      <c r="FSQ102" s="395"/>
      <c r="FSR102" s="395"/>
      <c r="FSS102" s="395"/>
      <c r="FST102" s="395"/>
      <c r="FSU102" s="395"/>
      <c r="FSV102" s="395"/>
      <c r="FSW102" s="395"/>
      <c r="FSX102" s="395"/>
      <c r="FSY102" s="395"/>
      <c r="FSZ102" s="395"/>
      <c r="FTA102" s="395"/>
      <c r="FTB102" s="395"/>
      <c r="FTC102" s="395"/>
      <c r="FTD102" s="395"/>
      <c r="FTE102" s="395"/>
      <c r="FTF102" s="395"/>
      <c r="FTG102" s="395"/>
      <c r="FTH102" s="395"/>
      <c r="FTI102" s="395"/>
      <c r="FTJ102" s="395"/>
      <c r="FTK102" s="395"/>
      <c r="FTL102" s="395"/>
      <c r="FTM102" s="395"/>
      <c r="FTN102" s="396"/>
      <c r="FTO102" s="394"/>
      <c r="FTP102" s="395"/>
      <c r="FTQ102" s="395"/>
      <c r="FTR102" s="395"/>
      <c r="FTS102" s="395"/>
      <c r="FTT102" s="395"/>
      <c r="FTU102" s="395"/>
      <c r="FTV102" s="395"/>
      <c r="FTW102" s="395"/>
      <c r="FTX102" s="395"/>
      <c r="FTY102" s="395"/>
      <c r="FTZ102" s="395"/>
      <c r="FUA102" s="395"/>
      <c r="FUB102" s="395"/>
      <c r="FUC102" s="395"/>
      <c r="FUD102" s="395"/>
      <c r="FUE102" s="395"/>
      <c r="FUF102" s="395"/>
      <c r="FUG102" s="395"/>
      <c r="FUH102" s="395"/>
      <c r="FUI102" s="395"/>
      <c r="FUJ102" s="395"/>
      <c r="FUK102" s="395"/>
      <c r="FUL102" s="395"/>
      <c r="FUM102" s="395"/>
      <c r="FUN102" s="395"/>
      <c r="FUO102" s="396"/>
      <c r="FUP102" s="394"/>
      <c r="FUQ102" s="395"/>
      <c r="FUR102" s="395"/>
      <c r="FUS102" s="395"/>
      <c r="FUT102" s="395"/>
      <c r="FUU102" s="395"/>
      <c r="FUV102" s="395"/>
      <c r="FUW102" s="395"/>
      <c r="FUX102" s="395"/>
      <c r="FUY102" s="395"/>
      <c r="FUZ102" s="395"/>
      <c r="FVA102" s="395"/>
      <c r="FVB102" s="395"/>
      <c r="FVC102" s="395"/>
      <c r="FVD102" s="395"/>
      <c r="FVE102" s="395"/>
      <c r="FVF102" s="395"/>
      <c r="FVG102" s="395"/>
      <c r="FVH102" s="395"/>
      <c r="FVI102" s="395"/>
      <c r="FVJ102" s="395"/>
      <c r="FVK102" s="395"/>
      <c r="FVL102" s="395"/>
      <c r="FVM102" s="395"/>
      <c r="FVN102" s="395"/>
      <c r="FVO102" s="395"/>
      <c r="FVP102" s="396"/>
      <c r="FVQ102" s="394"/>
      <c r="FVR102" s="395"/>
      <c r="FVS102" s="395"/>
      <c r="FVT102" s="395"/>
      <c r="FVU102" s="395"/>
      <c r="FVV102" s="395"/>
      <c r="FVW102" s="395"/>
      <c r="FVX102" s="395"/>
      <c r="FVY102" s="395"/>
      <c r="FVZ102" s="395"/>
      <c r="FWA102" s="395"/>
      <c r="FWB102" s="395"/>
      <c r="FWC102" s="395"/>
      <c r="FWD102" s="395"/>
      <c r="FWE102" s="395"/>
      <c r="FWF102" s="395"/>
      <c r="FWG102" s="395"/>
      <c r="FWH102" s="395"/>
      <c r="FWI102" s="395"/>
      <c r="FWJ102" s="395"/>
      <c r="FWK102" s="395"/>
      <c r="FWL102" s="395"/>
      <c r="FWM102" s="395"/>
      <c r="FWN102" s="395"/>
      <c r="FWO102" s="395"/>
      <c r="FWP102" s="395"/>
      <c r="FWQ102" s="396"/>
      <c r="FWR102" s="394"/>
      <c r="FWS102" s="395"/>
      <c r="FWT102" s="395"/>
      <c r="FWU102" s="395"/>
      <c r="FWV102" s="395"/>
      <c r="FWW102" s="395"/>
      <c r="FWX102" s="395"/>
      <c r="FWY102" s="395"/>
      <c r="FWZ102" s="395"/>
      <c r="FXA102" s="395"/>
      <c r="FXB102" s="395"/>
      <c r="FXC102" s="395"/>
      <c r="FXD102" s="395"/>
      <c r="FXE102" s="395"/>
      <c r="FXF102" s="395"/>
      <c r="FXG102" s="395"/>
      <c r="FXH102" s="395"/>
      <c r="FXI102" s="395"/>
      <c r="FXJ102" s="395"/>
      <c r="FXK102" s="395"/>
      <c r="FXL102" s="395"/>
      <c r="FXM102" s="395"/>
      <c r="FXN102" s="395"/>
      <c r="FXO102" s="395"/>
      <c r="FXP102" s="395"/>
      <c r="FXQ102" s="395"/>
      <c r="FXR102" s="396"/>
      <c r="FXS102" s="394"/>
      <c r="FXT102" s="395"/>
      <c r="FXU102" s="395"/>
      <c r="FXV102" s="395"/>
      <c r="FXW102" s="395"/>
      <c r="FXX102" s="395"/>
      <c r="FXY102" s="395"/>
      <c r="FXZ102" s="395"/>
      <c r="FYA102" s="395"/>
      <c r="FYB102" s="395"/>
      <c r="FYC102" s="395"/>
      <c r="FYD102" s="395"/>
      <c r="FYE102" s="395"/>
      <c r="FYF102" s="395"/>
      <c r="FYG102" s="395"/>
      <c r="FYH102" s="395"/>
      <c r="FYI102" s="395"/>
      <c r="FYJ102" s="395"/>
      <c r="FYK102" s="395"/>
      <c r="FYL102" s="395"/>
      <c r="FYM102" s="395"/>
      <c r="FYN102" s="395"/>
      <c r="FYO102" s="395"/>
      <c r="FYP102" s="395"/>
      <c r="FYQ102" s="395"/>
      <c r="FYR102" s="395"/>
      <c r="FYS102" s="396"/>
      <c r="FYT102" s="394"/>
      <c r="FYU102" s="395"/>
      <c r="FYV102" s="395"/>
      <c r="FYW102" s="395"/>
      <c r="FYX102" s="395"/>
      <c r="FYY102" s="395"/>
      <c r="FYZ102" s="395"/>
      <c r="FZA102" s="395"/>
      <c r="FZB102" s="395"/>
      <c r="FZC102" s="395"/>
      <c r="FZD102" s="395"/>
      <c r="FZE102" s="395"/>
      <c r="FZF102" s="395"/>
      <c r="FZG102" s="395"/>
      <c r="FZH102" s="395"/>
      <c r="FZI102" s="395"/>
      <c r="FZJ102" s="395"/>
      <c r="FZK102" s="395"/>
      <c r="FZL102" s="395"/>
      <c r="FZM102" s="395"/>
      <c r="FZN102" s="395"/>
      <c r="FZO102" s="395"/>
      <c r="FZP102" s="395"/>
      <c r="FZQ102" s="395"/>
      <c r="FZR102" s="395"/>
      <c r="FZS102" s="395"/>
      <c r="FZT102" s="396"/>
      <c r="FZU102" s="394"/>
      <c r="FZV102" s="395"/>
      <c r="FZW102" s="395"/>
      <c r="FZX102" s="395"/>
      <c r="FZY102" s="395"/>
      <c r="FZZ102" s="395"/>
      <c r="GAA102" s="395"/>
      <c r="GAB102" s="395"/>
      <c r="GAC102" s="395"/>
      <c r="GAD102" s="395"/>
      <c r="GAE102" s="395"/>
      <c r="GAF102" s="395"/>
      <c r="GAG102" s="395"/>
      <c r="GAH102" s="395"/>
      <c r="GAI102" s="395"/>
      <c r="GAJ102" s="395"/>
      <c r="GAK102" s="395"/>
      <c r="GAL102" s="395"/>
      <c r="GAM102" s="395"/>
      <c r="GAN102" s="395"/>
      <c r="GAO102" s="395"/>
      <c r="GAP102" s="395"/>
      <c r="GAQ102" s="395"/>
      <c r="GAR102" s="395"/>
      <c r="GAS102" s="395"/>
      <c r="GAT102" s="395"/>
      <c r="GAU102" s="396"/>
      <c r="GAV102" s="394"/>
      <c r="GAW102" s="395"/>
      <c r="GAX102" s="395"/>
      <c r="GAY102" s="395"/>
      <c r="GAZ102" s="395"/>
      <c r="GBA102" s="395"/>
      <c r="GBB102" s="395"/>
      <c r="GBC102" s="395"/>
      <c r="GBD102" s="395"/>
      <c r="GBE102" s="395"/>
      <c r="GBF102" s="395"/>
      <c r="GBG102" s="395"/>
      <c r="GBH102" s="395"/>
      <c r="GBI102" s="395"/>
      <c r="GBJ102" s="395"/>
      <c r="GBK102" s="395"/>
      <c r="GBL102" s="395"/>
      <c r="GBM102" s="395"/>
      <c r="GBN102" s="395"/>
      <c r="GBO102" s="395"/>
      <c r="GBP102" s="395"/>
      <c r="GBQ102" s="395"/>
      <c r="GBR102" s="395"/>
      <c r="GBS102" s="395"/>
      <c r="GBT102" s="395"/>
      <c r="GBU102" s="395"/>
      <c r="GBV102" s="396"/>
      <c r="GBW102" s="394"/>
      <c r="GBX102" s="395"/>
      <c r="GBY102" s="395"/>
      <c r="GBZ102" s="395"/>
      <c r="GCA102" s="395"/>
      <c r="GCB102" s="395"/>
      <c r="GCC102" s="395"/>
      <c r="GCD102" s="395"/>
      <c r="GCE102" s="395"/>
      <c r="GCF102" s="395"/>
      <c r="GCG102" s="395"/>
      <c r="GCH102" s="395"/>
      <c r="GCI102" s="395"/>
      <c r="GCJ102" s="395"/>
      <c r="GCK102" s="395"/>
      <c r="GCL102" s="395"/>
      <c r="GCM102" s="395"/>
      <c r="GCN102" s="395"/>
      <c r="GCO102" s="395"/>
      <c r="GCP102" s="395"/>
      <c r="GCQ102" s="395"/>
      <c r="GCR102" s="395"/>
      <c r="GCS102" s="395"/>
      <c r="GCT102" s="395"/>
      <c r="GCU102" s="395"/>
      <c r="GCV102" s="395"/>
      <c r="GCW102" s="396"/>
      <c r="GCX102" s="394"/>
      <c r="GCY102" s="395"/>
      <c r="GCZ102" s="395"/>
      <c r="GDA102" s="395"/>
      <c r="GDB102" s="395"/>
      <c r="GDC102" s="395"/>
      <c r="GDD102" s="395"/>
      <c r="GDE102" s="395"/>
      <c r="GDF102" s="395"/>
      <c r="GDG102" s="395"/>
      <c r="GDH102" s="395"/>
      <c r="GDI102" s="395"/>
      <c r="GDJ102" s="395"/>
      <c r="GDK102" s="395"/>
      <c r="GDL102" s="395"/>
      <c r="GDM102" s="395"/>
      <c r="GDN102" s="395"/>
      <c r="GDO102" s="395"/>
      <c r="GDP102" s="395"/>
      <c r="GDQ102" s="395"/>
      <c r="GDR102" s="395"/>
      <c r="GDS102" s="395"/>
      <c r="GDT102" s="395"/>
      <c r="GDU102" s="395"/>
      <c r="GDV102" s="395"/>
      <c r="GDW102" s="395"/>
      <c r="GDX102" s="396"/>
      <c r="GDY102" s="394"/>
      <c r="GDZ102" s="395"/>
      <c r="GEA102" s="395"/>
      <c r="GEB102" s="395"/>
      <c r="GEC102" s="395"/>
      <c r="GED102" s="395"/>
      <c r="GEE102" s="395"/>
      <c r="GEF102" s="395"/>
      <c r="GEG102" s="395"/>
      <c r="GEH102" s="395"/>
      <c r="GEI102" s="395"/>
      <c r="GEJ102" s="395"/>
      <c r="GEK102" s="395"/>
      <c r="GEL102" s="395"/>
      <c r="GEM102" s="395"/>
      <c r="GEN102" s="395"/>
      <c r="GEO102" s="395"/>
      <c r="GEP102" s="395"/>
      <c r="GEQ102" s="395"/>
      <c r="GER102" s="395"/>
      <c r="GES102" s="395"/>
      <c r="GET102" s="395"/>
      <c r="GEU102" s="395"/>
      <c r="GEV102" s="395"/>
      <c r="GEW102" s="395"/>
      <c r="GEX102" s="395"/>
      <c r="GEY102" s="396"/>
      <c r="GEZ102" s="394"/>
      <c r="GFA102" s="395"/>
      <c r="GFB102" s="395"/>
      <c r="GFC102" s="395"/>
      <c r="GFD102" s="395"/>
      <c r="GFE102" s="395"/>
      <c r="GFF102" s="395"/>
      <c r="GFG102" s="395"/>
      <c r="GFH102" s="395"/>
      <c r="GFI102" s="395"/>
      <c r="GFJ102" s="395"/>
      <c r="GFK102" s="395"/>
      <c r="GFL102" s="395"/>
      <c r="GFM102" s="395"/>
      <c r="GFN102" s="395"/>
      <c r="GFO102" s="395"/>
      <c r="GFP102" s="395"/>
      <c r="GFQ102" s="395"/>
      <c r="GFR102" s="395"/>
      <c r="GFS102" s="395"/>
      <c r="GFT102" s="395"/>
      <c r="GFU102" s="395"/>
      <c r="GFV102" s="395"/>
      <c r="GFW102" s="395"/>
      <c r="GFX102" s="395"/>
      <c r="GFY102" s="395"/>
      <c r="GFZ102" s="396"/>
      <c r="GGA102" s="394"/>
      <c r="GGB102" s="395"/>
      <c r="GGC102" s="395"/>
      <c r="GGD102" s="395"/>
      <c r="GGE102" s="395"/>
      <c r="GGF102" s="395"/>
      <c r="GGG102" s="395"/>
      <c r="GGH102" s="395"/>
      <c r="GGI102" s="395"/>
      <c r="GGJ102" s="395"/>
      <c r="GGK102" s="395"/>
      <c r="GGL102" s="395"/>
      <c r="GGM102" s="395"/>
      <c r="GGN102" s="395"/>
      <c r="GGO102" s="395"/>
      <c r="GGP102" s="395"/>
      <c r="GGQ102" s="395"/>
      <c r="GGR102" s="395"/>
      <c r="GGS102" s="395"/>
      <c r="GGT102" s="395"/>
      <c r="GGU102" s="395"/>
      <c r="GGV102" s="395"/>
      <c r="GGW102" s="395"/>
      <c r="GGX102" s="395"/>
      <c r="GGY102" s="395"/>
      <c r="GGZ102" s="395"/>
      <c r="GHA102" s="396"/>
      <c r="GHB102" s="394"/>
      <c r="GHC102" s="395"/>
      <c r="GHD102" s="395"/>
      <c r="GHE102" s="395"/>
      <c r="GHF102" s="395"/>
      <c r="GHG102" s="395"/>
      <c r="GHH102" s="395"/>
      <c r="GHI102" s="395"/>
      <c r="GHJ102" s="395"/>
      <c r="GHK102" s="395"/>
      <c r="GHL102" s="395"/>
      <c r="GHM102" s="395"/>
      <c r="GHN102" s="395"/>
      <c r="GHO102" s="395"/>
      <c r="GHP102" s="395"/>
      <c r="GHQ102" s="395"/>
      <c r="GHR102" s="395"/>
      <c r="GHS102" s="395"/>
      <c r="GHT102" s="395"/>
      <c r="GHU102" s="395"/>
      <c r="GHV102" s="395"/>
      <c r="GHW102" s="395"/>
      <c r="GHX102" s="395"/>
      <c r="GHY102" s="395"/>
      <c r="GHZ102" s="395"/>
      <c r="GIA102" s="395"/>
      <c r="GIB102" s="396"/>
      <c r="GIC102" s="394"/>
      <c r="GID102" s="395"/>
      <c r="GIE102" s="395"/>
      <c r="GIF102" s="395"/>
      <c r="GIG102" s="395"/>
      <c r="GIH102" s="395"/>
      <c r="GII102" s="395"/>
      <c r="GIJ102" s="395"/>
      <c r="GIK102" s="395"/>
      <c r="GIL102" s="395"/>
      <c r="GIM102" s="395"/>
      <c r="GIN102" s="395"/>
      <c r="GIO102" s="395"/>
      <c r="GIP102" s="395"/>
      <c r="GIQ102" s="395"/>
      <c r="GIR102" s="395"/>
      <c r="GIS102" s="395"/>
      <c r="GIT102" s="395"/>
      <c r="GIU102" s="395"/>
      <c r="GIV102" s="395"/>
      <c r="GIW102" s="395"/>
      <c r="GIX102" s="395"/>
      <c r="GIY102" s="395"/>
      <c r="GIZ102" s="395"/>
      <c r="GJA102" s="395"/>
      <c r="GJB102" s="395"/>
      <c r="GJC102" s="396"/>
      <c r="GJD102" s="394"/>
      <c r="GJE102" s="395"/>
      <c r="GJF102" s="395"/>
      <c r="GJG102" s="395"/>
      <c r="GJH102" s="395"/>
      <c r="GJI102" s="395"/>
      <c r="GJJ102" s="395"/>
      <c r="GJK102" s="395"/>
      <c r="GJL102" s="395"/>
      <c r="GJM102" s="395"/>
      <c r="GJN102" s="395"/>
      <c r="GJO102" s="395"/>
      <c r="GJP102" s="395"/>
      <c r="GJQ102" s="395"/>
      <c r="GJR102" s="395"/>
      <c r="GJS102" s="395"/>
      <c r="GJT102" s="395"/>
      <c r="GJU102" s="395"/>
      <c r="GJV102" s="395"/>
      <c r="GJW102" s="395"/>
      <c r="GJX102" s="395"/>
      <c r="GJY102" s="395"/>
      <c r="GJZ102" s="395"/>
      <c r="GKA102" s="395"/>
      <c r="GKB102" s="395"/>
      <c r="GKC102" s="395"/>
      <c r="GKD102" s="396"/>
      <c r="GKE102" s="394"/>
      <c r="GKF102" s="395"/>
      <c r="GKG102" s="395"/>
      <c r="GKH102" s="395"/>
      <c r="GKI102" s="395"/>
      <c r="GKJ102" s="395"/>
      <c r="GKK102" s="395"/>
      <c r="GKL102" s="395"/>
      <c r="GKM102" s="395"/>
      <c r="GKN102" s="395"/>
      <c r="GKO102" s="395"/>
      <c r="GKP102" s="395"/>
      <c r="GKQ102" s="395"/>
      <c r="GKR102" s="395"/>
      <c r="GKS102" s="395"/>
      <c r="GKT102" s="395"/>
      <c r="GKU102" s="395"/>
      <c r="GKV102" s="395"/>
      <c r="GKW102" s="395"/>
      <c r="GKX102" s="395"/>
      <c r="GKY102" s="395"/>
      <c r="GKZ102" s="395"/>
      <c r="GLA102" s="395"/>
      <c r="GLB102" s="395"/>
      <c r="GLC102" s="395"/>
      <c r="GLD102" s="395"/>
      <c r="GLE102" s="396"/>
      <c r="GLF102" s="394"/>
      <c r="GLG102" s="395"/>
      <c r="GLH102" s="395"/>
      <c r="GLI102" s="395"/>
      <c r="GLJ102" s="395"/>
      <c r="GLK102" s="395"/>
      <c r="GLL102" s="395"/>
      <c r="GLM102" s="395"/>
      <c r="GLN102" s="395"/>
      <c r="GLO102" s="395"/>
      <c r="GLP102" s="395"/>
      <c r="GLQ102" s="395"/>
      <c r="GLR102" s="395"/>
      <c r="GLS102" s="395"/>
      <c r="GLT102" s="395"/>
      <c r="GLU102" s="395"/>
      <c r="GLV102" s="395"/>
      <c r="GLW102" s="395"/>
      <c r="GLX102" s="395"/>
      <c r="GLY102" s="395"/>
      <c r="GLZ102" s="395"/>
      <c r="GMA102" s="395"/>
      <c r="GMB102" s="395"/>
      <c r="GMC102" s="395"/>
      <c r="GMD102" s="395"/>
      <c r="GME102" s="395"/>
      <c r="GMF102" s="396"/>
      <c r="GMG102" s="394"/>
      <c r="GMH102" s="395"/>
      <c r="GMI102" s="395"/>
      <c r="GMJ102" s="395"/>
      <c r="GMK102" s="395"/>
      <c r="GML102" s="395"/>
      <c r="GMM102" s="395"/>
      <c r="GMN102" s="395"/>
      <c r="GMO102" s="395"/>
      <c r="GMP102" s="395"/>
      <c r="GMQ102" s="395"/>
      <c r="GMR102" s="395"/>
      <c r="GMS102" s="395"/>
      <c r="GMT102" s="395"/>
      <c r="GMU102" s="395"/>
      <c r="GMV102" s="395"/>
      <c r="GMW102" s="395"/>
      <c r="GMX102" s="395"/>
      <c r="GMY102" s="395"/>
      <c r="GMZ102" s="395"/>
      <c r="GNA102" s="395"/>
      <c r="GNB102" s="395"/>
      <c r="GNC102" s="395"/>
      <c r="GND102" s="395"/>
      <c r="GNE102" s="395"/>
      <c r="GNF102" s="395"/>
      <c r="GNG102" s="396"/>
      <c r="GNH102" s="394"/>
      <c r="GNI102" s="395"/>
      <c r="GNJ102" s="395"/>
      <c r="GNK102" s="395"/>
      <c r="GNL102" s="395"/>
      <c r="GNM102" s="395"/>
      <c r="GNN102" s="395"/>
      <c r="GNO102" s="395"/>
      <c r="GNP102" s="395"/>
      <c r="GNQ102" s="395"/>
      <c r="GNR102" s="395"/>
      <c r="GNS102" s="395"/>
      <c r="GNT102" s="395"/>
      <c r="GNU102" s="395"/>
      <c r="GNV102" s="395"/>
      <c r="GNW102" s="395"/>
      <c r="GNX102" s="395"/>
      <c r="GNY102" s="395"/>
      <c r="GNZ102" s="395"/>
      <c r="GOA102" s="395"/>
      <c r="GOB102" s="395"/>
      <c r="GOC102" s="395"/>
      <c r="GOD102" s="395"/>
      <c r="GOE102" s="395"/>
      <c r="GOF102" s="395"/>
      <c r="GOG102" s="395"/>
      <c r="GOH102" s="396"/>
      <c r="GOI102" s="394"/>
      <c r="GOJ102" s="395"/>
      <c r="GOK102" s="395"/>
      <c r="GOL102" s="395"/>
      <c r="GOM102" s="395"/>
      <c r="GON102" s="395"/>
      <c r="GOO102" s="395"/>
      <c r="GOP102" s="395"/>
      <c r="GOQ102" s="395"/>
      <c r="GOR102" s="395"/>
      <c r="GOS102" s="395"/>
      <c r="GOT102" s="395"/>
      <c r="GOU102" s="395"/>
      <c r="GOV102" s="395"/>
      <c r="GOW102" s="395"/>
      <c r="GOX102" s="395"/>
      <c r="GOY102" s="395"/>
      <c r="GOZ102" s="395"/>
      <c r="GPA102" s="395"/>
      <c r="GPB102" s="395"/>
      <c r="GPC102" s="395"/>
      <c r="GPD102" s="395"/>
      <c r="GPE102" s="395"/>
      <c r="GPF102" s="395"/>
      <c r="GPG102" s="395"/>
      <c r="GPH102" s="395"/>
      <c r="GPI102" s="396"/>
      <c r="GPJ102" s="394"/>
      <c r="GPK102" s="395"/>
      <c r="GPL102" s="395"/>
      <c r="GPM102" s="395"/>
      <c r="GPN102" s="395"/>
      <c r="GPO102" s="395"/>
      <c r="GPP102" s="395"/>
      <c r="GPQ102" s="395"/>
      <c r="GPR102" s="395"/>
      <c r="GPS102" s="395"/>
      <c r="GPT102" s="395"/>
      <c r="GPU102" s="395"/>
      <c r="GPV102" s="395"/>
      <c r="GPW102" s="395"/>
      <c r="GPX102" s="395"/>
      <c r="GPY102" s="395"/>
      <c r="GPZ102" s="395"/>
      <c r="GQA102" s="395"/>
      <c r="GQB102" s="395"/>
      <c r="GQC102" s="395"/>
      <c r="GQD102" s="395"/>
      <c r="GQE102" s="395"/>
      <c r="GQF102" s="395"/>
      <c r="GQG102" s="395"/>
      <c r="GQH102" s="395"/>
      <c r="GQI102" s="395"/>
      <c r="GQJ102" s="396"/>
      <c r="GQK102" s="394"/>
      <c r="GQL102" s="395"/>
      <c r="GQM102" s="395"/>
      <c r="GQN102" s="395"/>
      <c r="GQO102" s="395"/>
      <c r="GQP102" s="395"/>
      <c r="GQQ102" s="395"/>
      <c r="GQR102" s="395"/>
      <c r="GQS102" s="395"/>
      <c r="GQT102" s="395"/>
      <c r="GQU102" s="395"/>
      <c r="GQV102" s="395"/>
      <c r="GQW102" s="395"/>
      <c r="GQX102" s="395"/>
      <c r="GQY102" s="395"/>
      <c r="GQZ102" s="395"/>
      <c r="GRA102" s="395"/>
      <c r="GRB102" s="395"/>
      <c r="GRC102" s="395"/>
      <c r="GRD102" s="395"/>
      <c r="GRE102" s="395"/>
      <c r="GRF102" s="395"/>
      <c r="GRG102" s="395"/>
      <c r="GRH102" s="395"/>
      <c r="GRI102" s="395"/>
      <c r="GRJ102" s="395"/>
      <c r="GRK102" s="396"/>
      <c r="GRL102" s="394"/>
      <c r="GRM102" s="395"/>
      <c r="GRN102" s="395"/>
      <c r="GRO102" s="395"/>
      <c r="GRP102" s="395"/>
      <c r="GRQ102" s="395"/>
      <c r="GRR102" s="395"/>
      <c r="GRS102" s="395"/>
      <c r="GRT102" s="395"/>
      <c r="GRU102" s="395"/>
      <c r="GRV102" s="395"/>
      <c r="GRW102" s="395"/>
      <c r="GRX102" s="395"/>
      <c r="GRY102" s="395"/>
      <c r="GRZ102" s="395"/>
      <c r="GSA102" s="395"/>
      <c r="GSB102" s="395"/>
      <c r="GSC102" s="395"/>
      <c r="GSD102" s="395"/>
      <c r="GSE102" s="395"/>
      <c r="GSF102" s="395"/>
      <c r="GSG102" s="395"/>
      <c r="GSH102" s="395"/>
      <c r="GSI102" s="395"/>
      <c r="GSJ102" s="395"/>
      <c r="GSK102" s="395"/>
      <c r="GSL102" s="396"/>
      <c r="GSM102" s="394"/>
      <c r="GSN102" s="395"/>
      <c r="GSO102" s="395"/>
      <c r="GSP102" s="395"/>
      <c r="GSQ102" s="395"/>
      <c r="GSR102" s="395"/>
      <c r="GSS102" s="395"/>
      <c r="GST102" s="395"/>
      <c r="GSU102" s="395"/>
      <c r="GSV102" s="395"/>
      <c r="GSW102" s="395"/>
      <c r="GSX102" s="395"/>
      <c r="GSY102" s="395"/>
      <c r="GSZ102" s="395"/>
      <c r="GTA102" s="395"/>
      <c r="GTB102" s="395"/>
      <c r="GTC102" s="395"/>
      <c r="GTD102" s="395"/>
      <c r="GTE102" s="395"/>
      <c r="GTF102" s="395"/>
      <c r="GTG102" s="395"/>
      <c r="GTH102" s="395"/>
      <c r="GTI102" s="395"/>
      <c r="GTJ102" s="395"/>
      <c r="GTK102" s="395"/>
      <c r="GTL102" s="395"/>
      <c r="GTM102" s="396"/>
      <c r="GTN102" s="394"/>
      <c r="GTO102" s="395"/>
      <c r="GTP102" s="395"/>
      <c r="GTQ102" s="395"/>
      <c r="GTR102" s="395"/>
      <c r="GTS102" s="395"/>
      <c r="GTT102" s="395"/>
      <c r="GTU102" s="395"/>
      <c r="GTV102" s="395"/>
      <c r="GTW102" s="395"/>
      <c r="GTX102" s="395"/>
      <c r="GTY102" s="395"/>
      <c r="GTZ102" s="395"/>
      <c r="GUA102" s="395"/>
      <c r="GUB102" s="395"/>
      <c r="GUC102" s="395"/>
      <c r="GUD102" s="395"/>
      <c r="GUE102" s="395"/>
      <c r="GUF102" s="395"/>
      <c r="GUG102" s="395"/>
      <c r="GUH102" s="395"/>
      <c r="GUI102" s="395"/>
      <c r="GUJ102" s="395"/>
      <c r="GUK102" s="395"/>
      <c r="GUL102" s="395"/>
      <c r="GUM102" s="395"/>
      <c r="GUN102" s="396"/>
      <c r="GUO102" s="394"/>
      <c r="GUP102" s="395"/>
      <c r="GUQ102" s="395"/>
      <c r="GUR102" s="395"/>
      <c r="GUS102" s="395"/>
      <c r="GUT102" s="395"/>
      <c r="GUU102" s="395"/>
      <c r="GUV102" s="395"/>
      <c r="GUW102" s="395"/>
      <c r="GUX102" s="395"/>
      <c r="GUY102" s="395"/>
      <c r="GUZ102" s="395"/>
      <c r="GVA102" s="395"/>
      <c r="GVB102" s="395"/>
      <c r="GVC102" s="395"/>
      <c r="GVD102" s="395"/>
      <c r="GVE102" s="395"/>
      <c r="GVF102" s="395"/>
      <c r="GVG102" s="395"/>
      <c r="GVH102" s="395"/>
      <c r="GVI102" s="395"/>
      <c r="GVJ102" s="395"/>
      <c r="GVK102" s="395"/>
      <c r="GVL102" s="395"/>
      <c r="GVM102" s="395"/>
      <c r="GVN102" s="395"/>
      <c r="GVO102" s="396"/>
      <c r="GVP102" s="394"/>
      <c r="GVQ102" s="395"/>
      <c r="GVR102" s="395"/>
      <c r="GVS102" s="395"/>
      <c r="GVT102" s="395"/>
      <c r="GVU102" s="395"/>
      <c r="GVV102" s="395"/>
      <c r="GVW102" s="395"/>
      <c r="GVX102" s="395"/>
      <c r="GVY102" s="395"/>
      <c r="GVZ102" s="395"/>
      <c r="GWA102" s="395"/>
      <c r="GWB102" s="395"/>
      <c r="GWC102" s="395"/>
      <c r="GWD102" s="395"/>
      <c r="GWE102" s="395"/>
      <c r="GWF102" s="395"/>
      <c r="GWG102" s="395"/>
      <c r="GWH102" s="395"/>
      <c r="GWI102" s="395"/>
      <c r="GWJ102" s="395"/>
      <c r="GWK102" s="395"/>
      <c r="GWL102" s="395"/>
      <c r="GWM102" s="395"/>
      <c r="GWN102" s="395"/>
      <c r="GWO102" s="395"/>
      <c r="GWP102" s="396"/>
      <c r="GWQ102" s="394"/>
      <c r="GWR102" s="395"/>
      <c r="GWS102" s="395"/>
      <c r="GWT102" s="395"/>
      <c r="GWU102" s="395"/>
      <c r="GWV102" s="395"/>
      <c r="GWW102" s="395"/>
      <c r="GWX102" s="395"/>
      <c r="GWY102" s="395"/>
      <c r="GWZ102" s="395"/>
      <c r="GXA102" s="395"/>
      <c r="GXB102" s="395"/>
      <c r="GXC102" s="395"/>
      <c r="GXD102" s="395"/>
      <c r="GXE102" s="395"/>
      <c r="GXF102" s="395"/>
      <c r="GXG102" s="395"/>
      <c r="GXH102" s="395"/>
      <c r="GXI102" s="395"/>
      <c r="GXJ102" s="395"/>
      <c r="GXK102" s="395"/>
      <c r="GXL102" s="395"/>
      <c r="GXM102" s="395"/>
      <c r="GXN102" s="395"/>
      <c r="GXO102" s="395"/>
      <c r="GXP102" s="395"/>
      <c r="GXQ102" s="396"/>
      <c r="GXR102" s="394"/>
      <c r="GXS102" s="395"/>
      <c r="GXT102" s="395"/>
      <c r="GXU102" s="395"/>
      <c r="GXV102" s="395"/>
      <c r="GXW102" s="395"/>
      <c r="GXX102" s="395"/>
      <c r="GXY102" s="395"/>
      <c r="GXZ102" s="395"/>
      <c r="GYA102" s="395"/>
      <c r="GYB102" s="395"/>
      <c r="GYC102" s="395"/>
      <c r="GYD102" s="395"/>
      <c r="GYE102" s="395"/>
      <c r="GYF102" s="395"/>
      <c r="GYG102" s="395"/>
      <c r="GYH102" s="395"/>
      <c r="GYI102" s="395"/>
      <c r="GYJ102" s="395"/>
      <c r="GYK102" s="395"/>
      <c r="GYL102" s="395"/>
      <c r="GYM102" s="395"/>
      <c r="GYN102" s="395"/>
      <c r="GYO102" s="395"/>
      <c r="GYP102" s="395"/>
      <c r="GYQ102" s="395"/>
      <c r="GYR102" s="396"/>
      <c r="GYS102" s="394"/>
      <c r="GYT102" s="395"/>
      <c r="GYU102" s="395"/>
      <c r="GYV102" s="395"/>
      <c r="GYW102" s="395"/>
      <c r="GYX102" s="395"/>
      <c r="GYY102" s="395"/>
      <c r="GYZ102" s="395"/>
      <c r="GZA102" s="395"/>
      <c r="GZB102" s="395"/>
      <c r="GZC102" s="395"/>
      <c r="GZD102" s="395"/>
      <c r="GZE102" s="395"/>
      <c r="GZF102" s="395"/>
      <c r="GZG102" s="395"/>
      <c r="GZH102" s="395"/>
      <c r="GZI102" s="395"/>
      <c r="GZJ102" s="395"/>
      <c r="GZK102" s="395"/>
      <c r="GZL102" s="395"/>
      <c r="GZM102" s="395"/>
      <c r="GZN102" s="395"/>
      <c r="GZO102" s="395"/>
      <c r="GZP102" s="395"/>
      <c r="GZQ102" s="395"/>
      <c r="GZR102" s="395"/>
      <c r="GZS102" s="396"/>
      <c r="GZT102" s="394"/>
      <c r="GZU102" s="395"/>
      <c r="GZV102" s="395"/>
      <c r="GZW102" s="395"/>
      <c r="GZX102" s="395"/>
      <c r="GZY102" s="395"/>
      <c r="GZZ102" s="395"/>
      <c r="HAA102" s="395"/>
      <c r="HAB102" s="395"/>
      <c r="HAC102" s="395"/>
      <c r="HAD102" s="395"/>
      <c r="HAE102" s="395"/>
      <c r="HAF102" s="395"/>
      <c r="HAG102" s="395"/>
      <c r="HAH102" s="395"/>
      <c r="HAI102" s="395"/>
      <c r="HAJ102" s="395"/>
      <c r="HAK102" s="395"/>
      <c r="HAL102" s="395"/>
      <c r="HAM102" s="395"/>
      <c r="HAN102" s="395"/>
      <c r="HAO102" s="395"/>
      <c r="HAP102" s="395"/>
      <c r="HAQ102" s="395"/>
      <c r="HAR102" s="395"/>
      <c r="HAS102" s="395"/>
      <c r="HAT102" s="396"/>
      <c r="HAU102" s="394"/>
      <c r="HAV102" s="395"/>
      <c r="HAW102" s="395"/>
      <c r="HAX102" s="395"/>
      <c r="HAY102" s="395"/>
      <c r="HAZ102" s="395"/>
      <c r="HBA102" s="395"/>
      <c r="HBB102" s="395"/>
      <c r="HBC102" s="395"/>
      <c r="HBD102" s="395"/>
      <c r="HBE102" s="395"/>
      <c r="HBF102" s="395"/>
      <c r="HBG102" s="395"/>
      <c r="HBH102" s="395"/>
      <c r="HBI102" s="395"/>
      <c r="HBJ102" s="395"/>
      <c r="HBK102" s="395"/>
      <c r="HBL102" s="395"/>
      <c r="HBM102" s="395"/>
      <c r="HBN102" s="395"/>
      <c r="HBO102" s="395"/>
      <c r="HBP102" s="395"/>
      <c r="HBQ102" s="395"/>
      <c r="HBR102" s="395"/>
      <c r="HBS102" s="395"/>
      <c r="HBT102" s="395"/>
      <c r="HBU102" s="396"/>
      <c r="HBV102" s="394"/>
      <c r="HBW102" s="395"/>
      <c r="HBX102" s="395"/>
      <c r="HBY102" s="395"/>
      <c r="HBZ102" s="395"/>
      <c r="HCA102" s="395"/>
      <c r="HCB102" s="395"/>
      <c r="HCC102" s="395"/>
      <c r="HCD102" s="395"/>
      <c r="HCE102" s="395"/>
      <c r="HCF102" s="395"/>
      <c r="HCG102" s="395"/>
      <c r="HCH102" s="395"/>
      <c r="HCI102" s="395"/>
      <c r="HCJ102" s="395"/>
      <c r="HCK102" s="395"/>
      <c r="HCL102" s="395"/>
      <c r="HCM102" s="395"/>
      <c r="HCN102" s="395"/>
      <c r="HCO102" s="395"/>
      <c r="HCP102" s="395"/>
      <c r="HCQ102" s="395"/>
      <c r="HCR102" s="395"/>
      <c r="HCS102" s="395"/>
      <c r="HCT102" s="395"/>
      <c r="HCU102" s="395"/>
      <c r="HCV102" s="396"/>
      <c r="HCW102" s="394"/>
      <c r="HCX102" s="395"/>
      <c r="HCY102" s="395"/>
      <c r="HCZ102" s="395"/>
      <c r="HDA102" s="395"/>
      <c r="HDB102" s="395"/>
      <c r="HDC102" s="395"/>
      <c r="HDD102" s="395"/>
      <c r="HDE102" s="395"/>
      <c r="HDF102" s="395"/>
      <c r="HDG102" s="395"/>
      <c r="HDH102" s="395"/>
      <c r="HDI102" s="395"/>
      <c r="HDJ102" s="395"/>
      <c r="HDK102" s="395"/>
      <c r="HDL102" s="395"/>
      <c r="HDM102" s="395"/>
      <c r="HDN102" s="395"/>
      <c r="HDO102" s="395"/>
      <c r="HDP102" s="395"/>
      <c r="HDQ102" s="395"/>
      <c r="HDR102" s="395"/>
      <c r="HDS102" s="395"/>
      <c r="HDT102" s="395"/>
      <c r="HDU102" s="395"/>
      <c r="HDV102" s="395"/>
      <c r="HDW102" s="396"/>
      <c r="HDX102" s="394"/>
      <c r="HDY102" s="395"/>
      <c r="HDZ102" s="395"/>
      <c r="HEA102" s="395"/>
      <c r="HEB102" s="395"/>
      <c r="HEC102" s="395"/>
      <c r="HED102" s="395"/>
      <c r="HEE102" s="395"/>
      <c r="HEF102" s="395"/>
      <c r="HEG102" s="395"/>
      <c r="HEH102" s="395"/>
      <c r="HEI102" s="395"/>
      <c r="HEJ102" s="395"/>
      <c r="HEK102" s="395"/>
      <c r="HEL102" s="395"/>
      <c r="HEM102" s="395"/>
      <c r="HEN102" s="395"/>
      <c r="HEO102" s="395"/>
      <c r="HEP102" s="395"/>
      <c r="HEQ102" s="395"/>
      <c r="HER102" s="395"/>
      <c r="HES102" s="395"/>
      <c r="HET102" s="395"/>
      <c r="HEU102" s="395"/>
      <c r="HEV102" s="395"/>
      <c r="HEW102" s="395"/>
      <c r="HEX102" s="396"/>
      <c r="HEY102" s="394"/>
      <c r="HEZ102" s="395"/>
      <c r="HFA102" s="395"/>
      <c r="HFB102" s="395"/>
      <c r="HFC102" s="395"/>
      <c r="HFD102" s="395"/>
      <c r="HFE102" s="395"/>
      <c r="HFF102" s="395"/>
      <c r="HFG102" s="395"/>
      <c r="HFH102" s="395"/>
      <c r="HFI102" s="395"/>
      <c r="HFJ102" s="395"/>
      <c r="HFK102" s="395"/>
      <c r="HFL102" s="395"/>
      <c r="HFM102" s="395"/>
      <c r="HFN102" s="395"/>
      <c r="HFO102" s="395"/>
      <c r="HFP102" s="395"/>
      <c r="HFQ102" s="395"/>
      <c r="HFR102" s="395"/>
      <c r="HFS102" s="395"/>
      <c r="HFT102" s="395"/>
      <c r="HFU102" s="395"/>
      <c r="HFV102" s="395"/>
      <c r="HFW102" s="395"/>
      <c r="HFX102" s="395"/>
      <c r="HFY102" s="396"/>
      <c r="HFZ102" s="394"/>
      <c r="HGA102" s="395"/>
      <c r="HGB102" s="395"/>
      <c r="HGC102" s="395"/>
      <c r="HGD102" s="395"/>
      <c r="HGE102" s="395"/>
      <c r="HGF102" s="395"/>
      <c r="HGG102" s="395"/>
      <c r="HGH102" s="395"/>
      <c r="HGI102" s="395"/>
      <c r="HGJ102" s="395"/>
      <c r="HGK102" s="395"/>
      <c r="HGL102" s="395"/>
      <c r="HGM102" s="395"/>
      <c r="HGN102" s="395"/>
      <c r="HGO102" s="395"/>
      <c r="HGP102" s="395"/>
      <c r="HGQ102" s="395"/>
      <c r="HGR102" s="395"/>
      <c r="HGS102" s="395"/>
      <c r="HGT102" s="395"/>
      <c r="HGU102" s="395"/>
      <c r="HGV102" s="395"/>
      <c r="HGW102" s="395"/>
      <c r="HGX102" s="395"/>
      <c r="HGY102" s="395"/>
      <c r="HGZ102" s="396"/>
      <c r="HHA102" s="394"/>
      <c r="HHB102" s="395"/>
      <c r="HHC102" s="395"/>
      <c r="HHD102" s="395"/>
      <c r="HHE102" s="395"/>
      <c r="HHF102" s="395"/>
      <c r="HHG102" s="395"/>
      <c r="HHH102" s="395"/>
      <c r="HHI102" s="395"/>
      <c r="HHJ102" s="395"/>
      <c r="HHK102" s="395"/>
      <c r="HHL102" s="395"/>
      <c r="HHM102" s="395"/>
      <c r="HHN102" s="395"/>
      <c r="HHO102" s="395"/>
      <c r="HHP102" s="395"/>
      <c r="HHQ102" s="395"/>
      <c r="HHR102" s="395"/>
      <c r="HHS102" s="395"/>
      <c r="HHT102" s="395"/>
      <c r="HHU102" s="395"/>
      <c r="HHV102" s="395"/>
      <c r="HHW102" s="395"/>
      <c r="HHX102" s="395"/>
      <c r="HHY102" s="395"/>
      <c r="HHZ102" s="395"/>
      <c r="HIA102" s="396"/>
      <c r="HIB102" s="394"/>
      <c r="HIC102" s="395"/>
      <c r="HID102" s="395"/>
      <c r="HIE102" s="395"/>
      <c r="HIF102" s="395"/>
      <c r="HIG102" s="395"/>
      <c r="HIH102" s="395"/>
      <c r="HII102" s="395"/>
      <c r="HIJ102" s="395"/>
      <c r="HIK102" s="395"/>
      <c r="HIL102" s="395"/>
      <c r="HIM102" s="395"/>
      <c r="HIN102" s="395"/>
      <c r="HIO102" s="395"/>
      <c r="HIP102" s="395"/>
      <c r="HIQ102" s="395"/>
      <c r="HIR102" s="395"/>
      <c r="HIS102" s="395"/>
      <c r="HIT102" s="395"/>
      <c r="HIU102" s="395"/>
      <c r="HIV102" s="395"/>
      <c r="HIW102" s="395"/>
      <c r="HIX102" s="395"/>
      <c r="HIY102" s="395"/>
      <c r="HIZ102" s="395"/>
      <c r="HJA102" s="395"/>
      <c r="HJB102" s="396"/>
      <c r="HJC102" s="394"/>
      <c r="HJD102" s="395"/>
      <c r="HJE102" s="395"/>
      <c r="HJF102" s="395"/>
      <c r="HJG102" s="395"/>
      <c r="HJH102" s="395"/>
      <c r="HJI102" s="395"/>
      <c r="HJJ102" s="395"/>
      <c r="HJK102" s="395"/>
      <c r="HJL102" s="395"/>
      <c r="HJM102" s="395"/>
      <c r="HJN102" s="395"/>
      <c r="HJO102" s="395"/>
      <c r="HJP102" s="395"/>
      <c r="HJQ102" s="395"/>
      <c r="HJR102" s="395"/>
      <c r="HJS102" s="395"/>
      <c r="HJT102" s="395"/>
      <c r="HJU102" s="395"/>
      <c r="HJV102" s="395"/>
      <c r="HJW102" s="395"/>
      <c r="HJX102" s="395"/>
      <c r="HJY102" s="395"/>
      <c r="HJZ102" s="395"/>
      <c r="HKA102" s="395"/>
      <c r="HKB102" s="395"/>
      <c r="HKC102" s="396"/>
      <c r="HKD102" s="394"/>
      <c r="HKE102" s="395"/>
      <c r="HKF102" s="395"/>
      <c r="HKG102" s="395"/>
      <c r="HKH102" s="395"/>
      <c r="HKI102" s="395"/>
      <c r="HKJ102" s="395"/>
      <c r="HKK102" s="395"/>
      <c r="HKL102" s="395"/>
      <c r="HKM102" s="395"/>
      <c r="HKN102" s="395"/>
      <c r="HKO102" s="395"/>
      <c r="HKP102" s="395"/>
      <c r="HKQ102" s="395"/>
      <c r="HKR102" s="395"/>
      <c r="HKS102" s="395"/>
      <c r="HKT102" s="395"/>
      <c r="HKU102" s="395"/>
      <c r="HKV102" s="395"/>
      <c r="HKW102" s="395"/>
      <c r="HKX102" s="395"/>
      <c r="HKY102" s="395"/>
      <c r="HKZ102" s="395"/>
      <c r="HLA102" s="395"/>
      <c r="HLB102" s="395"/>
      <c r="HLC102" s="395"/>
      <c r="HLD102" s="396"/>
      <c r="HLE102" s="394"/>
      <c r="HLF102" s="395"/>
      <c r="HLG102" s="395"/>
      <c r="HLH102" s="395"/>
      <c r="HLI102" s="395"/>
      <c r="HLJ102" s="395"/>
      <c r="HLK102" s="395"/>
      <c r="HLL102" s="395"/>
      <c r="HLM102" s="395"/>
      <c r="HLN102" s="395"/>
      <c r="HLO102" s="395"/>
      <c r="HLP102" s="395"/>
      <c r="HLQ102" s="395"/>
      <c r="HLR102" s="395"/>
      <c r="HLS102" s="395"/>
      <c r="HLT102" s="395"/>
      <c r="HLU102" s="395"/>
      <c r="HLV102" s="395"/>
      <c r="HLW102" s="395"/>
      <c r="HLX102" s="395"/>
      <c r="HLY102" s="395"/>
      <c r="HLZ102" s="395"/>
      <c r="HMA102" s="395"/>
      <c r="HMB102" s="395"/>
      <c r="HMC102" s="395"/>
      <c r="HMD102" s="395"/>
      <c r="HME102" s="396"/>
      <c r="HMF102" s="394"/>
      <c r="HMG102" s="395"/>
      <c r="HMH102" s="395"/>
      <c r="HMI102" s="395"/>
      <c r="HMJ102" s="395"/>
      <c r="HMK102" s="395"/>
      <c r="HML102" s="395"/>
      <c r="HMM102" s="395"/>
      <c r="HMN102" s="395"/>
      <c r="HMO102" s="395"/>
      <c r="HMP102" s="395"/>
      <c r="HMQ102" s="395"/>
      <c r="HMR102" s="395"/>
      <c r="HMS102" s="395"/>
      <c r="HMT102" s="395"/>
      <c r="HMU102" s="395"/>
      <c r="HMV102" s="395"/>
      <c r="HMW102" s="395"/>
      <c r="HMX102" s="395"/>
      <c r="HMY102" s="395"/>
      <c r="HMZ102" s="395"/>
      <c r="HNA102" s="395"/>
      <c r="HNB102" s="395"/>
      <c r="HNC102" s="395"/>
      <c r="HND102" s="395"/>
      <c r="HNE102" s="395"/>
      <c r="HNF102" s="396"/>
      <c r="HNG102" s="394"/>
      <c r="HNH102" s="395"/>
      <c r="HNI102" s="395"/>
      <c r="HNJ102" s="395"/>
      <c r="HNK102" s="395"/>
      <c r="HNL102" s="395"/>
      <c r="HNM102" s="395"/>
      <c r="HNN102" s="395"/>
      <c r="HNO102" s="395"/>
      <c r="HNP102" s="395"/>
      <c r="HNQ102" s="395"/>
      <c r="HNR102" s="395"/>
      <c r="HNS102" s="395"/>
      <c r="HNT102" s="395"/>
      <c r="HNU102" s="395"/>
      <c r="HNV102" s="395"/>
      <c r="HNW102" s="395"/>
      <c r="HNX102" s="395"/>
      <c r="HNY102" s="395"/>
      <c r="HNZ102" s="395"/>
      <c r="HOA102" s="395"/>
      <c r="HOB102" s="395"/>
      <c r="HOC102" s="395"/>
      <c r="HOD102" s="395"/>
      <c r="HOE102" s="395"/>
      <c r="HOF102" s="395"/>
      <c r="HOG102" s="396"/>
      <c r="HOH102" s="394"/>
      <c r="HOI102" s="395"/>
      <c r="HOJ102" s="395"/>
      <c r="HOK102" s="395"/>
      <c r="HOL102" s="395"/>
      <c r="HOM102" s="395"/>
      <c r="HON102" s="395"/>
      <c r="HOO102" s="395"/>
      <c r="HOP102" s="395"/>
      <c r="HOQ102" s="395"/>
      <c r="HOR102" s="395"/>
      <c r="HOS102" s="395"/>
      <c r="HOT102" s="395"/>
      <c r="HOU102" s="395"/>
      <c r="HOV102" s="395"/>
      <c r="HOW102" s="395"/>
      <c r="HOX102" s="395"/>
      <c r="HOY102" s="395"/>
      <c r="HOZ102" s="395"/>
      <c r="HPA102" s="395"/>
      <c r="HPB102" s="395"/>
      <c r="HPC102" s="395"/>
      <c r="HPD102" s="395"/>
      <c r="HPE102" s="395"/>
      <c r="HPF102" s="395"/>
      <c r="HPG102" s="395"/>
      <c r="HPH102" s="396"/>
      <c r="HPI102" s="394"/>
      <c r="HPJ102" s="395"/>
      <c r="HPK102" s="395"/>
      <c r="HPL102" s="395"/>
      <c r="HPM102" s="395"/>
      <c r="HPN102" s="395"/>
      <c r="HPO102" s="395"/>
      <c r="HPP102" s="395"/>
      <c r="HPQ102" s="395"/>
      <c r="HPR102" s="395"/>
      <c r="HPS102" s="395"/>
      <c r="HPT102" s="395"/>
      <c r="HPU102" s="395"/>
      <c r="HPV102" s="395"/>
      <c r="HPW102" s="395"/>
      <c r="HPX102" s="395"/>
      <c r="HPY102" s="395"/>
      <c r="HPZ102" s="395"/>
      <c r="HQA102" s="395"/>
      <c r="HQB102" s="395"/>
      <c r="HQC102" s="395"/>
      <c r="HQD102" s="395"/>
      <c r="HQE102" s="395"/>
      <c r="HQF102" s="395"/>
      <c r="HQG102" s="395"/>
      <c r="HQH102" s="395"/>
      <c r="HQI102" s="396"/>
      <c r="HQJ102" s="394"/>
      <c r="HQK102" s="395"/>
      <c r="HQL102" s="395"/>
      <c r="HQM102" s="395"/>
      <c r="HQN102" s="395"/>
      <c r="HQO102" s="395"/>
      <c r="HQP102" s="395"/>
      <c r="HQQ102" s="395"/>
      <c r="HQR102" s="395"/>
      <c r="HQS102" s="395"/>
      <c r="HQT102" s="395"/>
      <c r="HQU102" s="395"/>
      <c r="HQV102" s="395"/>
      <c r="HQW102" s="395"/>
      <c r="HQX102" s="395"/>
      <c r="HQY102" s="395"/>
      <c r="HQZ102" s="395"/>
      <c r="HRA102" s="395"/>
      <c r="HRB102" s="395"/>
      <c r="HRC102" s="395"/>
      <c r="HRD102" s="395"/>
      <c r="HRE102" s="395"/>
      <c r="HRF102" s="395"/>
      <c r="HRG102" s="395"/>
      <c r="HRH102" s="395"/>
      <c r="HRI102" s="395"/>
      <c r="HRJ102" s="396"/>
      <c r="HRK102" s="394"/>
      <c r="HRL102" s="395"/>
      <c r="HRM102" s="395"/>
      <c r="HRN102" s="395"/>
      <c r="HRO102" s="395"/>
      <c r="HRP102" s="395"/>
      <c r="HRQ102" s="395"/>
      <c r="HRR102" s="395"/>
      <c r="HRS102" s="395"/>
      <c r="HRT102" s="395"/>
      <c r="HRU102" s="395"/>
      <c r="HRV102" s="395"/>
      <c r="HRW102" s="395"/>
      <c r="HRX102" s="395"/>
      <c r="HRY102" s="395"/>
      <c r="HRZ102" s="395"/>
      <c r="HSA102" s="395"/>
      <c r="HSB102" s="395"/>
      <c r="HSC102" s="395"/>
      <c r="HSD102" s="395"/>
      <c r="HSE102" s="395"/>
      <c r="HSF102" s="395"/>
      <c r="HSG102" s="395"/>
      <c r="HSH102" s="395"/>
      <c r="HSI102" s="395"/>
      <c r="HSJ102" s="395"/>
      <c r="HSK102" s="396"/>
      <c r="HSL102" s="394"/>
      <c r="HSM102" s="395"/>
      <c r="HSN102" s="395"/>
      <c r="HSO102" s="395"/>
      <c r="HSP102" s="395"/>
      <c r="HSQ102" s="395"/>
      <c r="HSR102" s="395"/>
      <c r="HSS102" s="395"/>
      <c r="HST102" s="395"/>
      <c r="HSU102" s="395"/>
      <c r="HSV102" s="395"/>
      <c r="HSW102" s="395"/>
      <c r="HSX102" s="395"/>
      <c r="HSY102" s="395"/>
      <c r="HSZ102" s="395"/>
      <c r="HTA102" s="395"/>
      <c r="HTB102" s="395"/>
      <c r="HTC102" s="395"/>
      <c r="HTD102" s="395"/>
      <c r="HTE102" s="395"/>
      <c r="HTF102" s="395"/>
      <c r="HTG102" s="395"/>
      <c r="HTH102" s="395"/>
      <c r="HTI102" s="395"/>
      <c r="HTJ102" s="395"/>
      <c r="HTK102" s="395"/>
      <c r="HTL102" s="396"/>
      <c r="HTM102" s="394"/>
      <c r="HTN102" s="395"/>
      <c r="HTO102" s="395"/>
      <c r="HTP102" s="395"/>
      <c r="HTQ102" s="395"/>
      <c r="HTR102" s="395"/>
      <c r="HTS102" s="395"/>
      <c r="HTT102" s="395"/>
      <c r="HTU102" s="395"/>
      <c r="HTV102" s="395"/>
      <c r="HTW102" s="395"/>
      <c r="HTX102" s="395"/>
      <c r="HTY102" s="395"/>
      <c r="HTZ102" s="395"/>
      <c r="HUA102" s="395"/>
      <c r="HUB102" s="395"/>
      <c r="HUC102" s="395"/>
      <c r="HUD102" s="395"/>
      <c r="HUE102" s="395"/>
      <c r="HUF102" s="395"/>
      <c r="HUG102" s="395"/>
      <c r="HUH102" s="395"/>
      <c r="HUI102" s="395"/>
      <c r="HUJ102" s="395"/>
      <c r="HUK102" s="395"/>
      <c r="HUL102" s="395"/>
      <c r="HUM102" s="396"/>
      <c r="HUN102" s="394"/>
      <c r="HUO102" s="395"/>
      <c r="HUP102" s="395"/>
      <c r="HUQ102" s="395"/>
      <c r="HUR102" s="395"/>
      <c r="HUS102" s="395"/>
      <c r="HUT102" s="395"/>
      <c r="HUU102" s="395"/>
      <c r="HUV102" s="395"/>
      <c r="HUW102" s="395"/>
      <c r="HUX102" s="395"/>
      <c r="HUY102" s="395"/>
      <c r="HUZ102" s="395"/>
      <c r="HVA102" s="395"/>
      <c r="HVB102" s="395"/>
      <c r="HVC102" s="395"/>
      <c r="HVD102" s="395"/>
      <c r="HVE102" s="395"/>
      <c r="HVF102" s="395"/>
      <c r="HVG102" s="395"/>
      <c r="HVH102" s="395"/>
      <c r="HVI102" s="395"/>
      <c r="HVJ102" s="395"/>
      <c r="HVK102" s="395"/>
      <c r="HVL102" s="395"/>
      <c r="HVM102" s="395"/>
      <c r="HVN102" s="396"/>
      <c r="HVO102" s="394"/>
      <c r="HVP102" s="395"/>
      <c r="HVQ102" s="395"/>
      <c r="HVR102" s="395"/>
      <c r="HVS102" s="395"/>
      <c r="HVT102" s="395"/>
      <c r="HVU102" s="395"/>
      <c r="HVV102" s="395"/>
      <c r="HVW102" s="395"/>
      <c r="HVX102" s="395"/>
      <c r="HVY102" s="395"/>
      <c r="HVZ102" s="395"/>
      <c r="HWA102" s="395"/>
      <c r="HWB102" s="395"/>
      <c r="HWC102" s="395"/>
      <c r="HWD102" s="395"/>
      <c r="HWE102" s="395"/>
      <c r="HWF102" s="395"/>
      <c r="HWG102" s="395"/>
      <c r="HWH102" s="395"/>
      <c r="HWI102" s="395"/>
      <c r="HWJ102" s="395"/>
      <c r="HWK102" s="395"/>
      <c r="HWL102" s="395"/>
      <c r="HWM102" s="395"/>
      <c r="HWN102" s="395"/>
      <c r="HWO102" s="396"/>
      <c r="HWP102" s="394"/>
      <c r="HWQ102" s="395"/>
      <c r="HWR102" s="395"/>
      <c r="HWS102" s="395"/>
      <c r="HWT102" s="395"/>
      <c r="HWU102" s="395"/>
      <c r="HWV102" s="395"/>
      <c r="HWW102" s="395"/>
      <c r="HWX102" s="395"/>
      <c r="HWY102" s="395"/>
      <c r="HWZ102" s="395"/>
      <c r="HXA102" s="395"/>
      <c r="HXB102" s="395"/>
      <c r="HXC102" s="395"/>
      <c r="HXD102" s="395"/>
      <c r="HXE102" s="395"/>
      <c r="HXF102" s="395"/>
      <c r="HXG102" s="395"/>
      <c r="HXH102" s="395"/>
      <c r="HXI102" s="395"/>
      <c r="HXJ102" s="395"/>
      <c r="HXK102" s="395"/>
      <c r="HXL102" s="395"/>
      <c r="HXM102" s="395"/>
      <c r="HXN102" s="395"/>
      <c r="HXO102" s="395"/>
      <c r="HXP102" s="396"/>
      <c r="HXQ102" s="394"/>
      <c r="HXR102" s="395"/>
      <c r="HXS102" s="395"/>
      <c r="HXT102" s="395"/>
      <c r="HXU102" s="395"/>
      <c r="HXV102" s="395"/>
      <c r="HXW102" s="395"/>
      <c r="HXX102" s="395"/>
      <c r="HXY102" s="395"/>
      <c r="HXZ102" s="395"/>
      <c r="HYA102" s="395"/>
      <c r="HYB102" s="395"/>
      <c r="HYC102" s="395"/>
      <c r="HYD102" s="395"/>
      <c r="HYE102" s="395"/>
      <c r="HYF102" s="395"/>
      <c r="HYG102" s="395"/>
      <c r="HYH102" s="395"/>
      <c r="HYI102" s="395"/>
      <c r="HYJ102" s="395"/>
      <c r="HYK102" s="395"/>
      <c r="HYL102" s="395"/>
      <c r="HYM102" s="395"/>
      <c r="HYN102" s="395"/>
      <c r="HYO102" s="395"/>
      <c r="HYP102" s="395"/>
      <c r="HYQ102" s="396"/>
      <c r="HYR102" s="394"/>
      <c r="HYS102" s="395"/>
      <c r="HYT102" s="395"/>
      <c r="HYU102" s="395"/>
      <c r="HYV102" s="395"/>
      <c r="HYW102" s="395"/>
      <c r="HYX102" s="395"/>
      <c r="HYY102" s="395"/>
      <c r="HYZ102" s="395"/>
      <c r="HZA102" s="395"/>
      <c r="HZB102" s="395"/>
      <c r="HZC102" s="395"/>
      <c r="HZD102" s="395"/>
      <c r="HZE102" s="395"/>
      <c r="HZF102" s="395"/>
      <c r="HZG102" s="395"/>
      <c r="HZH102" s="395"/>
      <c r="HZI102" s="395"/>
      <c r="HZJ102" s="395"/>
      <c r="HZK102" s="395"/>
      <c r="HZL102" s="395"/>
      <c r="HZM102" s="395"/>
      <c r="HZN102" s="395"/>
      <c r="HZO102" s="395"/>
      <c r="HZP102" s="395"/>
      <c r="HZQ102" s="395"/>
      <c r="HZR102" s="396"/>
      <c r="HZS102" s="394"/>
      <c r="HZT102" s="395"/>
      <c r="HZU102" s="395"/>
      <c r="HZV102" s="395"/>
      <c r="HZW102" s="395"/>
      <c r="HZX102" s="395"/>
      <c r="HZY102" s="395"/>
      <c r="HZZ102" s="395"/>
      <c r="IAA102" s="395"/>
      <c r="IAB102" s="395"/>
      <c r="IAC102" s="395"/>
      <c r="IAD102" s="395"/>
      <c r="IAE102" s="395"/>
      <c r="IAF102" s="395"/>
      <c r="IAG102" s="395"/>
      <c r="IAH102" s="395"/>
      <c r="IAI102" s="395"/>
      <c r="IAJ102" s="395"/>
      <c r="IAK102" s="395"/>
      <c r="IAL102" s="395"/>
      <c r="IAM102" s="395"/>
      <c r="IAN102" s="395"/>
      <c r="IAO102" s="395"/>
      <c r="IAP102" s="395"/>
      <c r="IAQ102" s="395"/>
      <c r="IAR102" s="395"/>
      <c r="IAS102" s="396"/>
      <c r="IAT102" s="394"/>
      <c r="IAU102" s="395"/>
      <c r="IAV102" s="395"/>
      <c r="IAW102" s="395"/>
      <c r="IAX102" s="395"/>
      <c r="IAY102" s="395"/>
      <c r="IAZ102" s="395"/>
      <c r="IBA102" s="395"/>
      <c r="IBB102" s="395"/>
      <c r="IBC102" s="395"/>
      <c r="IBD102" s="395"/>
      <c r="IBE102" s="395"/>
      <c r="IBF102" s="395"/>
      <c r="IBG102" s="395"/>
      <c r="IBH102" s="395"/>
      <c r="IBI102" s="395"/>
      <c r="IBJ102" s="395"/>
      <c r="IBK102" s="395"/>
      <c r="IBL102" s="395"/>
      <c r="IBM102" s="395"/>
      <c r="IBN102" s="395"/>
      <c r="IBO102" s="395"/>
      <c r="IBP102" s="395"/>
      <c r="IBQ102" s="395"/>
      <c r="IBR102" s="395"/>
      <c r="IBS102" s="395"/>
      <c r="IBT102" s="396"/>
      <c r="IBU102" s="394"/>
      <c r="IBV102" s="395"/>
      <c r="IBW102" s="395"/>
      <c r="IBX102" s="395"/>
      <c r="IBY102" s="395"/>
      <c r="IBZ102" s="395"/>
      <c r="ICA102" s="395"/>
      <c r="ICB102" s="395"/>
      <c r="ICC102" s="395"/>
      <c r="ICD102" s="395"/>
      <c r="ICE102" s="395"/>
      <c r="ICF102" s="395"/>
      <c r="ICG102" s="395"/>
      <c r="ICH102" s="395"/>
      <c r="ICI102" s="395"/>
      <c r="ICJ102" s="395"/>
      <c r="ICK102" s="395"/>
      <c r="ICL102" s="395"/>
      <c r="ICM102" s="395"/>
      <c r="ICN102" s="395"/>
      <c r="ICO102" s="395"/>
      <c r="ICP102" s="395"/>
      <c r="ICQ102" s="395"/>
      <c r="ICR102" s="395"/>
      <c r="ICS102" s="395"/>
      <c r="ICT102" s="395"/>
      <c r="ICU102" s="396"/>
      <c r="ICV102" s="394"/>
      <c r="ICW102" s="395"/>
      <c r="ICX102" s="395"/>
      <c r="ICY102" s="395"/>
      <c r="ICZ102" s="395"/>
      <c r="IDA102" s="395"/>
      <c r="IDB102" s="395"/>
      <c r="IDC102" s="395"/>
      <c r="IDD102" s="395"/>
      <c r="IDE102" s="395"/>
      <c r="IDF102" s="395"/>
      <c r="IDG102" s="395"/>
      <c r="IDH102" s="395"/>
      <c r="IDI102" s="395"/>
      <c r="IDJ102" s="395"/>
      <c r="IDK102" s="395"/>
      <c r="IDL102" s="395"/>
      <c r="IDM102" s="395"/>
      <c r="IDN102" s="395"/>
      <c r="IDO102" s="395"/>
      <c r="IDP102" s="395"/>
      <c r="IDQ102" s="395"/>
      <c r="IDR102" s="395"/>
      <c r="IDS102" s="395"/>
      <c r="IDT102" s="395"/>
      <c r="IDU102" s="395"/>
      <c r="IDV102" s="396"/>
      <c r="IDW102" s="394"/>
      <c r="IDX102" s="395"/>
      <c r="IDY102" s="395"/>
      <c r="IDZ102" s="395"/>
      <c r="IEA102" s="395"/>
      <c r="IEB102" s="395"/>
      <c r="IEC102" s="395"/>
      <c r="IED102" s="395"/>
      <c r="IEE102" s="395"/>
      <c r="IEF102" s="395"/>
      <c r="IEG102" s="395"/>
      <c r="IEH102" s="395"/>
      <c r="IEI102" s="395"/>
      <c r="IEJ102" s="395"/>
      <c r="IEK102" s="395"/>
      <c r="IEL102" s="395"/>
      <c r="IEM102" s="395"/>
      <c r="IEN102" s="395"/>
      <c r="IEO102" s="395"/>
      <c r="IEP102" s="395"/>
      <c r="IEQ102" s="395"/>
      <c r="IER102" s="395"/>
      <c r="IES102" s="395"/>
      <c r="IET102" s="395"/>
      <c r="IEU102" s="395"/>
      <c r="IEV102" s="395"/>
      <c r="IEW102" s="396"/>
      <c r="IEX102" s="394"/>
      <c r="IEY102" s="395"/>
      <c r="IEZ102" s="395"/>
      <c r="IFA102" s="395"/>
      <c r="IFB102" s="395"/>
      <c r="IFC102" s="395"/>
      <c r="IFD102" s="395"/>
      <c r="IFE102" s="395"/>
      <c r="IFF102" s="395"/>
      <c r="IFG102" s="395"/>
      <c r="IFH102" s="395"/>
      <c r="IFI102" s="395"/>
      <c r="IFJ102" s="395"/>
      <c r="IFK102" s="395"/>
      <c r="IFL102" s="395"/>
      <c r="IFM102" s="395"/>
      <c r="IFN102" s="395"/>
      <c r="IFO102" s="395"/>
      <c r="IFP102" s="395"/>
      <c r="IFQ102" s="395"/>
      <c r="IFR102" s="395"/>
      <c r="IFS102" s="395"/>
      <c r="IFT102" s="395"/>
      <c r="IFU102" s="395"/>
      <c r="IFV102" s="395"/>
      <c r="IFW102" s="395"/>
      <c r="IFX102" s="396"/>
      <c r="IFY102" s="394"/>
      <c r="IFZ102" s="395"/>
      <c r="IGA102" s="395"/>
      <c r="IGB102" s="395"/>
      <c r="IGC102" s="395"/>
      <c r="IGD102" s="395"/>
      <c r="IGE102" s="395"/>
      <c r="IGF102" s="395"/>
      <c r="IGG102" s="395"/>
      <c r="IGH102" s="395"/>
      <c r="IGI102" s="395"/>
      <c r="IGJ102" s="395"/>
      <c r="IGK102" s="395"/>
      <c r="IGL102" s="395"/>
      <c r="IGM102" s="395"/>
      <c r="IGN102" s="395"/>
      <c r="IGO102" s="395"/>
      <c r="IGP102" s="395"/>
      <c r="IGQ102" s="395"/>
      <c r="IGR102" s="395"/>
      <c r="IGS102" s="395"/>
      <c r="IGT102" s="395"/>
      <c r="IGU102" s="395"/>
      <c r="IGV102" s="395"/>
      <c r="IGW102" s="395"/>
      <c r="IGX102" s="395"/>
      <c r="IGY102" s="396"/>
      <c r="IGZ102" s="394"/>
      <c r="IHA102" s="395"/>
      <c r="IHB102" s="395"/>
      <c r="IHC102" s="395"/>
      <c r="IHD102" s="395"/>
      <c r="IHE102" s="395"/>
      <c r="IHF102" s="395"/>
      <c r="IHG102" s="395"/>
      <c r="IHH102" s="395"/>
      <c r="IHI102" s="395"/>
      <c r="IHJ102" s="395"/>
      <c r="IHK102" s="395"/>
      <c r="IHL102" s="395"/>
      <c r="IHM102" s="395"/>
      <c r="IHN102" s="395"/>
      <c r="IHO102" s="395"/>
      <c r="IHP102" s="395"/>
      <c r="IHQ102" s="395"/>
      <c r="IHR102" s="395"/>
      <c r="IHS102" s="395"/>
      <c r="IHT102" s="395"/>
      <c r="IHU102" s="395"/>
      <c r="IHV102" s="395"/>
      <c r="IHW102" s="395"/>
      <c r="IHX102" s="395"/>
      <c r="IHY102" s="395"/>
      <c r="IHZ102" s="396"/>
      <c r="IIA102" s="394"/>
      <c r="IIB102" s="395"/>
      <c r="IIC102" s="395"/>
      <c r="IID102" s="395"/>
      <c r="IIE102" s="395"/>
      <c r="IIF102" s="395"/>
      <c r="IIG102" s="395"/>
      <c r="IIH102" s="395"/>
      <c r="III102" s="395"/>
      <c r="IIJ102" s="395"/>
      <c r="IIK102" s="395"/>
      <c r="IIL102" s="395"/>
      <c r="IIM102" s="395"/>
      <c r="IIN102" s="395"/>
      <c r="IIO102" s="395"/>
      <c r="IIP102" s="395"/>
      <c r="IIQ102" s="395"/>
      <c r="IIR102" s="395"/>
      <c r="IIS102" s="395"/>
      <c r="IIT102" s="395"/>
      <c r="IIU102" s="395"/>
      <c r="IIV102" s="395"/>
      <c r="IIW102" s="395"/>
      <c r="IIX102" s="395"/>
      <c r="IIY102" s="395"/>
      <c r="IIZ102" s="395"/>
      <c r="IJA102" s="396"/>
      <c r="IJB102" s="394"/>
      <c r="IJC102" s="395"/>
      <c r="IJD102" s="395"/>
      <c r="IJE102" s="395"/>
      <c r="IJF102" s="395"/>
      <c r="IJG102" s="395"/>
      <c r="IJH102" s="395"/>
      <c r="IJI102" s="395"/>
      <c r="IJJ102" s="395"/>
      <c r="IJK102" s="395"/>
      <c r="IJL102" s="395"/>
      <c r="IJM102" s="395"/>
      <c r="IJN102" s="395"/>
      <c r="IJO102" s="395"/>
      <c r="IJP102" s="395"/>
      <c r="IJQ102" s="395"/>
      <c r="IJR102" s="395"/>
      <c r="IJS102" s="395"/>
      <c r="IJT102" s="395"/>
      <c r="IJU102" s="395"/>
      <c r="IJV102" s="395"/>
      <c r="IJW102" s="395"/>
      <c r="IJX102" s="395"/>
      <c r="IJY102" s="395"/>
      <c r="IJZ102" s="395"/>
      <c r="IKA102" s="395"/>
      <c r="IKB102" s="396"/>
      <c r="IKC102" s="394"/>
      <c r="IKD102" s="395"/>
      <c r="IKE102" s="395"/>
      <c r="IKF102" s="395"/>
      <c r="IKG102" s="395"/>
      <c r="IKH102" s="395"/>
      <c r="IKI102" s="395"/>
      <c r="IKJ102" s="395"/>
      <c r="IKK102" s="395"/>
      <c r="IKL102" s="395"/>
      <c r="IKM102" s="395"/>
      <c r="IKN102" s="395"/>
      <c r="IKO102" s="395"/>
      <c r="IKP102" s="395"/>
      <c r="IKQ102" s="395"/>
      <c r="IKR102" s="395"/>
      <c r="IKS102" s="395"/>
      <c r="IKT102" s="395"/>
      <c r="IKU102" s="395"/>
      <c r="IKV102" s="395"/>
      <c r="IKW102" s="395"/>
      <c r="IKX102" s="395"/>
      <c r="IKY102" s="395"/>
      <c r="IKZ102" s="395"/>
      <c r="ILA102" s="395"/>
      <c r="ILB102" s="395"/>
      <c r="ILC102" s="396"/>
      <c r="ILD102" s="394"/>
      <c r="ILE102" s="395"/>
      <c r="ILF102" s="395"/>
      <c r="ILG102" s="395"/>
      <c r="ILH102" s="395"/>
      <c r="ILI102" s="395"/>
      <c r="ILJ102" s="395"/>
      <c r="ILK102" s="395"/>
      <c r="ILL102" s="395"/>
      <c r="ILM102" s="395"/>
      <c r="ILN102" s="395"/>
      <c r="ILO102" s="395"/>
      <c r="ILP102" s="395"/>
      <c r="ILQ102" s="395"/>
      <c r="ILR102" s="395"/>
      <c r="ILS102" s="395"/>
      <c r="ILT102" s="395"/>
      <c r="ILU102" s="395"/>
      <c r="ILV102" s="395"/>
      <c r="ILW102" s="395"/>
      <c r="ILX102" s="395"/>
      <c r="ILY102" s="395"/>
      <c r="ILZ102" s="395"/>
      <c r="IMA102" s="395"/>
      <c r="IMB102" s="395"/>
      <c r="IMC102" s="395"/>
      <c r="IMD102" s="396"/>
      <c r="IME102" s="394"/>
      <c r="IMF102" s="395"/>
      <c r="IMG102" s="395"/>
      <c r="IMH102" s="395"/>
      <c r="IMI102" s="395"/>
      <c r="IMJ102" s="395"/>
      <c r="IMK102" s="395"/>
      <c r="IML102" s="395"/>
      <c r="IMM102" s="395"/>
      <c r="IMN102" s="395"/>
      <c r="IMO102" s="395"/>
      <c r="IMP102" s="395"/>
      <c r="IMQ102" s="395"/>
      <c r="IMR102" s="395"/>
      <c r="IMS102" s="395"/>
      <c r="IMT102" s="395"/>
      <c r="IMU102" s="395"/>
      <c r="IMV102" s="395"/>
      <c r="IMW102" s="395"/>
      <c r="IMX102" s="395"/>
      <c r="IMY102" s="395"/>
      <c r="IMZ102" s="395"/>
      <c r="INA102" s="395"/>
      <c r="INB102" s="395"/>
      <c r="INC102" s="395"/>
      <c r="IND102" s="395"/>
      <c r="INE102" s="396"/>
      <c r="INF102" s="394"/>
      <c r="ING102" s="395"/>
      <c r="INH102" s="395"/>
      <c r="INI102" s="395"/>
      <c r="INJ102" s="395"/>
      <c r="INK102" s="395"/>
      <c r="INL102" s="395"/>
      <c r="INM102" s="395"/>
      <c r="INN102" s="395"/>
      <c r="INO102" s="395"/>
      <c r="INP102" s="395"/>
      <c r="INQ102" s="395"/>
      <c r="INR102" s="395"/>
      <c r="INS102" s="395"/>
      <c r="INT102" s="395"/>
      <c r="INU102" s="395"/>
      <c r="INV102" s="395"/>
      <c r="INW102" s="395"/>
      <c r="INX102" s="395"/>
      <c r="INY102" s="395"/>
      <c r="INZ102" s="395"/>
      <c r="IOA102" s="395"/>
      <c r="IOB102" s="395"/>
      <c r="IOC102" s="395"/>
      <c r="IOD102" s="395"/>
      <c r="IOE102" s="395"/>
      <c r="IOF102" s="396"/>
      <c r="IOG102" s="394"/>
      <c r="IOH102" s="395"/>
      <c r="IOI102" s="395"/>
      <c r="IOJ102" s="395"/>
      <c r="IOK102" s="395"/>
      <c r="IOL102" s="395"/>
      <c r="IOM102" s="395"/>
      <c r="ION102" s="395"/>
      <c r="IOO102" s="395"/>
      <c r="IOP102" s="395"/>
      <c r="IOQ102" s="395"/>
      <c r="IOR102" s="395"/>
      <c r="IOS102" s="395"/>
      <c r="IOT102" s="395"/>
      <c r="IOU102" s="395"/>
      <c r="IOV102" s="395"/>
      <c r="IOW102" s="395"/>
      <c r="IOX102" s="395"/>
      <c r="IOY102" s="395"/>
      <c r="IOZ102" s="395"/>
      <c r="IPA102" s="395"/>
      <c r="IPB102" s="395"/>
      <c r="IPC102" s="395"/>
      <c r="IPD102" s="395"/>
      <c r="IPE102" s="395"/>
      <c r="IPF102" s="395"/>
      <c r="IPG102" s="396"/>
      <c r="IPH102" s="394"/>
      <c r="IPI102" s="395"/>
      <c r="IPJ102" s="395"/>
      <c r="IPK102" s="395"/>
      <c r="IPL102" s="395"/>
      <c r="IPM102" s="395"/>
      <c r="IPN102" s="395"/>
      <c r="IPO102" s="395"/>
      <c r="IPP102" s="395"/>
      <c r="IPQ102" s="395"/>
      <c r="IPR102" s="395"/>
      <c r="IPS102" s="395"/>
      <c r="IPT102" s="395"/>
      <c r="IPU102" s="395"/>
      <c r="IPV102" s="395"/>
      <c r="IPW102" s="395"/>
      <c r="IPX102" s="395"/>
      <c r="IPY102" s="395"/>
      <c r="IPZ102" s="395"/>
      <c r="IQA102" s="395"/>
      <c r="IQB102" s="395"/>
      <c r="IQC102" s="395"/>
      <c r="IQD102" s="395"/>
      <c r="IQE102" s="395"/>
      <c r="IQF102" s="395"/>
      <c r="IQG102" s="395"/>
      <c r="IQH102" s="396"/>
      <c r="IQI102" s="394"/>
      <c r="IQJ102" s="395"/>
      <c r="IQK102" s="395"/>
      <c r="IQL102" s="395"/>
      <c r="IQM102" s="395"/>
      <c r="IQN102" s="395"/>
      <c r="IQO102" s="395"/>
      <c r="IQP102" s="395"/>
      <c r="IQQ102" s="395"/>
      <c r="IQR102" s="395"/>
      <c r="IQS102" s="395"/>
      <c r="IQT102" s="395"/>
      <c r="IQU102" s="395"/>
      <c r="IQV102" s="395"/>
      <c r="IQW102" s="395"/>
      <c r="IQX102" s="395"/>
      <c r="IQY102" s="395"/>
      <c r="IQZ102" s="395"/>
      <c r="IRA102" s="395"/>
      <c r="IRB102" s="395"/>
      <c r="IRC102" s="395"/>
      <c r="IRD102" s="395"/>
      <c r="IRE102" s="395"/>
      <c r="IRF102" s="395"/>
      <c r="IRG102" s="395"/>
      <c r="IRH102" s="395"/>
      <c r="IRI102" s="396"/>
      <c r="IRJ102" s="394"/>
      <c r="IRK102" s="395"/>
      <c r="IRL102" s="395"/>
      <c r="IRM102" s="395"/>
      <c r="IRN102" s="395"/>
      <c r="IRO102" s="395"/>
      <c r="IRP102" s="395"/>
      <c r="IRQ102" s="395"/>
      <c r="IRR102" s="395"/>
      <c r="IRS102" s="395"/>
      <c r="IRT102" s="395"/>
      <c r="IRU102" s="395"/>
      <c r="IRV102" s="395"/>
      <c r="IRW102" s="395"/>
      <c r="IRX102" s="395"/>
      <c r="IRY102" s="395"/>
      <c r="IRZ102" s="395"/>
      <c r="ISA102" s="395"/>
      <c r="ISB102" s="395"/>
      <c r="ISC102" s="395"/>
      <c r="ISD102" s="395"/>
      <c r="ISE102" s="395"/>
      <c r="ISF102" s="395"/>
      <c r="ISG102" s="395"/>
      <c r="ISH102" s="395"/>
      <c r="ISI102" s="395"/>
      <c r="ISJ102" s="396"/>
      <c r="ISK102" s="394"/>
      <c r="ISL102" s="395"/>
      <c r="ISM102" s="395"/>
      <c r="ISN102" s="395"/>
      <c r="ISO102" s="395"/>
      <c r="ISP102" s="395"/>
      <c r="ISQ102" s="395"/>
      <c r="ISR102" s="395"/>
      <c r="ISS102" s="395"/>
      <c r="IST102" s="395"/>
      <c r="ISU102" s="395"/>
      <c r="ISV102" s="395"/>
      <c r="ISW102" s="395"/>
      <c r="ISX102" s="395"/>
      <c r="ISY102" s="395"/>
      <c r="ISZ102" s="395"/>
      <c r="ITA102" s="395"/>
      <c r="ITB102" s="395"/>
      <c r="ITC102" s="395"/>
      <c r="ITD102" s="395"/>
      <c r="ITE102" s="395"/>
      <c r="ITF102" s="395"/>
      <c r="ITG102" s="395"/>
      <c r="ITH102" s="395"/>
      <c r="ITI102" s="395"/>
      <c r="ITJ102" s="395"/>
      <c r="ITK102" s="396"/>
      <c r="ITL102" s="394"/>
      <c r="ITM102" s="395"/>
      <c r="ITN102" s="395"/>
      <c r="ITO102" s="395"/>
      <c r="ITP102" s="395"/>
      <c r="ITQ102" s="395"/>
      <c r="ITR102" s="395"/>
      <c r="ITS102" s="395"/>
      <c r="ITT102" s="395"/>
      <c r="ITU102" s="395"/>
      <c r="ITV102" s="395"/>
      <c r="ITW102" s="395"/>
      <c r="ITX102" s="395"/>
      <c r="ITY102" s="395"/>
      <c r="ITZ102" s="395"/>
      <c r="IUA102" s="395"/>
      <c r="IUB102" s="395"/>
      <c r="IUC102" s="395"/>
      <c r="IUD102" s="395"/>
      <c r="IUE102" s="395"/>
      <c r="IUF102" s="395"/>
      <c r="IUG102" s="395"/>
      <c r="IUH102" s="395"/>
      <c r="IUI102" s="395"/>
      <c r="IUJ102" s="395"/>
      <c r="IUK102" s="395"/>
      <c r="IUL102" s="396"/>
      <c r="IUM102" s="394"/>
      <c r="IUN102" s="395"/>
      <c r="IUO102" s="395"/>
      <c r="IUP102" s="395"/>
      <c r="IUQ102" s="395"/>
      <c r="IUR102" s="395"/>
      <c r="IUS102" s="395"/>
      <c r="IUT102" s="395"/>
      <c r="IUU102" s="395"/>
      <c r="IUV102" s="395"/>
      <c r="IUW102" s="395"/>
      <c r="IUX102" s="395"/>
      <c r="IUY102" s="395"/>
      <c r="IUZ102" s="395"/>
      <c r="IVA102" s="395"/>
      <c r="IVB102" s="395"/>
      <c r="IVC102" s="395"/>
      <c r="IVD102" s="395"/>
      <c r="IVE102" s="395"/>
      <c r="IVF102" s="395"/>
      <c r="IVG102" s="395"/>
      <c r="IVH102" s="395"/>
      <c r="IVI102" s="395"/>
      <c r="IVJ102" s="395"/>
      <c r="IVK102" s="395"/>
      <c r="IVL102" s="395"/>
      <c r="IVM102" s="396"/>
      <c r="IVN102" s="394"/>
      <c r="IVO102" s="395"/>
      <c r="IVP102" s="395"/>
      <c r="IVQ102" s="395"/>
      <c r="IVR102" s="395"/>
      <c r="IVS102" s="395"/>
      <c r="IVT102" s="395"/>
      <c r="IVU102" s="395"/>
      <c r="IVV102" s="395"/>
      <c r="IVW102" s="395"/>
      <c r="IVX102" s="395"/>
      <c r="IVY102" s="395"/>
      <c r="IVZ102" s="395"/>
      <c r="IWA102" s="395"/>
      <c r="IWB102" s="395"/>
      <c r="IWC102" s="395"/>
      <c r="IWD102" s="395"/>
      <c r="IWE102" s="395"/>
      <c r="IWF102" s="395"/>
      <c r="IWG102" s="395"/>
      <c r="IWH102" s="395"/>
      <c r="IWI102" s="395"/>
      <c r="IWJ102" s="395"/>
      <c r="IWK102" s="395"/>
      <c r="IWL102" s="395"/>
      <c r="IWM102" s="395"/>
      <c r="IWN102" s="396"/>
      <c r="IWO102" s="394"/>
      <c r="IWP102" s="395"/>
      <c r="IWQ102" s="395"/>
      <c r="IWR102" s="395"/>
      <c r="IWS102" s="395"/>
      <c r="IWT102" s="395"/>
      <c r="IWU102" s="395"/>
      <c r="IWV102" s="395"/>
      <c r="IWW102" s="395"/>
      <c r="IWX102" s="395"/>
      <c r="IWY102" s="395"/>
      <c r="IWZ102" s="395"/>
      <c r="IXA102" s="395"/>
      <c r="IXB102" s="395"/>
      <c r="IXC102" s="395"/>
      <c r="IXD102" s="395"/>
      <c r="IXE102" s="395"/>
      <c r="IXF102" s="395"/>
      <c r="IXG102" s="395"/>
      <c r="IXH102" s="395"/>
      <c r="IXI102" s="395"/>
      <c r="IXJ102" s="395"/>
      <c r="IXK102" s="395"/>
      <c r="IXL102" s="395"/>
      <c r="IXM102" s="395"/>
      <c r="IXN102" s="395"/>
      <c r="IXO102" s="396"/>
      <c r="IXP102" s="394"/>
      <c r="IXQ102" s="395"/>
      <c r="IXR102" s="395"/>
      <c r="IXS102" s="395"/>
      <c r="IXT102" s="395"/>
      <c r="IXU102" s="395"/>
      <c r="IXV102" s="395"/>
      <c r="IXW102" s="395"/>
      <c r="IXX102" s="395"/>
      <c r="IXY102" s="395"/>
      <c r="IXZ102" s="395"/>
      <c r="IYA102" s="395"/>
      <c r="IYB102" s="395"/>
      <c r="IYC102" s="395"/>
      <c r="IYD102" s="395"/>
      <c r="IYE102" s="395"/>
      <c r="IYF102" s="395"/>
      <c r="IYG102" s="395"/>
      <c r="IYH102" s="395"/>
      <c r="IYI102" s="395"/>
      <c r="IYJ102" s="395"/>
      <c r="IYK102" s="395"/>
      <c r="IYL102" s="395"/>
      <c r="IYM102" s="395"/>
      <c r="IYN102" s="395"/>
      <c r="IYO102" s="395"/>
      <c r="IYP102" s="396"/>
      <c r="IYQ102" s="394"/>
      <c r="IYR102" s="395"/>
      <c r="IYS102" s="395"/>
      <c r="IYT102" s="395"/>
      <c r="IYU102" s="395"/>
      <c r="IYV102" s="395"/>
      <c r="IYW102" s="395"/>
      <c r="IYX102" s="395"/>
      <c r="IYY102" s="395"/>
      <c r="IYZ102" s="395"/>
      <c r="IZA102" s="395"/>
      <c r="IZB102" s="395"/>
      <c r="IZC102" s="395"/>
      <c r="IZD102" s="395"/>
      <c r="IZE102" s="395"/>
      <c r="IZF102" s="395"/>
      <c r="IZG102" s="395"/>
      <c r="IZH102" s="395"/>
      <c r="IZI102" s="395"/>
      <c r="IZJ102" s="395"/>
      <c r="IZK102" s="395"/>
      <c r="IZL102" s="395"/>
      <c r="IZM102" s="395"/>
      <c r="IZN102" s="395"/>
      <c r="IZO102" s="395"/>
      <c r="IZP102" s="395"/>
      <c r="IZQ102" s="396"/>
      <c r="IZR102" s="394"/>
      <c r="IZS102" s="395"/>
      <c r="IZT102" s="395"/>
      <c r="IZU102" s="395"/>
      <c r="IZV102" s="395"/>
      <c r="IZW102" s="395"/>
      <c r="IZX102" s="395"/>
      <c r="IZY102" s="395"/>
      <c r="IZZ102" s="395"/>
      <c r="JAA102" s="395"/>
      <c r="JAB102" s="395"/>
      <c r="JAC102" s="395"/>
      <c r="JAD102" s="395"/>
      <c r="JAE102" s="395"/>
      <c r="JAF102" s="395"/>
      <c r="JAG102" s="395"/>
      <c r="JAH102" s="395"/>
      <c r="JAI102" s="395"/>
      <c r="JAJ102" s="395"/>
      <c r="JAK102" s="395"/>
      <c r="JAL102" s="395"/>
      <c r="JAM102" s="395"/>
      <c r="JAN102" s="395"/>
      <c r="JAO102" s="395"/>
      <c r="JAP102" s="395"/>
      <c r="JAQ102" s="395"/>
      <c r="JAR102" s="396"/>
      <c r="JAS102" s="394"/>
      <c r="JAT102" s="395"/>
      <c r="JAU102" s="395"/>
      <c r="JAV102" s="395"/>
      <c r="JAW102" s="395"/>
      <c r="JAX102" s="395"/>
      <c r="JAY102" s="395"/>
      <c r="JAZ102" s="395"/>
      <c r="JBA102" s="395"/>
      <c r="JBB102" s="395"/>
      <c r="JBC102" s="395"/>
      <c r="JBD102" s="395"/>
      <c r="JBE102" s="395"/>
      <c r="JBF102" s="395"/>
      <c r="JBG102" s="395"/>
      <c r="JBH102" s="395"/>
      <c r="JBI102" s="395"/>
      <c r="JBJ102" s="395"/>
      <c r="JBK102" s="395"/>
      <c r="JBL102" s="395"/>
      <c r="JBM102" s="395"/>
      <c r="JBN102" s="395"/>
      <c r="JBO102" s="395"/>
      <c r="JBP102" s="395"/>
      <c r="JBQ102" s="395"/>
      <c r="JBR102" s="395"/>
      <c r="JBS102" s="396"/>
      <c r="JBT102" s="394"/>
      <c r="JBU102" s="395"/>
      <c r="JBV102" s="395"/>
      <c r="JBW102" s="395"/>
      <c r="JBX102" s="395"/>
      <c r="JBY102" s="395"/>
      <c r="JBZ102" s="395"/>
      <c r="JCA102" s="395"/>
      <c r="JCB102" s="395"/>
      <c r="JCC102" s="395"/>
      <c r="JCD102" s="395"/>
      <c r="JCE102" s="395"/>
      <c r="JCF102" s="395"/>
      <c r="JCG102" s="395"/>
      <c r="JCH102" s="395"/>
      <c r="JCI102" s="395"/>
      <c r="JCJ102" s="395"/>
      <c r="JCK102" s="395"/>
      <c r="JCL102" s="395"/>
      <c r="JCM102" s="395"/>
      <c r="JCN102" s="395"/>
      <c r="JCO102" s="395"/>
      <c r="JCP102" s="395"/>
      <c r="JCQ102" s="395"/>
      <c r="JCR102" s="395"/>
      <c r="JCS102" s="395"/>
      <c r="JCT102" s="396"/>
      <c r="JCU102" s="394"/>
      <c r="JCV102" s="395"/>
      <c r="JCW102" s="395"/>
      <c r="JCX102" s="395"/>
      <c r="JCY102" s="395"/>
      <c r="JCZ102" s="395"/>
      <c r="JDA102" s="395"/>
      <c r="JDB102" s="395"/>
      <c r="JDC102" s="395"/>
      <c r="JDD102" s="395"/>
      <c r="JDE102" s="395"/>
      <c r="JDF102" s="395"/>
      <c r="JDG102" s="395"/>
      <c r="JDH102" s="395"/>
      <c r="JDI102" s="395"/>
      <c r="JDJ102" s="395"/>
      <c r="JDK102" s="395"/>
      <c r="JDL102" s="395"/>
      <c r="JDM102" s="395"/>
      <c r="JDN102" s="395"/>
      <c r="JDO102" s="395"/>
      <c r="JDP102" s="395"/>
      <c r="JDQ102" s="395"/>
      <c r="JDR102" s="395"/>
      <c r="JDS102" s="395"/>
      <c r="JDT102" s="395"/>
      <c r="JDU102" s="396"/>
      <c r="JDV102" s="394"/>
      <c r="JDW102" s="395"/>
      <c r="JDX102" s="395"/>
      <c r="JDY102" s="395"/>
      <c r="JDZ102" s="395"/>
      <c r="JEA102" s="395"/>
      <c r="JEB102" s="395"/>
      <c r="JEC102" s="395"/>
      <c r="JED102" s="395"/>
      <c r="JEE102" s="395"/>
      <c r="JEF102" s="395"/>
      <c r="JEG102" s="395"/>
      <c r="JEH102" s="395"/>
      <c r="JEI102" s="395"/>
      <c r="JEJ102" s="395"/>
      <c r="JEK102" s="395"/>
      <c r="JEL102" s="395"/>
      <c r="JEM102" s="395"/>
      <c r="JEN102" s="395"/>
      <c r="JEO102" s="395"/>
      <c r="JEP102" s="395"/>
      <c r="JEQ102" s="395"/>
      <c r="JER102" s="395"/>
      <c r="JES102" s="395"/>
      <c r="JET102" s="395"/>
      <c r="JEU102" s="395"/>
      <c r="JEV102" s="396"/>
      <c r="JEW102" s="394"/>
      <c r="JEX102" s="395"/>
      <c r="JEY102" s="395"/>
      <c r="JEZ102" s="395"/>
      <c r="JFA102" s="395"/>
      <c r="JFB102" s="395"/>
      <c r="JFC102" s="395"/>
      <c r="JFD102" s="395"/>
      <c r="JFE102" s="395"/>
      <c r="JFF102" s="395"/>
      <c r="JFG102" s="395"/>
      <c r="JFH102" s="395"/>
      <c r="JFI102" s="395"/>
      <c r="JFJ102" s="395"/>
      <c r="JFK102" s="395"/>
      <c r="JFL102" s="395"/>
      <c r="JFM102" s="395"/>
      <c r="JFN102" s="395"/>
      <c r="JFO102" s="395"/>
      <c r="JFP102" s="395"/>
      <c r="JFQ102" s="395"/>
      <c r="JFR102" s="395"/>
      <c r="JFS102" s="395"/>
      <c r="JFT102" s="395"/>
      <c r="JFU102" s="395"/>
      <c r="JFV102" s="395"/>
      <c r="JFW102" s="396"/>
      <c r="JFX102" s="394"/>
      <c r="JFY102" s="395"/>
      <c r="JFZ102" s="395"/>
      <c r="JGA102" s="395"/>
      <c r="JGB102" s="395"/>
      <c r="JGC102" s="395"/>
      <c r="JGD102" s="395"/>
      <c r="JGE102" s="395"/>
      <c r="JGF102" s="395"/>
      <c r="JGG102" s="395"/>
      <c r="JGH102" s="395"/>
      <c r="JGI102" s="395"/>
      <c r="JGJ102" s="395"/>
      <c r="JGK102" s="395"/>
      <c r="JGL102" s="395"/>
      <c r="JGM102" s="395"/>
      <c r="JGN102" s="395"/>
      <c r="JGO102" s="395"/>
      <c r="JGP102" s="395"/>
      <c r="JGQ102" s="395"/>
      <c r="JGR102" s="395"/>
      <c r="JGS102" s="395"/>
      <c r="JGT102" s="395"/>
      <c r="JGU102" s="395"/>
      <c r="JGV102" s="395"/>
      <c r="JGW102" s="395"/>
      <c r="JGX102" s="396"/>
      <c r="JGY102" s="394"/>
      <c r="JGZ102" s="395"/>
      <c r="JHA102" s="395"/>
      <c r="JHB102" s="395"/>
      <c r="JHC102" s="395"/>
      <c r="JHD102" s="395"/>
      <c r="JHE102" s="395"/>
      <c r="JHF102" s="395"/>
      <c r="JHG102" s="395"/>
      <c r="JHH102" s="395"/>
      <c r="JHI102" s="395"/>
      <c r="JHJ102" s="395"/>
      <c r="JHK102" s="395"/>
      <c r="JHL102" s="395"/>
      <c r="JHM102" s="395"/>
      <c r="JHN102" s="395"/>
      <c r="JHO102" s="395"/>
      <c r="JHP102" s="395"/>
      <c r="JHQ102" s="395"/>
      <c r="JHR102" s="395"/>
      <c r="JHS102" s="395"/>
      <c r="JHT102" s="395"/>
      <c r="JHU102" s="395"/>
      <c r="JHV102" s="395"/>
      <c r="JHW102" s="395"/>
      <c r="JHX102" s="395"/>
      <c r="JHY102" s="396"/>
      <c r="JHZ102" s="394"/>
      <c r="JIA102" s="395"/>
      <c r="JIB102" s="395"/>
      <c r="JIC102" s="395"/>
      <c r="JID102" s="395"/>
      <c r="JIE102" s="395"/>
      <c r="JIF102" s="395"/>
      <c r="JIG102" s="395"/>
      <c r="JIH102" s="395"/>
      <c r="JII102" s="395"/>
      <c r="JIJ102" s="395"/>
      <c r="JIK102" s="395"/>
      <c r="JIL102" s="395"/>
      <c r="JIM102" s="395"/>
      <c r="JIN102" s="395"/>
      <c r="JIO102" s="395"/>
      <c r="JIP102" s="395"/>
      <c r="JIQ102" s="395"/>
      <c r="JIR102" s="395"/>
      <c r="JIS102" s="395"/>
      <c r="JIT102" s="395"/>
      <c r="JIU102" s="395"/>
      <c r="JIV102" s="395"/>
      <c r="JIW102" s="395"/>
      <c r="JIX102" s="395"/>
      <c r="JIY102" s="395"/>
      <c r="JIZ102" s="396"/>
      <c r="JJA102" s="394"/>
      <c r="JJB102" s="395"/>
      <c r="JJC102" s="395"/>
      <c r="JJD102" s="395"/>
      <c r="JJE102" s="395"/>
      <c r="JJF102" s="395"/>
      <c r="JJG102" s="395"/>
      <c r="JJH102" s="395"/>
      <c r="JJI102" s="395"/>
      <c r="JJJ102" s="395"/>
      <c r="JJK102" s="395"/>
      <c r="JJL102" s="395"/>
      <c r="JJM102" s="395"/>
      <c r="JJN102" s="395"/>
      <c r="JJO102" s="395"/>
      <c r="JJP102" s="395"/>
      <c r="JJQ102" s="395"/>
      <c r="JJR102" s="395"/>
      <c r="JJS102" s="395"/>
      <c r="JJT102" s="395"/>
      <c r="JJU102" s="395"/>
      <c r="JJV102" s="395"/>
      <c r="JJW102" s="395"/>
      <c r="JJX102" s="395"/>
      <c r="JJY102" s="395"/>
      <c r="JJZ102" s="395"/>
      <c r="JKA102" s="396"/>
      <c r="JKB102" s="394"/>
      <c r="JKC102" s="395"/>
      <c r="JKD102" s="395"/>
      <c r="JKE102" s="395"/>
      <c r="JKF102" s="395"/>
      <c r="JKG102" s="395"/>
      <c r="JKH102" s="395"/>
      <c r="JKI102" s="395"/>
      <c r="JKJ102" s="395"/>
      <c r="JKK102" s="395"/>
      <c r="JKL102" s="395"/>
      <c r="JKM102" s="395"/>
      <c r="JKN102" s="395"/>
      <c r="JKO102" s="395"/>
      <c r="JKP102" s="395"/>
      <c r="JKQ102" s="395"/>
      <c r="JKR102" s="395"/>
      <c r="JKS102" s="395"/>
      <c r="JKT102" s="395"/>
      <c r="JKU102" s="395"/>
      <c r="JKV102" s="395"/>
      <c r="JKW102" s="395"/>
      <c r="JKX102" s="395"/>
      <c r="JKY102" s="395"/>
      <c r="JKZ102" s="395"/>
      <c r="JLA102" s="395"/>
      <c r="JLB102" s="396"/>
      <c r="JLC102" s="394"/>
      <c r="JLD102" s="395"/>
      <c r="JLE102" s="395"/>
      <c r="JLF102" s="395"/>
      <c r="JLG102" s="395"/>
      <c r="JLH102" s="395"/>
      <c r="JLI102" s="395"/>
      <c r="JLJ102" s="395"/>
      <c r="JLK102" s="395"/>
      <c r="JLL102" s="395"/>
      <c r="JLM102" s="395"/>
      <c r="JLN102" s="395"/>
      <c r="JLO102" s="395"/>
      <c r="JLP102" s="395"/>
      <c r="JLQ102" s="395"/>
      <c r="JLR102" s="395"/>
      <c r="JLS102" s="395"/>
      <c r="JLT102" s="395"/>
      <c r="JLU102" s="395"/>
      <c r="JLV102" s="395"/>
      <c r="JLW102" s="395"/>
      <c r="JLX102" s="395"/>
      <c r="JLY102" s="395"/>
      <c r="JLZ102" s="395"/>
      <c r="JMA102" s="395"/>
      <c r="JMB102" s="395"/>
      <c r="JMC102" s="396"/>
      <c r="JMD102" s="394"/>
      <c r="JME102" s="395"/>
      <c r="JMF102" s="395"/>
      <c r="JMG102" s="395"/>
      <c r="JMH102" s="395"/>
      <c r="JMI102" s="395"/>
      <c r="JMJ102" s="395"/>
      <c r="JMK102" s="395"/>
      <c r="JML102" s="395"/>
      <c r="JMM102" s="395"/>
      <c r="JMN102" s="395"/>
      <c r="JMO102" s="395"/>
      <c r="JMP102" s="395"/>
      <c r="JMQ102" s="395"/>
      <c r="JMR102" s="395"/>
      <c r="JMS102" s="395"/>
      <c r="JMT102" s="395"/>
      <c r="JMU102" s="395"/>
      <c r="JMV102" s="395"/>
      <c r="JMW102" s="395"/>
      <c r="JMX102" s="395"/>
      <c r="JMY102" s="395"/>
      <c r="JMZ102" s="395"/>
      <c r="JNA102" s="395"/>
      <c r="JNB102" s="395"/>
      <c r="JNC102" s="395"/>
      <c r="JND102" s="396"/>
      <c r="JNE102" s="394"/>
      <c r="JNF102" s="395"/>
      <c r="JNG102" s="395"/>
      <c r="JNH102" s="395"/>
      <c r="JNI102" s="395"/>
      <c r="JNJ102" s="395"/>
      <c r="JNK102" s="395"/>
      <c r="JNL102" s="395"/>
      <c r="JNM102" s="395"/>
      <c r="JNN102" s="395"/>
      <c r="JNO102" s="395"/>
      <c r="JNP102" s="395"/>
      <c r="JNQ102" s="395"/>
      <c r="JNR102" s="395"/>
      <c r="JNS102" s="395"/>
      <c r="JNT102" s="395"/>
      <c r="JNU102" s="395"/>
      <c r="JNV102" s="395"/>
      <c r="JNW102" s="395"/>
      <c r="JNX102" s="395"/>
      <c r="JNY102" s="395"/>
      <c r="JNZ102" s="395"/>
      <c r="JOA102" s="395"/>
      <c r="JOB102" s="395"/>
      <c r="JOC102" s="395"/>
      <c r="JOD102" s="395"/>
      <c r="JOE102" s="396"/>
      <c r="JOF102" s="394"/>
      <c r="JOG102" s="395"/>
      <c r="JOH102" s="395"/>
      <c r="JOI102" s="395"/>
      <c r="JOJ102" s="395"/>
      <c r="JOK102" s="395"/>
      <c r="JOL102" s="395"/>
      <c r="JOM102" s="395"/>
      <c r="JON102" s="395"/>
      <c r="JOO102" s="395"/>
      <c r="JOP102" s="395"/>
      <c r="JOQ102" s="395"/>
      <c r="JOR102" s="395"/>
      <c r="JOS102" s="395"/>
      <c r="JOT102" s="395"/>
      <c r="JOU102" s="395"/>
      <c r="JOV102" s="395"/>
      <c r="JOW102" s="395"/>
      <c r="JOX102" s="395"/>
      <c r="JOY102" s="395"/>
      <c r="JOZ102" s="395"/>
      <c r="JPA102" s="395"/>
      <c r="JPB102" s="395"/>
      <c r="JPC102" s="395"/>
      <c r="JPD102" s="395"/>
      <c r="JPE102" s="395"/>
      <c r="JPF102" s="396"/>
      <c r="JPG102" s="394"/>
      <c r="JPH102" s="395"/>
      <c r="JPI102" s="395"/>
      <c r="JPJ102" s="395"/>
      <c r="JPK102" s="395"/>
      <c r="JPL102" s="395"/>
      <c r="JPM102" s="395"/>
      <c r="JPN102" s="395"/>
      <c r="JPO102" s="395"/>
      <c r="JPP102" s="395"/>
      <c r="JPQ102" s="395"/>
      <c r="JPR102" s="395"/>
      <c r="JPS102" s="395"/>
      <c r="JPT102" s="395"/>
      <c r="JPU102" s="395"/>
      <c r="JPV102" s="395"/>
      <c r="JPW102" s="395"/>
      <c r="JPX102" s="395"/>
      <c r="JPY102" s="395"/>
      <c r="JPZ102" s="395"/>
      <c r="JQA102" s="395"/>
      <c r="JQB102" s="395"/>
      <c r="JQC102" s="395"/>
      <c r="JQD102" s="395"/>
      <c r="JQE102" s="395"/>
      <c r="JQF102" s="395"/>
      <c r="JQG102" s="396"/>
      <c r="JQH102" s="394"/>
      <c r="JQI102" s="395"/>
      <c r="JQJ102" s="395"/>
      <c r="JQK102" s="395"/>
      <c r="JQL102" s="395"/>
      <c r="JQM102" s="395"/>
      <c r="JQN102" s="395"/>
      <c r="JQO102" s="395"/>
      <c r="JQP102" s="395"/>
      <c r="JQQ102" s="395"/>
      <c r="JQR102" s="395"/>
      <c r="JQS102" s="395"/>
      <c r="JQT102" s="395"/>
      <c r="JQU102" s="395"/>
      <c r="JQV102" s="395"/>
      <c r="JQW102" s="395"/>
      <c r="JQX102" s="395"/>
      <c r="JQY102" s="395"/>
      <c r="JQZ102" s="395"/>
      <c r="JRA102" s="395"/>
      <c r="JRB102" s="395"/>
      <c r="JRC102" s="395"/>
      <c r="JRD102" s="395"/>
      <c r="JRE102" s="395"/>
      <c r="JRF102" s="395"/>
      <c r="JRG102" s="395"/>
      <c r="JRH102" s="396"/>
      <c r="JRI102" s="394"/>
      <c r="JRJ102" s="395"/>
      <c r="JRK102" s="395"/>
      <c r="JRL102" s="395"/>
      <c r="JRM102" s="395"/>
      <c r="JRN102" s="395"/>
      <c r="JRO102" s="395"/>
      <c r="JRP102" s="395"/>
      <c r="JRQ102" s="395"/>
      <c r="JRR102" s="395"/>
      <c r="JRS102" s="395"/>
      <c r="JRT102" s="395"/>
      <c r="JRU102" s="395"/>
      <c r="JRV102" s="395"/>
      <c r="JRW102" s="395"/>
      <c r="JRX102" s="395"/>
      <c r="JRY102" s="395"/>
      <c r="JRZ102" s="395"/>
      <c r="JSA102" s="395"/>
      <c r="JSB102" s="395"/>
      <c r="JSC102" s="395"/>
      <c r="JSD102" s="395"/>
      <c r="JSE102" s="395"/>
      <c r="JSF102" s="395"/>
      <c r="JSG102" s="395"/>
      <c r="JSH102" s="395"/>
      <c r="JSI102" s="396"/>
      <c r="JSJ102" s="394"/>
      <c r="JSK102" s="395"/>
      <c r="JSL102" s="395"/>
      <c r="JSM102" s="395"/>
      <c r="JSN102" s="395"/>
      <c r="JSO102" s="395"/>
      <c r="JSP102" s="395"/>
      <c r="JSQ102" s="395"/>
      <c r="JSR102" s="395"/>
      <c r="JSS102" s="395"/>
      <c r="JST102" s="395"/>
      <c r="JSU102" s="395"/>
      <c r="JSV102" s="395"/>
      <c r="JSW102" s="395"/>
      <c r="JSX102" s="395"/>
      <c r="JSY102" s="395"/>
      <c r="JSZ102" s="395"/>
      <c r="JTA102" s="395"/>
      <c r="JTB102" s="395"/>
      <c r="JTC102" s="395"/>
      <c r="JTD102" s="395"/>
      <c r="JTE102" s="395"/>
      <c r="JTF102" s="395"/>
      <c r="JTG102" s="395"/>
      <c r="JTH102" s="395"/>
      <c r="JTI102" s="395"/>
      <c r="JTJ102" s="396"/>
      <c r="JTK102" s="394"/>
      <c r="JTL102" s="395"/>
      <c r="JTM102" s="395"/>
      <c r="JTN102" s="395"/>
      <c r="JTO102" s="395"/>
      <c r="JTP102" s="395"/>
      <c r="JTQ102" s="395"/>
      <c r="JTR102" s="395"/>
      <c r="JTS102" s="395"/>
      <c r="JTT102" s="395"/>
      <c r="JTU102" s="395"/>
      <c r="JTV102" s="395"/>
      <c r="JTW102" s="395"/>
      <c r="JTX102" s="395"/>
      <c r="JTY102" s="395"/>
      <c r="JTZ102" s="395"/>
      <c r="JUA102" s="395"/>
      <c r="JUB102" s="395"/>
      <c r="JUC102" s="395"/>
      <c r="JUD102" s="395"/>
      <c r="JUE102" s="395"/>
      <c r="JUF102" s="395"/>
      <c r="JUG102" s="395"/>
      <c r="JUH102" s="395"/>
      <c r="JUI102" s="395"/>
      <c r="JUJ102" s="395"/>
      <c r="JUK102" s="396"/>
      <c r="JUL102" s="394"/>
      <c r="JUM102" s="395"/>
      <c r="JUN102" s="395"/>
      <c r="JUO102" s="395"/>
      <c r="JUP102" s="395"/>
      <c r="JUQ102" s="395"/>
      <c r="JUR102" s="395"/>
      <c r="JUS102" s="395"/>
      <c r="JUT102" s="395"/>
      <c r="JUU102" s="395"/>
      <c r="JUV102" s="395"/>
      <c r="JUW102" s="395"/>
      <c r="JUX102" s="395"/>
      <c r="JUY102" s="395"/>
      <c r="JUZ102" s="395"/>
      <c r="JVA102" s="395"/>
      <c r="JVB102" s="395"/>
      <c r="JVC102" s="395"/>
      <c r="JVD102" s="395"/>
      <c r="JVE102" s="395"/>
      <c r="JVF102" s="395"/>
      <c r="JVG102" s="395"/>
      <c r="JVH102" s="395"/>
      <c r="JVI102" s="395"/>
      <c r="JVJ102" s="395"/>
      <c r="JVK102" s="395"/>
      <c r="JVL102" s="396"/>
      <c r="JVM102" s="394"/>
      <c r="JVN102" s="395"/>
      <c r="JVO102" s="395"/>
      <c r="JVP102" s="395"/>
      <c r="JVQ102" s="395"/>
      <c r="JVR102" s="395"/>
      <c r="JVS102" s="395"/>
      <c r="JVT102" s="395"/>
      <c r="JVU102" s="395"/>
      <c r="JVV102" s="395"/>
      <c r="JVW102" s="395"/>
      <c r="JVX102" s="395"/>
      <c r="JVY102" s="395"/>
      <c r="JVZ102" s="395"/>
      <c r="JWA102" s="395"/>
      <c r="JWB102" s="395"/>
      <c r="JWC102" s="395"/>
      <c r="JWD102" s="395"/>
      <c r="JWE102" s="395"/>
      <c r="JWF102" s="395"/>
      <c r="JWG102" s="395"/>
      <c r="JWH102" s="395"/>
      <c r="JWI102" s="395"/>
      <c r="JWJ102" s="395"/>
      <c r="JWK102" s="395"/>
      <c r="JWL102" s="395"/>
      <c r="JWM102" s="396"/>
      <c r="JWN102" s="394"/>
      <c r="JWO102" s="395"/>
      <c r="JWP102" s="395"/>
      <c r="JWQ102" s="395"/>
      <c r="JWR102" s="395"/>
      <c r="JWS102" s="395"/>
      <c r="JWT102" s="395"/>
      <c r="JWU102" s="395"/>
      <c r="JWV102" s="395"/>
      <c r="JWW102" s="395"/>
      <c r="JWX102" s="395"/>
      <c r="JWY102" s="395"/>
      <c r="JWZ102" s="395"/>
      <c r="JXA102" s="395"/>
      <c r="JXB102" s="395"/>
      <c r="JXC102" s="395"/>
      <c r="JXD102" s="395"/>
      <c r="JXE102" s="395"/>
      <c r="JXF102" s="395"/>
      <c r="JXG102" s="395"/>
      <c r="JXH102" s="395"/>
      <c r="JXI102" s="395"/>
      <c r="JXJ102" s="395"/>
      <c r="JXK102" s="395"/>
      <c r="JXL102" s="395"/>
      <c r="JXM102" s="395"/>
      <c r="JXN102" s="396"/>
      <c r="JXO102" s="394"/>
      <c r="JXP102" s="395"/>
      <c r="JXQ102" s="395"/>
      <c r="JXR102" s="395"/>
      <c r="JXS102" s="395"/>
      <c r="JXT102" s="395"/>
      <c r="JXU102" s="395"/>
      <c r="JXV102" s="395"/>
      <c r="JXW102" s="395"/>
      <c r="JXX102" s="395"/>
      <c r="JXY102" s="395"/>
      <c r="JXZ102" s="395"/>
      <c r="JYA102" s="395"/>
      <c r="JYB102" s="395"/>
      <c r="JYC102" s="395"/>
      <c r="JYD102" s="395"/>
      <c r="JYE102" s="395"/>
      <c r="JYF102" s="395"/>
      <c r="JYG102" s="395"/>
      <c r="JYH102" s="395"/>
      <c r="JYI102" s="395"/>
      <c r="JYJ102" s="395"/>
      <c r="JYK102" s="395"/>
      <c r="JYL102" s="395"/>
      <c r="JYM102" s="395"/>
      <c r="JYN102" s="395"/>
      <c r="JYO102" s="396"/>
      <c r="JYP102" s="394"/>
      <c r="JYQ102" s="395"/>
      <c r="JYR102" s="395"/>
      <c r="JYS102" s="395"/>
      <c r="JYT102" s="395"/>
      <c r="JYU102" s="395"/>
      <c r="JYV102" s="395"/>
      <c r="JYW102" s="395"/>
      <c r="JYX102" s="395"/>
      <c r="JYY102" s="395"/>
      <c r="JYZ102" s="395"/>
      <c r="JZA102" s="395"/>
      <c r="JZB102" s="395"/>
      <c r="JZC102" s="395"/>
      <c r="JZD102" s="395"/>
      <c r="JZE102" s="395"/>
      <c r="JZF102" s="395"/>
      <c r="JZG102" s="395"/>
      <c r="JZH102" s="395"/>
      <c r="JZI102" s="395"/>
      <c r="JZJ102" s="395"/>
      <c r="JZK102" s="395"/>
      <c r="JZL102" s="395"/>
      <c r="JZM102" s="395"/>
      <c r="JZN102" s="395"/>
      <c r="JZO102" s="395"/>
      <c r="JZP102" s="396"/>
      <c r="JZQ102" s="394"/>
      <c r="JZR102" s="395"/>
      <c r="JZS102" s="395"/>
      <c r="JZT102" s="395"/>
      <c r="JZU102" s="395"/>
      <c r="JZV102" s="395"/>
      <c r="JZW102" s="395"/>
      <c r="JZX102" s="395"/>
      <c r="JZY102" s="395"/>
      <c r="JZZ102" s="395"/>
      <c r="KAA102" s="395"/>
      <c r="KAB102" s="395"/>
      <c r="KAC102" s="395"/>
      <c r="KAD102" s="395"/>
      <c r="KAE102" s="395"/>
      <c r="KAF102" s="395"/>
      <c r="KAG102" s="395"/>
      <c r="KAH102" s="395"/>
      <c r="KAI102" s="395"/>
      <c r="KAJ102" s="395"/>
      <c r="KAK102" s="395"/>
      <c r="KAL102" s="395"/>
      <c r="KAM102" s="395"/>
      <c r="KAN102" s="395"/>
      <c r="KAO102" s="395"/>
      <c r="KAP102" s="395"/>
      <c r="KAQ102" s="396"/>
      <c r="KAR102" s="394"/>
      <c r="KAS102" s="395"/>
      <c r="KAT102" s="395"/>
      <c r="KAU102" s="395"/>
      <c r="KAV102" s="395"/>
      <c r="KAW102" s="395"/>
      <c r="KAX102" s="395"/>
      <c r="KAY102" s="395"/>
      <c r="KAZ102" s="395"/>
      <c r="KBA102" s="395"/>
      <c r="KBB102" s="395"/>
      <c r="KBC102" s="395"/>
      <c r="KBD102" s="395"/>
      <c r="KBE102" s="395"/>
      <c r="KBF102" s="395"/>
      <c r="KBG102" s="395"/>
      <c r="KBH102" s="395"/>
      <c r="KBI102" s="395"/>
      <c r="KBJ102" s="395"/>
      <c r="KBK102" s="395"/>
      <c r="KBL102" s="395"/>
      <c r="KBM102" s="395"/>
      <c r="KBN102" s="395"/>
      <c r="KBO102" s="395"/>
      <c r="KBP102" s="395"/>
      <c r="KBQ102" s="395"/>
      <c r="KBR102" s="396"/>
      <c r="KBS102" s="394"/>
      <c r="KBT102" s="395"/>
      <c r="KBU102" s="395"/>
      <c r="KBV102" s="395"/>
      <c r="KBW102" s="395"/>
      <c r="KBX102" s="395"/>
      <c r="KBY102" s="395"/>
      <c r="KBZ102" s="395"/>
      <c r="KCA102" s="395"/>
      <c r="KCB102" s="395"/>
      <c r="KCC102" s="395"/>
      <c r="KCD102" s="395"/>
      <c r="KCE102" s="395"/>
      <c r="KCF102" s="395"/>
      <c r="KCG102" s="395"/>
      <c r="KCH102" s="395"/>
      <c r="KCI102" s="395"/>
      <c r="KCJ102" s="395"/>
      <c r="KCK102" s="395"/>
      <c r="KCL102" s="395"/>
      <c r="KCM102" s="395"/>
      <c r="KCN102" s="395"/>
      <c r="KCO102" s="395"/>
      <c r="KCP102" s="395"/>
      <c r="KCQ102" s="395"/>
      <c r="KCR102" s="395"/>
      <c r="KCS102" s="396"/>
      <c r="KCT102" s="394"/>
      <c r="KCU102" s="395"/>
      <c r="KCV102" s="395"/>
      <c r="KCW102" s="395"/>
      <c r="KCX102" s="395"/>
      <c r="KCY102" s="395"/>
      <c r="KCZ102" s="395"/>
      <c r="KDA102" s="395"/>
      <c r="KDB102" s="395"/>
      <c r="KDC102" s="395"/>
      <c r="KDD102" s="395"/>
      <c r="KDE102" s="395"/>
      <c r="KDF102" s="395"/>
      <c r="KDG102" s="395"/>
      <c r="KDH102" s="395"/>
      <c r="KDI102" s="395"/>
      <c r="KDJ102" s="395"/>
      <c r="KDK102" s="395"/>
      <c r="KDL102" s="395"/>
      <c r="KDM102" s="395"/>
      <c r="KDN102" s="395"/>
      <c r="KDO102" s="395"/>
      <c r="KDP102" s="395"/>
      <c r="KDQ102" s="395"/>
      <c r="KDR102" s="395"/>
      <c r="KDS102" s="395"/>
      <c r="KDT102" s="396"/>
      <c r="KDU102" s="394"/>
      <c r="KDV102" s="395"/>
      <c r="KDW102" s="395"/>
      <c r="KDX102" s="395"/>
      <c r="KDY102" s="395"/>
      <c r="KDZ102" s="395"/>
      <c r="KEA102" s="395"/>
      <c r="KEB102" s="395"/>
      <c r="KEC102" s="395"/>
      <c r="KED102" s="395"/>
      <c r="KEE102" s="395"/>
      <c r="KEF102" s="395"/>
      <c r="KEG102" s="395"/>
      <c r="KEH102" s="395"/>
      <c r="KEI102" s="395"/>
      <c r="KEJ102" s="395"/>
      <c r="KEK102" s="395"/>
      <c r="KEL102" s="395"/>
      <c r="KEM102" s="395"/>
      <c r="KEN102" s="395"/>
      <c r="KEO102" s="395"/>
      <c r="KEP102" s="395"/>
      <c r="KEQ102" s="395"/>
      <c r="KER102" s="395"/>
      <c r="KES102" s="395"/>
      <c r="KET102" s="395"/>
      <c r="KEU102" s="396"/>
      <c r="KEV102" s="394"/>
      <c r="KEW102" s="395"/>
      <c r="KEX102" s="395"/>
      <c r="KEY102" s="395"/>
      <c r="KEZ102" s="395"/>
      <c r="KFA102" s="395"/>
      <c r="KFB102" s="395"/>
      <c r="KFC102" s="395"/>
      <c r="KFD102" s="395"/>
      <c r="KFE102" s="395"/>
      <c r="KFF102" s="395"/>
      <c r="KFG102" s="395"/>
      <c r="KFH102" s="395"/>
      <c r="KFI102" s="395"/>
      <c r="KFJ102" s="395"/>
      <c r="KFK102" s="395"/>
      <c r="KFL102" s="395"/>
      <c r="KFM102" s="395"/>
      <c r="KFN102" s="395"/>
      <c r="KFO102" s="395"/>
      <c r="KFP102" s="395"/>
      <c r="KFQ102" s="395"/>
      <c r="KFR102" s="395"/>
      <c r="KFS102" s="395"/>
      <c r="KFT102" s="395"/>
      <c r="KFU102" s="395"/>
      <c r="KFV102" s="396"/>
      <c r="KFW102" s="394"/>
      <c r="KFX102" s="395"/>
      <c r="KFY102" s="395"/>
      <c r="KFZ102" s="395"/>
      <c r="KGA102" s="395"/>
      <c r="KGB102" s="395"/>
      <c r="KGC102" s="395"/>
      <c r="KGD102" s="395"/>
      <c r="KGE102" s="395"/>
      <c r="KGF102" s="395"/>
      <c r="KGG102" s="395"/>
      <c r="KGH102" s="395"/>
      <c r="KGI102" s="395"/>
      <c r="KGJ102" s="395"/>
      <c r="KGK102" s="395"/>
      <c r="KGL102" s="395"/>
      <c r="KGM102" s="395"/>
      <c r="KGN102" s="395"/>
      <c r="KGO102" s="395"/>
      <c r="KGP102" s="395"/>
      <c r="KGQ102" s="395"/>
      <c r="KGR102" s="395"/>
      <c r="KGS102" s="395"/>
      <c r="KGT102" s="395"/>
      <c r="KGU102" s="395"/>
      <c r="KGV102" s="395"/>
      <c r="KGW102" s="396"/>
      <c r="KGX102" s="394"/>
      <c r="KGY102" s="395"/>
      <c r="KGZ102" s="395"/>
      <c r="KHA102" s="395"/>
      <c r="KHB102" s="395"/>
      <c r="KHC102" s="395"/>
      <c r="KHD102" s="395"/>
      <c r="KHE102" s="395"/>
      <c r="KHF102" s="395"/>
      <c r="KHG102" s="395"/>
      <c r="KHH102" s="395"/>
      <c r="KHI102" s="395"/>
      <c r="KHJ102" s="395"/>
      <c r="KHK102" s="395"/>
      <c r="KHL102" s="395"/>
      <c r="KHM102" s="395"/>
      <c r="KHN102" s="395"/>
      <c r="KHO102" s="395"/>
      <c r="KHP102" s="395"/>
      <c r="KHQ102" s="395"/>
      <c r="KHR102" s="395"/>
      <c r="KHS102" s="395"/>
      <c r="KHT102" s="395"/>
      <c r="KHU102" s="395"/>
      <c r="KHV102" s="395"/>
      <c r="KHW102" s="395"/>
      <c r="KHX102" s="396"/>
      <c r="KHY102" s="394"/>
      <c r="KHZ102" s="395"/>
      <c r="KIA102" s="395"/>
      <c r="KIB102" s="395"/>
      <c r="KIC102" s="395"/>
      <c r="KID102" s="395"/>
      <c r="KIE102" s="395"/>
      <c r="KIF102" s="395"/>
      <c r="KIG102" s="395"/>
      <c r="KIH102" s="395"/>
      <c r="KII102" s="395"/>
      <c r="KIJ102" s="395"/>
      <c r="KIK102" s="395"/>
      <c r="KIL102" s="395"/>
      <c r="KIM102" s="395"/>
      <c r="KIN102" s="395"/>
      <c r="KIO102" s="395"/>
      <c r="KIP102" s="395"/>
      <c r="KIQ102" s="395"/>
      <c r="KIR102" s="395"/>
      <c r="KIS102" s="395"/>
      <c r="KIT102" s="395"/>
      <c r="KIU102" s="395"/>
      <c r="KIV102" s="395"/>
      <c r="KIW102" s="395"/>
      <c r="KIX102" s="395"/>
      <c r="KIY102" s="396"/>
      <c r="KIZ102" s="394"/>
      <c r="KJA102" s="395"/>
      <c r="KJB102" s="395"/>
      <c r="KJC102" s="395"/>
      <c r="KJD102" s="395"/>
      <c r="KJE102" s="395"/>
      <c r="KJF102" s="395"/>
      <c r="KJG102" s="395"/>
      <c r="KJH102" s="395"/>
      <c r="KJI102" s="395"/>
      <c r="KJJ102" s="395"/>
      <c r="KJK102" s="395"/>
      <c r="KJL102" s="395"/>
      <c r="KJM102" s="395"/>
      <c r="KJN102" s="395"/>
      <c r="KJO102" s="395"/>
      <c r="KJP102" s="395"/>
      <c r="KJQ102" s="395"/>
      <c r="KJR102" s="395"/>
      <c r="KJS102" s="395"/>
      <c r="KJT102" s="395"/>
      <c r="KJU102" s="395"/>
      <c r="KJV102" s="395"/>
      <c r="KJW102" s="395"/>
      <c r="KJX102" s="395"/>
      <c r="KJY102" s="395"/>
      <c r="KJZ102" s="396"/>
      <c r="KKA102" s="394"/>
      <c r="KKB102" s="395"/>
      <c r="KKC102" s="395"/>
      <c r="KKD102" s="395"/>
      <c r="KKE102" s="395"/>
      <c r="KKF102" s="395"/>
      <c r="KKG102" s="395"/>
      <c r="KKH102" s="395"/>
      <c r="KKI102" s="395"/>
      <c r="KKJ102" s="395"/>
      <c r="KKK102" s="395"/>
      <c r="KKL102" s="395"/>
      <c r="KKM102" s="395"/>
      <c r="KKN102" s="395"/>
      <c r="KKO102" s="395"/>
      <c r="KKP102" s="395"/>
      <c r="KKQ102" s="395"/>
      <c r="KKR102" s="395"/>
      <c r="KKS102" s="395"/>
      <c r="KKT102" s="395"/>
      <c r="KKU102" s="395"/>
      <c r="KKV102" s="395"/>
      <c r="KKW102" s="395"/>
      <c r="KKX102" s="395"/>
      <c r="KKY102" s="395"/>
      <c r="KKZ102" s="395"/>
      <c r="KLA102" s="396"/>
      <c r="KLB102" s="394"/>
      <c r="KLC102" s="395"/>
      <c r="KLD102" s="395"/>
      <c r="KLE102" s="395"/>
      <c r="KLF102" s="395"/>
      <c r="KLG102" s="395"/>
      <c r="KLH102" s="395"/>
      <c r="KLI102" s="395"/>
      <c r="KLJ102" s="395"/>
      <c r="KLK102" s="395"/>
      <c r="KLL102" s="395"/>
      <c r="KLM102" s="395"/>
      <c r="KLN102" s="395"/>
      <c r="KLO102" s="395"/>
      <c r="KLP102" s="395"/>
      <c r="KLQ102" s="395"/>
      <c r="KLR102" s="395"/>
      <c r="KLS102" s="395"/>
      <c r="KLT102" s="395"/>
      <c r="KLU102" s="395"/>
      <c r="KLV102" s="395"/>
      <c r="KLW102" s="395"/>
      <c r="KLX102" s="395"/>
      <c r="KLY102" s="395"/>
      <c r="KLZ102" s="395"/>
      <c r="KMA102" s="395"/>
      <c r="KMB102" s="396"/>
      <c r="KMC102" s="394"/>
      <c r="KMD102" s="395"/>
      <c r="KME102" s="395"/>
      <c r="KMF102" s="395"/>
      <c r="KMG102" s="395"/>
      <c r="KMH102" s="395"/>
      <c r="KMI102" s="395"/>
      <c r="KMJ102" s="395"/>
      <c r="KMK102" s="395"/>
      <c r="KML102" s="395"/>
      <c r="KMM102" s="395"/>
      <c r="KMN102" s="395"/>
      <c r="KMO102" s="395"/>
      <c r="KMP102" s="395"/>
      <c r="KMQ102" s="395"/>
      <c r="KMR102" s="395"/>
      <c r="KMS102" s="395"/>
      <c r="KMT102" s="395"/>
      <c r="KMU102" s="395"/>
      <c r="KMV102" s="395"/>
      <c r="KMW102" s="395"/>
      <c r="KMX102" s="395"/>
      <c r="KMY102" s="395"/>
      <c r="KMZ102" s="395"/>
      <c r="KNA102" s="395"/>
      <c r="KNB102" s="395"/>
      <c r="KNC102" s="396"/>
      <c r="KND102" s="394"/>
      <c r="KNE102" s="395"/>
      <c r="KNF102" s="395"/>
      <c r="KNG102" s="395"/>
      <c r="KNH102" s="395"/>
      <c r="KNI102" s="395"/>
      <c r="KNJ102" s="395"/>
      <c r="KNK102" s="395"/>
      <c r="KNL102" s="395"/>
      <c r="KNM102" s="395"/>
      <c r="KNN102" s="395"/>
      <c r="KNO102" s="395"/>
      <c r="KNP102" s="395"/>
      <c r="KNQ102" s="395"/>
      <c r="KNR102" s="395"/>
      <c r="KNS102" s="395"/>
      <c r="KNT102" s="395"/>
      <c r="KNU102" s="395"/>
      <c r="KNV102" s="395"/>
      <c r="KNW102" s="395"/>
      <c r="KNX102" s="395"/>
      <c r="KNY102" s="395"/>
      <c r="KNZ102" s="395"/>
      <c r="KOA102" s="395"/>
      <c r="KOB102" s="395"/>
      <c r="KOC102" s="395"/>
      <c r="KOD102" s="396"/>
      <c r="KOE102" s="394"/>
      <c r="KOF102" s="395"/>
      <c r="KOG102" s="395"/>
      <c r="KOH102" s="395"/>
      <c r="KOI102" s="395"/>
      <c r="KOJ102" s="395"/>
      <c r="KOK102" s="395"/>
      <c r="KOL102" s="395"/>
      <c r="KOM102" s="395"/>
      <c r="KON102" s="395"/>
      <c r="KOO102" s="395"/>
      <c r="KOP102" s="395"/>
      <c r="KOQ102" s="395"/>
      <c r="KOR102" s="395"/>
      <c r="KOS102" s="395"/>
      <c r="KOT102" s="395"/>
      <c r="KOU102" s="395"/>
      <c r="KOV102" s="395"/>
      <c r="KOW102" s="395"/>
      <c r="KOX102" s="395"/>
      <c r="KOY102" s="395"/>
      <c r="KOZ102" s="395"/>
      <c r="KPA102" s="395"/>
      <c r="KPB102" s="395"/>
      <c r="KPC102" s="395"/>
      <c r="KPD102" s="395"/>
      <c r="KPE102" s="396"/>
      <c r="KPF102" s="394"/>
      <c r="KPG102" s="395"/>
      <c r="KPH102" s="395"/>
      <c r="KPI102" s="395"/>
      <c r="KPJ102" s="395"/>
      <c r="KPK102" s="395"/>
      <c r="KPL102" s="395"/>
      <c r="KPM102" s="395"/>
      <c r="KPN102" s="395"/>
      <c r="KPO102" s="395"/>
      <c r="KPP102" s="395"/>
      <c r="KPQ102" s="395"/>
      <c r="KPR102" s="395"/>
      <c r="KPS102" s="395"/>
      <c r="KPT102" s="395"/>
      <c r="KPU102" s="395"/>
      <c r="KPV102" s="395"/>
      <c r="KPW102" s="395"/>
      <c r="KPX102" s="395"/>
      <c r="KPY102" s="395"/>
      <c r="KPZ102" s="395"/>
      <c r="KQA102" s="395"/>
      <c r="KQB102" s="395"/>
      <c r="KQC102" s="395"/>
      <c r="KQD102" s="395"/>
      <c r="KQE102" s="395"/>
      <c r="KQF102" s="396"/>
      <c r="KQG102" s="394"/>
      <c r="KQH102" s="395"/>
      <c r="KQI102" s="395"/>
      <c r="KQJ102" s="395"/>
      <c r="KQK102" s="395"/>
      <c r="KQL102" s="395"/>
      <c r="KQM102" s="395"/>
      <c r="KQN102" s="395"/>
      <c r="KQO102" s="395"/>
      <c r="KQP102" s="395"/>
      <c r="KQQ102" s="395"/>
      <c r="KQR102" s="395"/>
      <c r="KQS102" s="395"/>
      <c r="KQT102" s="395"/>
      <c r="KQU102" s="395"/>
      <c r="KQV102" s="395"/>
      <c r="KQW102" s="395"/>
      <c r="KQX102" s="395"/>
      <c r="KQY102" s="395"/>
      <c r="KQZ102" s="395"/>
      <c r="KRA102" s="395"/>
      <c r="KRB102" s="395"/>
      <c r="KRC102" s="395"/>
      <c r="KRD102" s="395"/>
      <c r="KRE102" s="395"/>
      <c r="KRF102" s="395"/>
      <c r="KRG102" s="396"/>
      <c r="KRH102" s="394"/>
      <c r="KRI102" s="395"/>
      <c r="KRJ102" s="395"/>
      <c r="KRK102" s="395"/>
      <c r="KRL102" s="395"/>
      <c r="KRM102" s="395"/>
      <c r="KRN102" s="395"/>
      <c r="KRO102" s="395"/>
      <c r="KRP102" s="395"/>
      <c r="KRQ102" s="395"/>
      <c r="KRR102" s="395"/>
      <c r="KRS102" s="395"/>
      <c r="KRT102" s="395"/>
      <c r="KRU102" s="395"/>
      <c r="KRV102" s="395"/>
      <c r="KRW102" s="395"/>
      <c r="KRX102" s="395"/>
      <c r="KRY102" s="395"/>
      <c r="KRZ102" s="395"/>
      <c r="KSA102" s="395"/>
      <c r="KSB102" s="395"/>
      <c r="KSC102" s="395"/>
      <c r="KSD102" s="395"/>
      <c r="KSE102" s="395"/>
      <c r="KSF102" s="395"/>
      <c r="KSG102" s="395"/>
      <c r="KSH102" s="396"/>
      <c r="KSI102" s="394"/>
      <c r="KSJ102" s="395"/>
      <c r="KSK102" s="395"/>
      <c r="KSL102" s="395"/>
      <c r="KSM102" s="395"/>
      <c r="KSN102" s="395"/>
      <c r="KSO102" s="395"/>
      <c r="KSP102" s="395"/>
      <c r="KSQ102" s="395"/>
      <c r="KSR102" s="395"/>
      <c r="KSS102" s="395"/>
      <c r="KST102" s="395"/>
      <c r="KSU102" s="395"/>
      <c r="KSV102" s="395"/>
      <c r="KSW102" s="395"/>
      <c r="KSX102" s="395"/>
      <c r="KSY102" s="395"/>
      <c r="KSZ102" s="395"/>
      <c r="KTA102" s="395"/>
      <c r="KTB102" s="395"/>
      <c r="KTC102" s="395"/>
      <c r="KTD102" s="395"/>
      <c r="KTE102" s="395"/>
      <c r="KTF102" s="395"/>
      <c r="KTG102" s="395"/>
      <c r="KTH102" s="395"/>
      <c r="KTI102" s="396"/>
      <c r="KTJ102" s="394"/>
      <c r="KTK102" s="395"/>
      <c r="KTL102" s="395"/>
      <c r="KTM102" s="395"/>
      <c r="KTN102" s="395"/>
      <c r="KTO102" s="395"/>
      <c r="KTP102" s="395"/>
      <c r="KTQ102" s="395"/>
      <c r="KTR102" s="395"/>
      <c r="KTS102" s="395"/>
      <c r="KTT102" s="395"/>
      <c r="KTU102" s="395"/>
      <c r="KTV102" s="395"/>
      <c r="KTW102" s="395"/>
      <c r="KTX102" s="395"/>
      <c r="KTY102" s="395"/>
      <c r="KTZ102" s="395"/>
      <c r="KUA102" s="395"/>
      <c r="KUB102" s="395"/>
      <c r="KUC102" s="395"/>
      <c r="KUD102" s="395"/>
      <c r="KUE102" s="395"/>
      <c r="KUF102" s="395"/>
      <c r="KUG102" s="395"/>
      <c r="KUH102" s="395"/>
      <c r="KUI102" s="395"/>
      <c r="KUJ102" s="396"/>
      <c r="KUK102" s="394"/>
      <c r="KUL102" s="395"/>
      <c r="KUM102" s="395"/>
      <c r="KUN102" s="395"/>
      <c r="KUO102" s="395"/>
      <c r="KUP102" s="395"/>
      <c r="KUQ102" s="395"/>
      <c r="KUR102" s="395"/>
      <c r="KUS102" s="395"/>
      <c r="KUT102" s="395"/>
      <c r="KUU102" s="395"/>
      <c r="KUV102" s="395"/>
      <c r="KUW102" s="395"/>
      <c r="KUX102" s="395"/>
      <c r="KUY102" s="395"/>
      <c r="KUZ102" s="395"/>
      <c r="KVA102" s="395"/>
      <c r="KVB102" s="395"/>
      <c r="KVC102" s="395"/>
      <c r="KVD102" s="395"/>
      <c r="KVE102" s="395"/>
      <c r="KVF102" s="395"/>
      <c r="KVG102" s="395"/>
      <c r="KVH102" s="395"/>
      <c r="KVI102" s="395"/>
      <c r="KVJ102" s="395"/>
      <c r="KVK102" s="396"/>
      <c r="KVL102" s="394"/>
      <c r="KVM102" s="395"/>
      <c r="KVN102" s="395"/>
      <c r="KVO102" s="395"/>
      <c r="KVP102" s="395"/>
      <c r="KVQ102" s="395"/>
      <c r="KVR102" s="395"/>
      <c r="KVS102" s="395"/>
      <c r="KVT102" s="395"/>
      <c r="KVU102" s="395"/>
      <c r="KVV102" s="395"/>
      <c r="KVW102" s="395"/>
      <c r="KVX102" s="395"/>
      <c r="KVY102" s="395"/>
      <c r="KVZ102" s="395"/>
      <c r="KWA102" s="395"/>
      <c r="KWB102" s="395"/>
      <c r="KWC102" s="395"/>
      <c r="KWD102" s="395"/>
      <c r="KWE102" s="395"/>
      <c r="KWF102" s="395"/>
      <c r="KWG102" s="395"/>
      <c r="KWH102" s="395"/>
      <c r="KWI102" s="395"/>
      <c r="KWJ102" s="395"/>
      <c r="KWK102" s="395"/>
      <c r="KWL102" s="396"/>
      <c r="KWM102" s="394"/>
      <c r="KWN102" s="395"/>
      <c r="KWO102" s="395"/>
      <c r="KWP102" s="395"/>
      <c r="KWQ102" s="395"/>
      <c r="KWR102" s="395"/>
      <c r="KWS102" s="395"/>
      <c r="KWT102" s="395"/>
      <c r="KWU102" s="395"/>
      <c r="KWV102" s="395"/>
      <c r="KWW102" s="395"/>
      <c r="KWX102" s="395"/>
      <c r="KWY102" s="395"/>
      <c r="KWZ102" s="395"/>
      <c r="KXA102" s="395"/>
      <c r="KXB102" s="395"/>
      <c r="KXC102" s="395"/>
      <c r="KXD102" s="395"/>
      <c r="KXE102" s="395"/>
      <c r="KXF102" s="395"/>
      <c r="KXG102" s="395"/>
      <c r="KXH102" s="395"/>
      <c r="KXI102" s="395"/>
      <c r="KXJ102" s="395"/>
      <c r="KXK102" s="395"/>
      <c r="KXL102" s="395"/>
      <c r="KXM102" s="396"/>
      <c r="KXN102" s="394"/>
      <c r="KXO102" s="395"/>
      <c r="KXP102" s="395"/>
      <c r="KXQ102" s="395"/>
      <c r="KXR102" s="395"/>
      <c r="KXS102" s="395"/>
      <c r="KXT102" s="395"/>
      <c r="KXU102" s="395"/>
      <c r="KXV102" s="395"/>
      <c r="KXW102" s="395"/>
      <c r="KXX102" s="395"/>
      <c r="KXY102" s="395"/>
      <c r="KXZ102" s="395"/>
      <c r="KYA102" s="395"/>
      <c r="KYB102" s="395"/>
      <c r="KYC102" s="395"/>
      <c r="KYD102" s="395"/>
      <c r="KYE102" s="395"/>
      <c r="KYF102" s="395"/>
      <c r="KYG102" s="395"/>
      <c r="KYH102" s="395"/>
      <c r="KYI102" s="395"/>
      <c r="KYJ102" s="395"/>
      <c r="KYK102" s="395"/>
      <c r="KYL102" s="395"/>
      <c r="KYM102" s="395"/>
      <c r="KYN102" s="396"/>
      <c r="KYO102" s="394"/>
      <c r="KYP102" s="395"/>
      <c r="KYQ102" s="395"/>
      <c r="KYR102" s="395"/>
      <c r="KYS102" s="395"/>
      <c r="KYT102" s="395"/>
      <c r="KYU102" s="395"/>
      <c r="KYV102" s="395"/>
      <c r="KYW102" s="395"/>
      <c r="KYX102" s="395"/>
      <c r="KYY102" s="395"/>
      <c r="KYZ102" s="395"/>
      <c r="KZA102" s="395"/>
      <c r="KZB102" s="395"/>
      <c r="KZC102" s="395"/>
      <c r="KZD102" s="395"/>
      <c r="KZE102" s="395"/>
      <c r="KZF102" s="395"/>
      <c r="KZG102" s="395"/>
      <c r="KZH102" s="395"/>
      <c r="KZI102" s="395"/>
      <c r="KZJ102" s="395"/>
      <c r="KZK102" s="395"/>
      <c r="KZL102" s="395"/>
      <c r="KZM102" s="395"/>
      <c r="KZN102" s="395"/>
      <c r="KZO102" s="396"/>
      <c r="KZP102" s="394"/>
      <c r="KZQ102" s="395"/>
      <c r="KZR102" s="395"/>
      <c r="KZS102" s="395"/>
      <c r="KZT102" s="395"/>
      <c r="KZU102" s="395"/>
      <c r="KZV102" s="395"/>
      <c r="KZW102" s="395"/>
      <c r="KZX102" s="395"/>
      <c r="KZY102" s="395"/>
      <c r="KZZ102" s="395"/>
      <c r="LAA102" s="395"/>
      <c r="LAB102" s="395"/>
      <c r="LAC102" s="395"/>
      <c r="LAD102" s="395"/>
      <c r="LAE102" s="395"/>
      <c r="LAF102" s="395"/>
      <c r="LAG102" s="395"/>
      <c r="LAH102" s="395"/>
      <c r="LAI102" s="395"/>
      <c r="LAJ102" s="395"/>
      <c r="LAK102" s="395"/>
      <c r="LAL102" s="395"/>
      <c r="LAM102" s="395"/>
      <c r="LAN102" s="395"/>
      <c r="LAO102" s="395"/>
      <c r="LAP102" s="396"/>
      <c r="LAQ102" s="394"/>
      <c r="LAR102" s="395"/>
      <c r="LAS102" s="395"/>
      <c r="LAT102" s="395"/>
      <c r="LAU102" s="395"/>
      <c r="LAV102" s="395"/>
      <c r="LAW102" s="395"/>
      <c r="LAX102" s="395"/>
      <c r="LAY102" s="395"/>
      <c r="LAZ102" s="395"/>
      <c r="LBA102" s="395"/>
      <c r="LBB102" s="395"/>
      <c r="LBC102" s="395"/>
      <c r="LBD102" s="395"/>
      <c r="LBE102" s="395"/>
      <c r="LBF102" s="395"/>
      <c r="LBG102" s="395"/>
      <c r="LBH102" s="395"/>
      <c r="LBI102" s="395"/>
      <c r="LBJ102" s="395"/>
      <c r="LBK102" s="395"/>
      <c r="LBL102" s="395"/>
      <c r="LBM102" s="395"/>
      <c r="LBN102" s="395"/>
      <c r="LBO102" s="395"/>
      <c r="LBP102" s="395"/>
      <c r="LBQ102" s="396"/>
      <c r="LBR102" s="394"/>
      <c r="LBS102" s="395"/>
      <c r="LBT102" s="395"/>
      <c r="LBU102" s="395"/>
      <c r="LBV102" s="395"/>
      <c r="LBW102" s="395"/>
      <c r="LBX102" s="395"/>
      <c r="LBY102" s="395"/>
      <c r="LBZ102" s="395"/>
      <c r="LCA102" s="395"/>
      <c r="LCB102" s="395"/>
      <c r="LCC102" s="395"/>
      <c r="LCD102" s="395"/>
      <c r="LCE102" s="395"/>
      <c r="LCF102" s="395"/>
      <c r="LCG102" s="395"/>
      <c r="LCH102" s="395"/>
      <c r="LCI102" s="395"/>
      <c r="LCJ102" s="395"/>
      <c r="LCK102" s="395"/>
      <c r="LCL102" s="395"/>
      <c r="LCM102" s="395"/>
      <c r="LCN102" s="395"/>
      <c r="LCO102" s="395"/>
      <c r="LCP102" s="395"/>
      <c r="LCQ102" s="395"/>
      <c r="LCR102" s="396"/>
      <c r="LCS102" s="394"/>
      <c r="LCT102" s="395"/>
      <c r="LCU102" s="395"/>
      <c r="LCV102" s="395"/>
      <c r="LCW102" s="395"/>
      <c r="LCX102" s="395"/>
      <c r="LCY102" s="395"/>
      <c r="LCZ102" s="395"/>
      <c r="LDA102" s="395"/>
      <c r="LDB102" s="395"/>
      <c r="LDC102" s="395"/>
      <c r="LDD102" s="395"/>
      <c r="LDE102" s="395"/>
      <c r="LDF102" s="395"/>
      <c r="LDG102" s="395"/>
      <c r="LDH102" s="395"/>
      <c r="LDI102" s="395"/>
      <c r="LDJ102" s="395"/>
      <c r="LDK102" s="395"/>
      <c r="LDL102" s="395"/>
      <c r="LDM102" s="395"/>
      <c r="LDN102" s="395"/>
      <c r="LDO102" s="395"/>
      <c r="LDP102" s="395"/>
      <c r="LDQ102" s="395"/>
      <c r="LDR102" s="395"/>
      <c r="LDS102" s="396"/>
      <c r="LDT102" s="394"/>
      <c r="LDU102" s="395"/>
      <c r="LDV102" s="395"/>
      <c r="LDW102" s="395"/>
      <c r="LDX102" s="395"/>
      <c r="LDY102" s="395"/>
      <c r="LDZ102" s="395"/>
      <c r="LEA102" s="395"/>
      <c r="LEB102" s="395"/>
      <c r="LEC102" s="395"/>
      <c r="LED102" s="395"/>
      <c r="LEE102" s="395"/>
      <c r="LEF102" s="395"/>
      <c r="LEG102" s="395"/>
      <c r="LEH102" s="395"/>
      <c r="LEI102" s="395"/>
      <c r="LEJ102" s="395"/>
      <c r="LEK102" s="395"/>
      <c r="LEL102" s="395"/>
      <c r="LEM102" s="395"/>
      <c r="LEN102" s="395"/>
      <c r="LEO102" s="395"/>
      <c r="LEP102" s="395"/>
      <c r="LEQ102" s="395"/>
      <c r="LER102" s="395"/>
      <c r="LES102" s="395"/>
      <c r="LET102" s="396"/>
      <c r="LEU102" s="394"/>
      <c r="LEV102" s="395"/>
      <c r="LEW102" s="395"/>
      <c r="LEX102" s="395"/>
      <c r="LEY102" s="395"/>
      <c r="LEZ102" s="395"/>
      <c r="LFA102" s="395"/>
      <c r="LFB102" s="395"/>
      <c r="LFC102" s="395"/>
      <c r="LFD102" s="395"/>
      <c r="LFE102" s="395"/>
      <c r="LFF102" s="395"/>
      <c r="LFG102" s="395"/>
      <c r="LFH102" s="395"/>
      <c r="LFI102" s="395"/>
      <c r="LFJ102" s="395"/>
      <c r="LFK102" s="395"/>
      <c r="LFL102" s="395"/>
      <c r="LFM102" s="395"/>
      <c r="LFN102" s="395"/>
      <c r="LFO102" s="395"/>
      <c r="LFP102" s="395"/>
      <c r="LFQ102" s="395"/>
      <c r="LFR102" s="395"/>
      <c r="LFS102" s="395"/>
      <c r="LFT102" s="395"/>
      <c r="LFU102" s="396"/>
      <c r="LFV102" s="394"/>
      <c r="LFW102" s="395"/>
      <c r="LFX102" s="395"/>
      <c r="LFY102" s="395"/>
      <c r="LFZ102" s="395"/>
      <c r="LGA102" s="395"/>
      <c r="LGB102" s="395"/>
      <c r="LGC102" s="395"/>
      <c r="LGD102" s="395"/>
      <c r="LGE102" s="395"/>
      <c r="LGF102" s="395"/>
      <c r="LGG102" s="395"/>
      <c r="LGH102" s="395"/>
      <c r="LGI102" s="395"/>
      <c r="LGJ102" s="395"/>
      <c r="LGK102" s="395"/>
      <c r="LGL102" s="395"/>
      <c r="LGM102" s="395"/>
      <c r="LGN102" s="395"/>
      <c r="LGO102" s="395"/>
      <c r="LGP102" s="395"/>
      <c r="LGQ102" s="395"/>
      <c r="LGR102" s="395"/>
      <c r="LGS102" s="395"/>
      <c r="LGT102" s="395"/>
      <c r="LGU102" s="395"/>
      <c r="LGV102" s="396"/>
      <c r="LGW102" s="394"/>
      <c r="LGX102" s="395"/>
      <c r="LGY102" s="395"/>
      <c r="LGZ102" s="395"/>
      <c r="LHA102" s="395"/>
      <c r="LHB102" s="395"/>
      <c r="LHC102" s="395"/>
      <c r="LHD102" s="395"/>
      <c r="LHE102" s="395"/>
      <c r="LHF102" s="395"/>
      <c r="LHG102" s="395"/>
      <c r="LHH102" s="395"/>
      <c r="LHI102" s="395"/>
      <c r="LHJ102" s="395"/>
      <c r="LHK102" s="395"/>
      <c r="LHL102" s="395"/>
      <c r="LHM102" s="395"/>
      <c r="LHN102" s="395"/>
      <c r="LHO102" s="395"/>
      <c r="LHP102" s="395"/>
      <c r="LHQ102" s="395"/>
      <c r="LHR102" s="395"/>
      <c r="LHS102" s="395"/>
      <c r="LHT102" s="395"/>
      <c r="LHU102" s="395"/>
      <c r="LHV102" s="395"/>
      <c r="LHW102" s="396"/>
      <c r="LHX102" s="394"/>
      <c r="LHY102" s="395"/>
      <c r="LHZ102" s="395"/>
      <c r="LIA102" s="395"/>
      <c r="LIB102" s="395"/>
      <c r="LIC102" s="395"/>
      <c r="LID102" s="395"/>
      <c r="LIE102" s="395"/>
      <c r="LIF102" s="395"/>
      <c r="LIG102" s="395"/>
      <c r="LIH102" s="395"/>
      <c r="LII102" s="395"/>
      <c r="LIJ102" s="395"/>
      <c r="LIK102" s="395"/>
      <c r="LIL102" s="395"/>
      <c r="LIM102" s="395"/>
      <c r="LIN102" s="395"/>
      <c r="LIO102" s="395"/>
      <c r="LIP102" s="395"/>
      <c r="LIQ102" s="395"/>
      <c r="LIR102" s="395"/>
      <c r="LIS102" s="395"/>
      <c r="LIT102" s="395"/>
      <c r="LIU102" s="395"/>
      <c r="LIV102" s="395"/>
      <c r="LIW102" s="395"/>
      <c r="LIX102" s="396"/>
      <c r="LIY102" s="394"/>
      <c r="LIZ102" s="395"/>
      <c r="LJA102" s="395"/>
      <c r="LJB102" s="395"/>
      <c r="LJC102" s="395"/>
      <c r="LJD102" s="395"/>
      <c r="LJE102" s="395"/>
      <c r="LJF102" s="395"/>
      <c r="LJG102" s="395"/>
      <c r="LJH102" s="395"/>
      <c r="LJI102" s="395"/>
      <c r="LJJ102" s="395"/>
      <c r="LJK102" s="395"/>
      <c r="LJL102" s="395"/>
      <c r="LJM102" s="395"/>
      <c r="LJN102" s="395"/>
      <c r="LJO102" s="395"/>
      <c r="LJP102" s="395"/>
      <c r="LJQ102" s="395"/>
      <c r="LJR102" s="395"/>
      <c r="LJS102" s="395"/>
      <c r="LJT102" s="395"/>
      <c r="LJU102" s="395"/>
      <c r="LJV102" s="395"/>
      <c r="LJW102" s="395"/>
      <c r="LJX102" s="395"/>
      <c r="LJY102" s="396"/>
      <c r="LJZ102" s="394"/>
      <c r="LKA102" s="395"/>
      <c r="LKB102" s="395"/>
      <c r="LKC102" s="395"/>
      <c r="LKD102" s="395"/>
      <c r="LKE102" s="395"/>
      <c r="LKF102" s="395"/>
      <c r="LKG102" s="395"/>
      <c r="LKH102" s="395"/>
      <c r="LKI102" s="395"/>
      <c r="LKJ102" s="395"/>
      <c r="LKK102" s="395"/>
      <c r="LKL102" s="395"/>
      <c r="LKM102" s="395"/>
      <c r="LKN102" s="395"/>
      <c r="LKO102" s="395"/>
      <c r="LKP102" s="395"/>
      <c r="LKQ102" s="395"/>
      <c r="LKR102" s="395"/>
      <c r="LKS102" s="395"/>
      <c r="LKT102" s="395"/>
      <c r="LKU102" s="395"/>
      <c r="LKV102" s="395"/>
      <c r="LKW102" s="395"/>
      <c r="LKX102" s="395"/>
      <c r="LKY102" s="395"/>
      <c r="LKZ102" s="396"/>
      <c r="LLA102" s="394"/>
      <c r="LLB102" s="395"/>
      <c r="LLC102" s="395"/>
      <c r="LLD102" s="395"/>
      <c r="LLE102" s="395"/>
      <c r="LLF102" s="395"/>
      <c r="LLG102" s="395"/>
      <c r="LLH102" s="395"/>
      <c r="LLI102" s="395"/>
      <c r="LLJ102" s="395"/>
      <c r="LLK102" s="395"/>
      <c r="LLL102" s="395"/>
      <c r="LLM102" s="395"/>
      <c r="LLN102" s="395"/>
      <c r="LLO102" s="395"/>
      <c r="LLP102" s="395"/>
      <c r="LLQ102" s="395"/>
      <c r="LLR102" s="395"/>
      <c r="LLS102" s="395"/>
      <c r="LLT102" s="395"/>
      <c r="LLU102" s="395"/>
      <c r="LLV102" s="395"/>
      <c r="LLW102" s="395"/>
      <c r="LLX102" s="395"/>
      <c r="LLY102" s="395"/>
      <c r="LLZ102" s="395"/>
      <c r="LMA102" s="396"/>
      <c r="LMB102" s="394"/>
      <c r="LMC102" s="395"/>
      <c r="LMD102" s="395"/>
      <c r="LME102" s="395"/>
      <c r="LMF102" s="395"/>
      <c r="LMG102" s="395"/>
      <c r="LMH102" s="395"/>
      <c r="LMI102" s="395"/>
      <c r="LMJ102" s="395"/>
      <c r="LMK102" s="395"/>
      <c r="LML102" s="395"/>
      <c r="LMM102" s="395"/>
      <c r="LMN102" s="395"/>
      <c r="LMO102" s="395"/>
      <c r="LMP102" s="395"/>
      <c r="LMQ102" s="395"/>
      <c r="LMR102" s="395"/>
      <c r="LMS102" s="395"/>
      <c r="LMT102" s="395"/>
      <c r="LMU102" s="395"/>
      <c r="LMV102" s="395"/>
      <c r="LMW102" s="395"/>
      <c r="LMX102" s="395"/>
      <c r="LMY102" s="395"/>
      <c r="LMZ102" s="395"/>
      <c r="LNA102" s="395"/>
      <c r="LNB102" s="396"/>
      <c r="LNC102" s="394"/>
      <c r="LND102" s="395"/>
      <c r="LNE102" s="395"/>
      <c r="LNF102" s="395"/>
      <c r="LNG102" s="395"/>
      <c r="LNH102" s="395"/>
      <c r="LNI102" s="395"/>
      <c r="LNJ102" s="395"/>
      <c r="LNK102" s="395"/>
      <c r="LNL102" s="395"/>
      <c r="LNM102" s="395"/>
      <c r="LNN102" s="395"/>
      <c r="LNO102" s="395"/>
      <c r="LNP102" s="395"/>
      <c r="LNQ102" s="395"/>
      <c r="LNR102" s="395"/>
      <c r="LNS102" s="395"/>
      <c r="LNT102" s="395"/>
      <c r="LNU102" s="395"/>
      <c r="LNV102" s="395"/>
      <c r="LNW102" s="395"/>
      <c r="LNX102" s="395"/>
      <c r="LNY102" s="395"/>
      <c r="LNZ102" s="395"/>
      <c r="LOA102" s="395"/>
      <c r="LOB102" s="395"/>
      <c r="LOC102" s="396"/>
      <c r="LOD102" s="394"/>
      <c r="LOE102" s="395"/>
      <c r="LOF102" s="395"/>
      <c r="LOG102" s="395"/>
      <c r="LOH102" s="395"/>
      <c r="LOI102" s="395"/>
      <c r="LOJ102" s="395"/>
      <c r="LOK102" s="395"/>
      <c r="LOL102" s="395"/>
      <c r="LOM102" s="395"/>
      <c r="LON102" s="395"/>
      <c r="LOO102" s="395"/>
      <c r="LOP102" s="395"/>
      <c r="LOQ102" s="395"/>
      <c r="LOR102" s="395"/>
      <c r="LOS102" s="395"/>
      <c r="LOT102" s="395"/>
      <c r="LOU102" s="395"/>
      <c r="LOV102" s="395"/>
      <c r="LOW102" s="395"/>
      <c r="LOX102" s="395"/>
      <c r="LOY102" s="395"/>
      <c r="LOZ102" s="395"/>
      <c r="LPA102" s="395"/>
      <c r="LPB102" s="395"/>
      <c r="LPC102" s="395"/>
      <c r="LPD102" s="396"/>
      <c r="LPE102" s="394"/>
      <c r="LPF102" s="395"/>
      <c r="LPG102" s="395"/>
      <c r="LPH102" s="395"/>
      <c r="LPI102" s="395"/>
      <c r="LPJ102" s="395"/>
      <c r="LPK102" s="395"/>
      <c r="LPL102" s="395"/>
      <c r="LPM102" s="395"/>
      <c r="LPN102" s="395"/>
      <c r="LPO102" s="395"/>
      <c r="LPP102" s="395"/>
      <c r="LPQ102" s="395"/>
      <c r="LPR102" s="395"/>
      <c r="LPS102" s="395"/>
      <c r="LPT102" s="395"/>
      <c r="LPU102" s="395"/>
      <c r="LPV102" s="395"/>
      <c r="LPW102" s="395"/>
      <c r="LPX102" s="395"/>
      <c r="LPY102" s="395"/>
      <c r="LPZ102" s="395"/>
      <c r="LQA102" s="395"/>
      <c r="LQB102" s="395"/>
      <c r="LQC102" s="395"/>
      <c r="LQD102" s="395"/>
      <c r="LQE102" s="396"/>
      <c r="LQF102" s="394"/>
      <c r="LQG102" s="395"/>
      <c r="LQH102" s="395"/>
      <c r="LQI102" s="395"/>
      <c r="LQJ102" s="395"/>
      <c r="LQK102" s="395"/>
      <c r="LQL102" s="395"/>
      <c r="LQM102" s="395"/>
      <c r="LQN102" s="395"/>
      <c r="LQO102" s="395"/>
      <c r="LQP102" s="395"/>
      <c r="LQQ102" s="395"/>
      <c r="LQR102" s="395"/>
      <c r="LQS102" s="395"/>
      <c r="LQT102" s="395"/>
      <c r="LQU102" s="395"/>
      <c r="LQV102" s="395"/>
      <c r="LQW102" s="395"/>
      <c r="LQX102" s="395"/>
      <c r="LQY102" s="395"/>
      <c r="LQZ102" s="395"/>
      <c r="LRA102" s="395"/>
      <c r="LRB102" s="395"/>
      <c r="LRC102" s="395"/>
      <c r="LRD102" s="395"/>
      <c r="LRE102" s="395"/>
      <c r="LRF102" s="396"/>
      <c r="LRG102" s="394"/>
      <c r="LRH102" s="395"/>
      <c r="LRI102" s="395"/>
      <c r="LRJ102" s="395"/>
      <c r="LRK102" s="395"/>
      <c r="LRL102" s="395"/>
      <c r="LRM102" s="395"/>
      <c r="LRN102" s="395"/>
      <c r="LRO102" s="395"/>
      <c r="LRP102" s="395"/>
      <c r="LRQ102" s="395"/>
      <c r="LRR102" s="395"/>
      <c r="LRS102" s="395"/>
      <c r="LRT102" s="395"/>
      <c r="LRU102" s="395"/>
      <c r="LRV102" s="395"/>
      <c r="LRW102" s="395"/>
      <c r="LRX102" s="395"/>
      <c r="LRY102" s="395"/>
      <c r="LRZ102" s="395"/>
      <c r="LSA102" s="395"/>
      <c r="LSB102" s="395"/>
      <c r="LSC102" s="395"/>
      <c r="LSD102" s="395"/>
      <c r="LSE102" s="395"/>
      <c r="LSF102" s="395"/>
      <c r="LSG102" s="396"/>
      <c r="LSH102" s="394"/>
      <c r="LSI102" s="395"/>
      <c r="LSJ102" s="395"/>
      <c r="LSK102" s="395"/>
      <c r="LSL102" s="395"/>
      <c r="LSM102" s="395"/>
      <c r="LSN102" s="395"/>
      <c r="LSO102" s="395"/>
      <c r="LSP102" s="395"/>
      <c r="LSQ102" s="395"/>
      <c r="LSR102" s="395"/>
      <c r="LSS102" s="395"/>
      <c r="LST102" s="395"/>
      <c r="LSU102" s="395"/>
      <c r="LSV102" s="395"/>
      <c r="LSW102" s="395"/>
      <c r="LSX102" s="395"/>
      <c r="LSY102" s="395"/>
      <c r="LSZ102" s="395"/>
      <c r="LTA102" s="395"/>
      <c r="LTB102" s="395"/>
      <c r="LTC102" s="395"/>
      <c r="LTD102" s="395"/>
      <c r="LTE102" s="395"/>
      <c r="LTF102" s="395"/>
      <c r="LTG102" s="395"/>
      <c r="LTH102" s="396"/>
      <c r="LTI102" s="394"/>
      <c r="LTJ102" s="395"/>
      <c r="LTK102" s="395"/>
      <c r="LTL102" s="395"/>
      <c r="LTM102" s="395"/>
      <c r="LTN102" s="395"/>
      <c r="LTO102" s="395"/>
      <c r="LTP102" s="395"/>
      <c r="LTQ102" s="395"/>
      <c r="LTR102" s="395"/>
      <c r="LTS102" s="395"/>
      <c r="LTT102" s="395"/>
      <c r="LTU102" s="395"/>
      <c r="LTV102" s="395"/>
      <c r="LTW102" s="395"/>
      <c r="LTX102" s="395"/>
      <c r="LTY102" s="395"/>
      <c r="LTZ102" s="395"/>
      <c r="LUA102" s="395"/>
      <c r="LUB102" s="395"/>
      <c r="LUC102" s="395"/>
      <c r="LUD102" s="395"/>
      <c r="LUE102" s="395"/>
      <c r="LUF102" s="395"/>
      <c r="LUG102" s="395"/>
      <c r="LUH102" s="395"/>
      <c r="LUI102" s="396"/>
      <c r="LUJ102" s="394"/>
      <c r="LUK102" s="395"/>
      <c r="LUL102" s="395"/>
      <c r="LUM102" s="395"/>
      <c r="LUN102" s="395"/>
      <c r="LUO102" s="395"/>
      <c r="LUP102" s="395"/>
      <c r="LUQ102" s="395"/>
      <c r="LUR102" s="395"/>
      <c r="LUS102" s="395"/>
      <c r="LUT102" s="395"/>
      <c r="LUU102" s="395"/>
      <c r="LUV102" s="395"/>
      <c r="LUW102" s="395"/>
      <c r="LUX102" s="395"/>
      <c r="LUY102" s="395"/>
      <c r="LUZ102" s="395"/>
      <c r="LVA102" s="395"/>
      <c r="LVB102" s="395"/>
      <c r="LVC102" s="395"/>
      <c r="LVD102" s="395"/>
      <c r="LVE102" s="395"/>
      <c r="LVF102" s="395"/>
      <c r="LVG102" s="395"/>
      <c r="LVH102" s="395"/>
      <c r="LVI102" s="395"/>
      <c r="LVJ102" s="396"/>
      <c r="LVK102" s="394"/>
      <c r="LVL102" s="395"/>
      <c r="LVM102" s="395"/>
      <c r="LVN102" s="395"/>
      <c r="LVO102" s="395"/>
      <c r="LVP102" s="395"/>
      <c r="LVQ102" s="395"/>
      <c r="LVR102" s="395"/>
      <c r="LVS102" s="395"/>
      <c r="LVT102" s="395"/>
      <c r="LVU102" s="395"/>
      <c r="LVV102" s="395"/>
      <c r="LVW102" s="395"/>
      <c r="LVX102" s="395"/>
      <c r="LVY102" s="395"/>
      <c r="LVZ102" s="395"/>
      <c r="LWA102" s="395"/>
      <c r="LWB102" s="395"/>
      <c r="LWC102" s="395"/>
      <c r="LWD102" s="395"/>
      <c r="LWE102" s="395"/>
      <c r="LWF102" s="395"/>
      <c r="LWG102" s="395"/>
      <c r="LWH102" s="395"/>
      <c r="LWI102" s="395"/>
      <c r="LWJ102" s="395"/>
      <c r="LWK102" s="396"/>
      <c r="LWL102" s="394"/>
      <c r="LWM102" s="395"/>
      <c r="LWN102" s="395"/>
      <c r="LWO102" s="395"/>
      <c r="LWP102" s="395"/>
      <c r="LWQ102" s="395"/>
      <c r="LWR102" s="395"/>
      <c r="LWS102" s="395"/>
      <c r="LWT102" s="395"/>
      <c r="LWU102" s="395"/>
      <c r="LWV102" s="395"/>
      <c r="LWW102" s="395"/>
      <c r="LWX102" s="395"/>
      <c r="LWY102" s="395"/>
      <c r="LWZ102" s="395"/>
      <c r="LXA102" s="395"/>
      <c r="LXB102" s="395"/>
      <c r="LXC102" s="395"/>
      <c r="LXD102" s="395"/>
      <c r="LXE102" s="395"/>
      <c r="LXF102" s="395"/>
      <c r="LXG102" s="395"/>
      <c r="LXH102" s="395"/>
      <c r="LXI102" s="395"/>
      <c r="LXJ102" s="395"/>
      <c r="LXK102" s="395"/>
      <c r="LXL102" s="396"/>
      <c r="LXM102" s="394"/>
      <c r="LXN102" s="395"/>
      <c r="LXO102" s="395"/>
      <c r="LXP102" s="395"/>
      <c r="LXQ102" s="395"/>
      <c r="LXR102" s="395"/>
      <c r="LXS102" s="395"/>
      <c r="LXT102" s="395"/>
      <c r="LXU102" s="395"/>
      <c r="LXV102" s="395"/>
      <c r="LXW102" s="395"/>
      <c r="LXX102" s="395"/>
      <c r="LXY102" s="395"/>
      <c r="LXZ102" s="395"/>
      <c r="LYA102" s="395"/>
      <c r="LYB102" s="395"/>
      <c r="LYC102" s="395"/>
      <c r="LYD102" s="395"/>
      <c r="LYE102" s="395"/>
      <c r="LYF102" s="395"/>
      <c r="LYG102" s="395"/>
      <c r="LYH102" s="395"/>
      <c r="LYI102" s="395"/>
      <c r="LYJ102" s="395"/>
      <c r="LYK102" s="395"/>
      <c r="LYL102" s="395"/>
      <c r="LYM102" s="396"/>
      <c r="LYN102" s="394"/>
      <c r="LYO102" s="395"/>
      <c r="LYP102" s="395"/>
      <c r="LYQ102" s="395"/>
      <c r="LYR102" s="395"/>
      <c r="LYS102" s="395"/>
      <c r="LYT102" s="395"/>
      <c r="LYU102" s="395"/>
      <c r="LYV102" s="395"/>
      <c r="LYW102" s="395"/>
      <c r="LYX102" s="395"/>
      <c r="LYY102" s="395"/>
      <c r="LYZ102" s="395"/>
      <c r="LZA102" s="395"/>
      <c r="LZB102" s="395"/>
      <c r="LZC102" s="395"/>
      <c r="LZD102" s="395"/>
      <c r="LZE102" s="395"/>
      <c r="LZF102" s="395"/>
      <c r="LZG102" s="395"/>
      <c r="LZH102" s="395"/>
      <c r="LZI102" s="395"/>
      <c r="LZJ102" s="395"/>
      <c r="LZK102" s="395"/>
      <c r="LZL102" s="395"/>
      <c r="LZM102" s="395"/>
      <c r="LZN102" s="396"/>
      <c r="LZO102" s="394"/>
      <c r="LZP102" s="395"/>
      <c r="LZQ102" s="395"/>
      <c r="LZR102" s="395"/>
      <c r="LZS102" s="395"/>
      <c r="LZT102" s="395"/>
      <c r="LZU102" s="395"/>
      <c r="LZV102" s="395"/>
      <c r="LZW102" s="395"/>
      <c r="LZX102" s="395"/>
      <c r="LZY102" s="395"/>
      <c r="LZZ102" s="395"/>
      <c r="MAA102" s="395"/>
      <c r="MAB102" s="395"/>
      <c r="MAC102" s="395"/>
      <c r="MAD102" s="395"/>
      <c r="MAE102" s="395"/>
      <c r="MAF102" s="395"/>
      <c r="MAG102" s="395"/>
      <c r="MAH102" s="395"/>
      <c r="MAI102" s="395"/>
      <c r="MAJ102" s="395"/>
      <c r="MAK102" s="395"/>
      <c r="MAL102" s="395"/>
      <c r="MAM102" s="395"/>
      <c r="MAN102" s="395"/>
      <c r="MAO102" s="396"/>
      <c r="MAP102" s="394"/>
      <c r="MAQ102" s="395"/>
      <c r="MAR102" s="395"/>
      <c r="MAS102" s="395"/>
      <c r="MAT102" s="395"/>
      <c r="MAU102" s="395"/>
      <c r="MAV102" s="395"/>
      <c r="MAW102" s="395"/>
      <c r="MAX102" s="395"/>
      <c r="MAY102" s="395"/>
      <c r="MAZ102" s="395"/>
      <c r="MBA102" s="395"/>
      <c r="MBB102" s="395"/>
      <c r="MBC102" s="395"/>
      <c r="MBD102" s="395"/>
      <c r="MBE102" s="395"/>
      <c r="MBF102" s="395"/>
      <c r="MBG102" s="395"/>
      <c r="MBH102" s="395"/>
      <c r="MBI102" s="395"/>
      <c r="MBJ102" s="395"/>
      <c r="MBK102" s="395"/>
      <c r="MBL102" s="395"/>
      <c r="MBM102" s="395"/>
      <c r="MBN102" s="395"/>
      <c r="MBO102" s="395"/>
      <c r="MBP102" s="396"/>
      <c r="MBQ102" s="394"/>
      <c r="MBR102" s="395"/>
      <c r="MBS102" s="395"/>
      <c r="MBT102" s="395"/>
      <c r="MBU102" s="395"/>
      <c r="MBV102" s="395"/>
      <c r="MBW102" s="395"/>
      <c r="MBX102" s="395"/>
      <c r="MBY102" s="395"/>
      <c r="MBZ102" s="395"/>
      <c r="MCA102" s="395"/>
      <c r="MCB102" s="395"/>
      <c r="MCC102" s="395"/>
      <c r="MCD102" s="395"/>
      <c r="MCE102" s="395"/>
      <c r="MCF102" s="395"/>
      <c r="MCG102" s="395"/>
      <c r="MCH102" s="395"/>
      <c r="MCI102" s="395"/>
      <c r="MCJ102" s="395"/>
      <c r="MCK102" s="395"/>
      <c r="MCL102" s="395"/>
      <c r="MCM102" s="395"/>
      <c r="MCN102" s="395"/>
      <c r="MCO102" s="395"/>
      <c r="MCP102" s="395"/>
      <c r="MCQ102" s="396"/>
      <c r="MCR102" s="394"/>
      <c r="MCS102" s="395"/>
      <c r="MCT102" s="395"/>
      <c r="MCU102" s="395"/>
      <c r="MCV102" s="395"/>
      <c r="MCW102" s="395"/>
      <c r="MCX102" s="395"/>
      <c r="MCY102" s="395"/>
      <c r="MCZ102" s="395"/>
      <c r="MDA102" s="395"/>
      <c r="MDB102" s="395"/>
      <c r="MDC102" s="395"/>
      <c r="MDD102" s="395"/>
      <c r="MDE102" s="395"/>
      <c r="MDF102" s="395"/>
      <c r="MDG102" s="395"/>
      <c r="MDH102" s="395"/>
      <c r="MDI102" s="395"/>
      <c r="MDJ102" s="395"/>
      <c r="MDK102" s="395"/>
      <c r="MDL102" s="395"/>
      <c r="MDM102" s="395"/>
      <c r="MDN102" s="395"/>
      <c r="MDO102" s="395"/>
      <c r="MDP102" s="395"/>
      <c r="MDQ102" s="395"/>
      <c r="MDR102" s="396"/>
      <c r="MDS102" s="394"/>
      <c r="MDT102" s="395"/>
      <c r="MDU102" s="395"/>
      <c r="MDV102" s="395"/>
      <c r="MDW102" s="395"/>
      <c r="MDX102" s="395"/>
      <c r="MDY102" s="395"/>
      <c r="MDZ102" s="395"/>
      <c r="MEA102" s="395"/>
      <c r="MEB102" s="395"/>
      <c r="MEC102" s="395"/>
      <c r="MED102" s="395"/>
      <c r="MEE102" s="395"/>
      <c r="MEF102" s="395"/>
      <c r="MEG102" s="395"/>
      <c r="MEH102" s="395"/>
      <c r="MEI102" s="395"/>
      <c r="MEJ102" s="395"/>
      <c r="MEK102" s="395"/>
      <c r="MEL102" s="395"/>
      <c r="MEM102" s="395"/>
      <c r="MEN102" s="395"/>
      <c r="MEO102" s="395"/>
      <c r="MEP102" s="395"/>
      <c r="MEQ102" s="395"/>
      <c r="MER102" s="395"/>
      <c r="MES102" s="396"/>
      <c r="MET102" s="394"/>
      <c r="MEU102" s="395"/>
      <c r="MEV102" s="395"/>
      <c r="MEW102" s="395"/>
      <c r="MEX102" s="395"/>
      <c r="MEY102" s="395"/>
      <c r="MEZ102" s="395"/>
      <c r="MFA102" s="395"/>
      <c r="MFB102" s="395"/>
      <c r="MFC102" s="395"/>
      <c r="MFD102" s="395"/>
      <c r="MFE102" s="395"/>
      <c r="MFF102" s="395"/>
      <c r="MFG102" s="395"/>
      <c r="MFH102" s="395"/>
      <c r="MFI102" s="395"/>
      <c r="MFJ102" s="395"/>
      <c r="MFK102" s="395"/>
      <c r="MFL102" s="395"/>
      <c r="MFM102" s="395"/>
      <c r="MFN102" s="395"/>
      <c r="MFO102" s="395"/>
      <c r="MFP102" s="395"/>
      <c r="MFQ102" s="395"/>
      <c r="MFR102" s="395"/>
      <c r="MFS102" s="395"/>
      <c r="MFT102" s="396"/>
      <c r="MFU102" s="394"/>
      <c r="MFV102" s="395"/>
      <c r="MFW102" s="395"/>
      <c r="MFX102" s="395"/>
      <c r="MFY102" s="395"/>
      <c r="MFZ102" s="395"/>
      <c r="MGA102" s="395"/>
      <c r="MGB102" s="395"/>
      <c r="MGC102" s="395"/>
      <c r="MGD102" s="395"/>
      <c r="MGE102" s="395"/>
      <c r="MGF102" s="395"/>
      <c r="MGG102" s="395"/>
      <c r="MGH102" s="395"/>
      <c r="MGI102" s="395"/>
      <c r="MGJ102" s="395"/>
      <c r="MGK102" s="395"/>
      <c r="MGL102" s="395"/>
      <c r="MGM102" s="395"/>
      <c r="MGN102" s="395"/>
      <c r="MGO102" s="395"/>
      <c r="MGP102" s="395"/>
      <c r="MGQ102" s="395"/>
      <c r="MGR102" s="395"/>
      <c r="MGS102" s="395"/>
      <c r="MGT102" s="395"/>
      <c r="MGU102" s="396"/>
      <c r="MGV102" s="394"/>
      <c r="MGW102" s="395"/>
      <c r="MGX102" s="395"/>
      <c r="MGY102" s="395"/>
      <c r="MGZ102" s="395"/>
      <c r="MHA102" s="395"/>
      <c r="MHB102" s="395"/>
      <c r="MHC102" s="395"/>
      <c r="MHD102" s="395"/>
      <c r="MHE102" s="395"/>
      <c r="MHF102" s="395"/>
      <c r="MHG102" s="395"/>
      <c r="MHH102" s="395"/>
      <c r="MHI102" s="395"/>
      <c r="MHJ102" s="395"/>
      <c r="MHK102" s="395"/>
      <c r="MHL102" s="395"/>
      <c r="MHM102" s="395"/>
      <c r="MHN102" s="395"/>
      <c r="MHO102" s="395"/>
      <c r="MHP102" s="395"/>
      <c r="MHQ102" s="395"/>
      <c r="MHR102" s="395"/>
      <c r="MHS102" s="395"/>
      <c r="MHT102" s="395"/>
      <c r="MHU102" s="395"/>
      <c r="MHV102" s="396"/>
      <c r="MHW102" s="394"/>
      <c r="MHX102" s="395"/>
      <c r="MHY102" s="395"/>
      <c r="MHZ102" s="395"/>
      <c r="MIA102" s="395"/>
      <c r="MIB102" s="395"/>
      <c r="MIC102" s="395"/>
      <c r="MID102" s="395"/>
      <c r="MIE102" s="395"/>
      <c r="MIF102" s="395"/>
      <c r="MIG102" s="395"/>
      <c r="MIH102" s="395"/>
      <c r="MII102" s="395"/>
      <c r="MIJ102" s="395"/>
      <c r="MIK102" s="395"/>
      <c r="MIL102" s="395"/>
      <c r="MIM102" s="395"/>
      <c r="MIN102" s="395"/>
      <c r="MIO102" s="395"/>
      <c r="MIP102" s="395"/>
      <c r="MIQ102" s="395"/>
      <c r="MIR102" s="395"/>
      <c r="MIS102" s="395"/>
      <c r="MIT102" s="395"/>
      <c r="MIU102" s="395"/>
      <c r="MIV102" s="395"/>
      <c r="MIW102" s="396"/>
      <c r="MIX102" s="394"/>
      <c r="MIY102" s="395"/>
      <c r="MIZ102" s="395"/>
      <c r="MJA102" s="395"/>
      <c r="MJB102" s="395"/>
      <c r="MJC102" s="395"/>
      <c r="MJD102" s="395"/>
      <c r="MJE102" s="395"/>
      <c r="MJF102" s="395"/>
      <c r="MJG102" s="395"/>
      <c r="MJH102" s="395"/>
      <c r="MJI102" s="395"/>
      <c r="MJJ102" s="395"/>
      <c r="MJK102" s="395"/>
      <c r="MJL102" s="395"/>
      <c r="MJM102" s="395"/>
      <c r="MJN102" s="395"/>
      <c r="MJO102" s="395"/>
      <c r="MJP102" s="395"/>
      <c r="MJQ102" s="395"/>
      <c r="MJR102" s="395"/>
      <c r="MJS102" s="395"/>
      <c r="MJT102" s="395"/>
      <c r="MJU102" s="395"/>
      <c r="MJV102" s="395"/>
      <c r="MJW102" s="395"/>
      <c r="MJX102" s="396"/>
      <c r="MJY102" s="394"/>
      <c r="MJZ102" s="395"/>
      <c r="MKA102" s="395"/>
      <c r="MKB102" s="395"/>
      <c r="MKC102" s="395"/>
      <c r="MKD102" s="395"/>
      <c r="MKE102" s="395"/>
      <c r="MKF102" s="395"/>
      <c r="MKG102" s="395"/>
      <c r="MKH102" s="395"/>
      <c r="MKI102" s="395"/>
      <c r="MKJ102" s="395"/>
      <c r="MKK102" s="395"/>
      <c r="MKL102" s="395"/>
      <c r="MKM102" s="395"/>
      <c r="MKN102" s="395"/>
      <c r="MKO102" s="395"/>
      <c r="MKP102" s="395"/>
      <c r="MKQ102" s="395"/>
      <c r="MKR102" s="395"/>
      <c r="MKS102" s="395"/>
      <c r="MKT102" s="395"/>
      <c r="MKU102" s="395"/>
      <c r="MKV102" s="395"/>
      <c r="MKW102" s="395"/>
      <c r="MKX102" s="395"/>
      <c r="MKY102" s="396"/>
      <c r="MKZ102" s="394"/>
      <c r="MLA102" s="395"/>
      <c r="MLB102" s="395"/>
      <c r="MLC102" s="395"/>
      <c r="MLD102" s="395"/>
      <c r="MLE102" s="395"/>
      <c r="MLF102" s="395"/>
      <c r="MLG102" s="395"/>
      <c r="MLH102" s="395"/>
      <c r="MLI102" s="395"/>
      <c r="MLJ102" s="395"/>
      <c r="MLK102" s="395"/>
      <c r="MLL102" s="395"/>
      <c r="MLM102" s="395"/>
      <c r="MLN102" s="395"/>
      <c r="MLO102" s="395"/>
      <c r="MLP102" s="395"/>
      <c r="MLQ102" s="395"/>
      <c r="MLR102" s="395"/>
      <c r="MLS102" s="395"/>
      <c r="MLT102" s="395"/>
      <c r="MLU102" s="395"/>
      <c r="MLV102" s="395"/>
      <c r="MLW102" s="395"/>
      <c r="MLX102" s="395"/>
      <c r="MLY102" s="395"/>
      <c r="MLZ102" s="396"/>
      <c r="MMA102" s="394"/>
      <c r="MMB102" s="395"/>
      <c r="MMC102" s="395"/>
      <c r="MMD102" s="395"/>
      <c r="MME102" s="395"/>
      <c r="MMF102" s="395"/>
      <c r="MMG102" s="395"/>
      <c r="MMH102" s="395"/>
      <c r="MMI102" s="395"/>
      <c r="MMJ102" s="395"/>
      <c r="MMK102" s="395"/>
      <c r="MML102" s="395"/>
      <c r="MMM102" s="395"/>
      <c r="MMN102" s="395"/>
      <c r="MMO102" s="395"/>
      <c r="MMP102" s="395"/>
      <c r="MMQ102" s="395"/>
      <c r="MMR102" s="395"/>
      <c r="MMS102" s="395"/>
      <c r="MMT102" s="395"/>
      <c r="MMU102" s="395"/>
      <c r="MMV102" s="395"/>
      <c r="MMW102" s="395"/>
      <c r="MMX102" s="395"/>
      <c r="MMY102" s="395"/>
      <c r="MMZ102" s="395"/>
      <c r="MNA102" s="396"/>
      <c r="MNB102" s="394"/>
      <c r="MNC102" s="395"/>
      <c r="MND102" s="395"/>
      <c r="MNE102" s="395"/>
      <c r="MNF102" s="395"/>
      <c r="MNG102" s="395"/>
      <c r="MNH102" s="395"/>
      <c r="MNI102" s="395"/>
      <c r="MNJ102" s="395"/>
      <c r="MNK102" s="395"/>
      <c r="MNL102" s="395"/>
      <c r="MNM102" s="395"/>
      <c r="MNN102" s="395"/>
      <c r="MNO102" s="395"/>
      <c r="MNP102" s="395"/>
      <c r="MNQ102" s="395"/>
      <c r="MNR102" s="395"/>
      <c r="MNS102" s="395"/>
      <c r="MNT102" s="395"/>
      <c r="MNU102" s="395"/>
      <c r="MNV102" s="395"/>
      <c r="MNW102" s="395"/>
      <c r="MNX102" s="395"/>
      <c r="MNY102" s="395"/>
      <c r="MNZ102" s="395"/>
      <c r="MOA102" s="395"/>
      <c r="MOB102" s="396"/>
      <c r="MOC102" s="394"/>
      <c r="MOD102" s="395"/>
      <c r="MOE102" s="395"/>
      <c r="MOF102" s="395"/>
      <c r="MOG102" s="395"/>
      <c r="MOH102" s="395"/>
      <c r="MOI102" s="395"/>
      <c r="MOJ102" s="395"/>
      <c r="MOK102" s="395"/>
      <c r="MOL102" s="395"/>
      <c r="MOM102" s="395"/>
      <c r="MON102" s="395"/>
      <c r="MOO102" s="395"/>
      <c r="MOP102" s="395"/>
      <c r="MOQ102" s="395"/>
      <c r="MOR102" s="395"/>
      <c r="MOS102" s="395"/>
      <c r="MOT102" s="395"/>
      <c r="MOU102" s="395"/>
      <c r="MOV102" s="395"/>
      <c r="MOW102" s="395"/>
      <c r="MOX102" s="395"/>
      <c r="MOY102" s="395"/>
      <c r="MOZ102" s="395"/>
      <c r="MPA102" s="395"/>
      <c r="MPB102" s="395"/>
      <c r="MPC102" s="396"/>
      <c r="MPD102" s="394"/>
      <c r="MPE102" s="395"/>
      <c r="MPF102" s="395"/>
      <c r="MPG102" s="395"/>
      <c r="MPH102" s="395"/>
      <c r="MPI102" s="395"/>
      <c r="MPJ102" s="395"/>
      <c r="MPK102" s="395"/>
      <c r="MPL102" s="395"/>
      <c r="MPM102" s="395"/>
      <c r="MPN102" s="395"/>
      <c r="MPO102" s="395"/>
      <c r="MPP102" s="395"/>
      <c r="MPQ102" s="395"/>
      <c r="MPR102" s="395"/>
      <c r="MPS102" s="395"/>
      <c r="MPT102" s="395"/>
      <c r="MPU102" s="395"/>
      <c r="MPV102" s="395"/>
      <c r="MPW102" s="395"/>
      <c r="MPX102" s="395"/>
      <c r="MPY102" s="395"/>
      <c r="MPZ102" s="395"/>
      <c r="MQA102" s="395"/>
      <c r="MQB102" s="395"/>
      <c r="MQC102" s="395"/>
      <c r="MQD102" s="396"/>
      <c r="MQE102" s="394"/>
      <c r="MQF102" s="395"/>
      <c r="MQG102" s="395"/>
      <c r="MQH102" s="395"/>
      <c r="MQI102" s="395"/>
      <c r="MQJ102" s="395"/>
      <c r="MQK102" s="395"/>
      <c r="MQL102" s="395"/>
      <c r="MQM102" s="395"/>
      <c r="MQN102" s="395"/>
      <c r="MQO102" s="395"/>
      <c r="MQP102" s="395"/>
      <c r="MQQ102" s="395"/>
      <c r="MQR102" s="395"/>
      <c r="MQS102" s="395"/>
      <c r="MQT102" s="395"/>
      <c r="MQU102" s="395"/>
      <c r="MQV102" s="395"/>
      <c r="MQW102" s="395"/>
      <c r="MQX102" s="395"/>
      <c r="MQY102" s="395"/>
      <c r="MQZ102" s="395"/>
      <c r="MRA102" s="395"/>
      <c r="MRB102" s="395"/>
      <c r="MRC102" s="395"/>
      <c r="MRD102" s="395"/>
      <c r="MRE102" s="396"/>
      <c r="MRF102" s="394"/>
      <c r="MRG102" s="395"/>
      <c r="MRH102" s="395"/>
      <c r="MRI102" s="395"/>
      <c r="MRJ102" s="395"/>
      <c r="MRK102" s="395"/>
      <c r="MRL102" s="395"/>
      <c r="MRM102" s="395"/>
      <c r="MRN102" s="395"/>
      <c r="MRO102" s="395"/>
      <c r="MRP102" s="395"/>
      <c r="MRQ102" s="395"/>
      <c r="MRR102" s="395"/>
      <c r="MRS102" s="395"/>
      <c r="MRT102" s="395"/>
      <c r="MRU102" s="395"/>
      <c r="MRV102" s="395"/>
      <c r="MRW102" s="395"/>
      <c r="MRX102" s="395"/>
      <c r="MRY102" s="395"/>
      <c r="MRZ102" s="395"/>
      <c r="MSA102" s="395"/>
      <c r="MSB102" s="395"/>
      <c r="MSC102" s="395"/>
      <c r="MSD102" s="395"/>
      <c r="MSE102" s="395"/>
      <c r="MSF102" s="396"/>
      <c r="MSG102" s="394"/>
      <c r="MSH102" s="395"/>
      <c r="MSI102" s="395"/>
      <c r="MSJ102" s="395"/>
      <c r="MSK102" s="395"/>
      <c r="MSL102" s="395"/>
      <c r="MSM102" s="395"/>
      <c r="MSN102" s="395"/>
      <c r="MSO102" s="395"/>
      <c r="MSP102" s="395"/>
      <c r="MSQ102" s="395"/>
      <c r="MSR102" s="395"/>
      <c r="MSS102" s="395"/>
      <c r="MST102" s="395"/>
      <c r="MSU102" s="395"/>
      <c r="MSV102" s="395"/>
      <c r="MSW102" s="395"/>
      <c r="MSX102" s="395"/>
      <c r="MSY102" s="395"/>
      <c r="MSZ102" s="395"/>
      <c r="MTA102" s="395"/>
      <c r="MTB102" s="395"/>
      <c r="MTC102" s="395"/>
      <c r="MTD102" s="395"/>
      <c r="MTE102" s="395"/>
      <c r="MTF102" s="395"/>
      <c r="MTG102" s="396"/>
      <c r="MTH102" s="394"/>
      <c r="MTI102" s="395"/>
      <c r="MTJ102" s="395"/>
      <c r="MTK102" s="395"/>
      <c r="MTL102" s="395"/>
      <c r="MTM102" s="395"/>
      <c r="MTN102" s="395"/>
      <c r="MTO102" s="395"/>
      <c r="MTP102" s="395"/>
      <c r="MTQ102" s="395"/>
      <c r="MTR102" s="395"/>
      <c r="MTS102" s="395"/>
      <c r="MTT102" s="395"/>
      <c r="MTU102" s="395"/>
      <c r="MTV102" s="395"/>
      <c r="MTW102" s="395"/>
      <c r="MTX102" s="395"/>
      <c r="MTY102" s="395"/>
      <c r="MTZ102" s="395"/>
      <c r="MUA102" s="395"/>
      <c r="MUB102" s="395"/>
      <c r="MUC102" s="395"/>
      <c r="MUD102" s="395"/>
      <c r="MUE102" s="395"/>
      <c r="MUF102" s="395"/>
      <c r="MUG102" s="395"/>
      <c r="MUH102" s="396"/>
      <c r="MUI102" s="394"/>
      <c r="MUJ102" s="395"/>
      <c r="MUK102" s="395"/>
      <c r="MUL102" s="395"/>
      <c r="MUM102" s="395"/>
      <c r="MUN102" s="395"/>
      <c r="MUO102" s="395"/>
      <c r="MUP102" s="395"/>
      <c r="MUQ102" s="395"/>
      <c r="MUR102" s="395"/>
      <c r="MUS102" s="395"/>
      <c r="MUT102" s="395"/>
      <c r="MUU102" s="395"/>
      <c r="MUV102" s="395"/>
      <c r="MUW102" s="395"/>
      <c r="MUX102" s="395"/>
      <c r="MUY102" s="395"/>
      <c r="MUZ102" s="395"/>
      <c r="MVA102" s="395"/>
      <c r="MVB102" s="395"/>
      <c r="MVC102" s="395"/>
      <c r="MVD102" s="395"/>
      <c r="MVE102" s="395"/>
      <c r="MVF102" s="395"/>
      <c r="MVG102" s="395"/>
      <c r="MVH102" s="395"/>
      <c r="MVI102" s="396"/>
      <c r="MVJ102" s="394"/>
      <c r="MVK102" s="395"/>
      <c r="MVL102" s="395"/>
      <c r="MVM102" s="395"/>
      <c r="MVN102" s="395"/>
      <c r="MVO102" s="395"/>
      <c r="MVP102" s="395"/>
      <c r="MVQ102" s="395"/>
      <c r="MVR102" s="395"/>
      <c r="MVS102" s="395"/>
      <c r="MVT102" s="395"/>
      <c r="MVU102" s="395"/>
      <c r="MVV102" s="395"/>
      <c r="MVW102" s="395"/>
      <c r="MVX102" s="395"/>
      <c r="MVY102" s="395"/>
      <c r="MVZ102" s="395"/>
      <c r="MWA102" s="395"/>
      <c r="MWB102" s="395"/>
      <c r="MWC102" s="395"/>
      <c r="MWD102" s="395"/>
      <c r="MWE102" s="395"/>
      <c r="MWF102" s="395"/>
      <c r="MWG102" s="395"/>
      <c r="MWH102" s="395"/>
      <c r="MWI102" s="395"/>
      <c r="MWJ102" s="396"/>
      <c r="MWK102" s="394"/>
      <c r="MWL102" s="395"/>
      <c r="MWM102" s="395"/>
      <c r="MWN102" s="395"/>
      <c r="MWO102" s="395"/>
      <c r="MWP102" s="395"/>
      <c r="MWQ102" s="395"/>
      <c r="MWR102" s="395"/>
      <c r="MWS102" s="395"/>
      <c r="MWT102" s="395"/>
      <c r="MWU102" s="395"/>
      <c r="MWV102" s="395"/>
      <c r="MWW102" s="395"/>
      <c r="MWX102" s="395"/>
      <c r="MWY102" s="395"/>
      <c r="MWZ102" s="395"/>
      <c r="MXA102" s="395"/>
      <c r="MXB102" s="395"/>
      <c r="MXC102" s="395"/>
      <c r="MXD102" s="395"/>
      <c r="MXE102" s="395"/>
      <c r="MXF102" s="395"/>
      <c r="MXG102" s="395"/>
      <c r="MXH102" s="395"/>
      <c r="MXI102" s="395"/>
      <c r="MXJ102" s="395"/>
      <c r="MXK102" s="396"/>
      <c r="MXL102" s="394"/>
      <c r="MXM102" s="395"/>
      <c r="MXN102" s="395"/>
      <c r="MXO102" s="395"/>
      <c r="MXP102" s="395"/>
      <c r="MXQ102" s="395"/>
      <c r="MXR102" s="395"/>
      <c r="MXS102" s="395"/>
      <c r="MXT102" s="395"/>
      <c r="MXU102" s="395"/>
      <c r="MXV102" s="395"/>
      <c r="MXW102" s="395"/>
      <c r="MXX102" s="395"/>
      <c r="MXY102" s="395"/>
      <c r="MXZ102" s="395"/>
      <c r="MYA102" s="395"/>
      <c r="MYB102" s="395"/>
      <c r="MYC102" s="395"/>
      <c r="MYD102" s="395"/>
      <c r="MYE102" s="395"/>
      <c r="MYF102" s="395"/>
      <c r="MYG102" s="395"/>
      <c r="MYH102" s="395"/>
      <c r="MYI102" s="395"/>
      <c r="MYJ102" s="395"/>
      <c r="MYK102" s="395"/>
      <c r="MYL102" s="396"/>
      <c r="MYM102" s="394"/>
      <c r="MYN102" s="395"/>
      <c r="MYO102" s="395"/>
      <c r="MYP102" s="395"/>
      <c r="MYQ102" s="395"/>
      <c r="MYR102" s="395"/>
      <c r="MYS102" s="395"/>
      <c r="MYT102" s="395"/>
      <c r="MYU102" s="395"/>
      <c r="MYV102" s="395"/>
      <c r="MYW102" s="395"/>
      <c r="MYX102" s="395"/>
      <c r="MYY102" s="395"/>
      <c r="MYZ102" s="395"/>
      <c r="MZA102" s="395"/>
      <c r="MZB102" s="395"/>
      <c r="MZC102" s="395"/>
      <c r="MZD102" s="395"/>
      <c r="MZE102" s="395"/>
      <c r="MZF102" s="395"/>
      <c r="MZG102" s="395"/>
      <c r="MZH102" s="395"/>
      <c r="MZI102" s="395"/>
      <c r="MZJ102" s="395"/>
      <c r="MZK102" s="395"/>
      <c r="MZL102" s="395"/>
      <c r="MZM102" s="396"/>
      <c r="MZN102" s="394"/>
      <c r="MZO102" s="395"/>
      <c r="MZP102" s="395"/>
      <c r="MZQ102" s="395"/>
      <c r="MZR102" s="395"/>
      <c r="MZS102" s="395"/>
      <c r="MZT102" s="395"/>
      <c r="MZU102" s="395"/>
      <c r="MZV102" s="395"/>
      <c r="MZW102" s="395"/>
      <c r="MZX102" s="395"/>
      <c r="MZY102" s="395"/>
      <c r="MZZ102" s="395"/>
      <c r="NAA102" s="395"/>
      <c r="NAB102" s="395"/>
      <c r="NAC102" s="395"/>
      <c r="NAD102" s="395"/>
      <c r="NAE102" s="395"/>
      <c r="NAF102" s="395"/>
      <c r="NAG102" s="395"/>
      <c r="NAH102" s="395"/>
      <c r="NAI102" s="395"/>
      <c r="NAJ102" s="395"/>
      <c r="NAK102" s="395"/>
      <c r="NAL102" s="395"/>
      <c r="NAM102" s="395"/>
      <c r="NAN102" s="396"/>
      <c r="NAO102" s="394"/>
      <c r="NAP102" s="395"/>
      <c r="NAQ102" s="395"/>
      <c r="NAR102" s="395"/>
      <c r="NAS102" s="395"/>
      <c r="NAT102" s="395"/>
      <c r="NAU102" s="395"/>
      <c r="NAV102" s="395"/>
      <c r="NAW102" s="395"/>
      <c r="NAX102" s="395"/>
      <c r="NAY102" s="395"/>
      <c r="NAZ102" s="395"/>
      <c r="NBA102" s="395"/>
      <c r="NBB102" s="395"/>
      <c r="NBC102" s="395"/>
      <c r="NBD102" s="395"/>
      <c r="NBE102" s="395"/>
      <c r="NBF102" s="395"/>
      <c r="NBG102" s="395"/>
      <c r="NBH102" s="395"/>
      <c r="NBI102" s="395"/>
      <c r="NBJ102" s="395"/>
      <c r="NBK102" s="395"/>
      <c r="NBL102" s="395"/>
      <c r="NBM102" s="395"/>
      <c r="NBN102" s="395"/>
      <c r="NBO102" s="396"/>
      <c r="NBP102" s="394"/>
      <c r="NBQ102" s="395"/>
      <c r="NBR102" s="395"/>
      <c r="NBS102" s="395"/>
      <c r="NBT102" s="395"/>
      <c r="NBU102" s="395"/>
      <c r="NBV102" s="395"/>
      <c r="NBW102" s="395"/>
      <c r="NBX102" s="395"/>
      <c r="NBY102" s="395"/>
      <c r="NBZ102" s="395"/>
      <c r="NCA102" s="395"/>
      <c r="NCB102" s="395"/>
      <c r="NCC102" s="395"/>
      <c r="NCD102" s="395"/>
      <c r="NCE102" s="395"/>
      <c r="NCF102" s="395"/>
      <c r="NCG102" s="395"/>
      <c r="NCH102" s="395"/>
      <c r="NCI102" s="395"/>
      <c r="NCJ102" s="395"/>
      <c r="NCK102" s="395"/>
      <c r="NCL102" s="395"/>
      <c r="NCM102" s="395"/>
      <c r="NCN102" s="395"/>
      <c r="NCO102" s="395"/>
      <c r="NCP102" s="396"/>
      <c r="NCQ102" s="394"/>
      <c r="NCR102" s="395"/>
      <c r="NCS102" s="395"/>
      <c r="NCT102" s="395"/>
      <c r="NCU102" s="395"/>
      <c r="NCV102" s="395"/>
      <c r="NCW102" s="395"/>
      <c r="NCX102" s="395"/>
      <c r="NCY102" s="395"/>
      <c r="NCZ102" s="395"/>
      <c r="NDA102" s="395"/>
      <c r="NDB102" s="395"/>
      <c r="NDC102" s="395"/>
      <c r="NDD102" s="395"/>
      <c r="NDE102" s="395"/>
      <c r="NDF102" s="395"/>
      <c r="NDG102" s="395"/>
      <c r="NDH102" s="395"/>
      <c r="NDI102" s="395"/>
      <c r="NDJ102" s="395"/>
      <c r="NDK102" s="395"/>
      <c r="NDL102" s="395"/>
      <c r="NDM102" s="395"/>
      <c r="NDN102" s="395"/>
      <c r="NDO102" s="395"/>
      <c r="NDP102" s="395"/>
      <c r="NDQ102" s="396"/>
      <c r="NDR102" s="394"/>
      <c r="NDS102" s="395"/>
      <c r="NDT102" s="395"/>
      <c r="NDU102" s="395"/>
      <c r="NDV102" s="395"/>
      <c r="NDW102" s="395"/>
      <c r="NDX102" s="395"/>
      <c r="NDY102" s="395"/>
      <c r="NDZ102" s="395"/>
      <c r="NEA102" s="395"/>
      <c r="NEB102" s="395"/>
      <c r="NEC102" s="395"/>
      <c r="NED102" s="395"/>
      <c r="NEE102" s="395"/>
      <c r="NEF102" s="395"/>
      <c r="NEG102" s="395"/>
      <c r="NEH102" s="395"/>
      <c r="NEI102" s="395"/>
      <c r="NEJ102" s="395"/>
      <c r="NEK102" s="395"/>
      <c r="NEL102" s="395"/>
      <c r="NEM102" s="395"/>
      <c r="NEN102" s="395"/>
      <c r="NEO102" s="395"/>
      <c r="NEP102" s="395"/>
      <c r="NEQ102" s="395"/>
      <c r="NER102" s="396"/>
      <c r="NES102" s="394"/>
      <c r="NET102" s="395"/>
      <c r="NEU102" s="395"/>
      <c r="NEV102" s="395"/>
      <c r="NEW102" s="395"/>
      <c r="NEX102" s="395"/>
      <c r="NEY102" s="395"/>
      <c r="NEZ102" s="395"/>
      <c r="NFA102" s="395"/>
      <c r="NFB102" s="395"/>
      <c r="NFC102" s="395"/>
      <c r="NFD102" s="395"/>
      <c r="NFE102" s="395"/>
      <c r="NFF102" s="395"/>
      <c r="NFG102" s="395"/>
      <c r="NFH102" s="395"/>
      <c r="NFI102" s="395"/>
      <c r="NFJ102" s="395"/>
      <c r="NFK102" s="395"/>
      <c r="NFL102" s="395"/>
      <c r="NFM102" s="395"/>
      <c r="NFN102" s="395"/>
      <c r="NFO102" s="395"/>
      <c r="NFP102" s="395"/>
      <c r="NFQ102" s="395"/>
      <c r="NFR102" s="395"/>
      <c r="NFS102" s="396"/>
      <c r="NFT102" s="394"/>
      <c r="NFU102" s="395"/>
      <c r="NFV102" s="395"/>
      <c r="NFW102" s="395"/>
      <c r="NFX102" s="395"/>
      <c r="NFY102" s="395"/>
      <c r="NFZ102" s="395"/>
      <c r="NGA102" s="395"/>
      <c r="NGB102" s="395"/>
      <c r="NGC102" s="395"/>
      <c r="NGD102" s="395"/>
      <c r="NGE102" s="395"/>
      <c r="NGF102" s="395"/>
      <c r="NGG102" s="395"/>
      <c r="NGH102" s="395"/>
      <c r="NGI102" s="395"/>
      <c r="NGJ102" s="395"/>
      <c r="NGK102" s="395"/>
      <c r="NGL102" s="395"/>
      <c r="NGM102" s="395"/>
      <c r="NGN102" s="395"/>
      <c r="NGO102" s="395"/>
      <c r="NGP102" s="395"/>
      <c r="NGQ102" s="395"/>
      <c r="NGR102" s="395"/>
      <c r="NGS102" s="395"/>
      <c r="NGT102" s="396"/>
      <c r="NGU102" s="394"/>
      <c r="NGV102" s="395"/>
      <c r="NGW102" s="395"/>
      <c r="NGX102" s="395"/>
      <c r="NGY102" s="395"/>
      <c r="NGZ102" s="395"/>
      <c r="NHA102" s="395"/>
      <c r="NHB102" s="395"/>
      <c r="NHC102" s="395"/>
      <c r="NHD102" s="395"/>
      <c r="NHE102" s="395"/>
      <c r="NHF102" s="395"/>
      <c r="NHG102" s="395"/>
      <c r="NHH102" s="395"/>
      <c r="NHI102" s="395"/>
      <c r="NHJ102" s="395"/>
      <c r="NHK102" s="395"/>
      <c r="NHL102" s="395"/>
      <c r="NHM102" s="395"/>
      <c r="NHN102" s="395"/>
      <c r="NHO102" s="395"/>
      <c r="NHP102" s="395"/>
      <c r="NHQ102" s="395"/>
      <c r="NHR102" s="395"/>
      <c r="NHS102" s="395"/>
      <c r="NHT102" s="395"/>
      <c r="NHU102" s="396"/>
      <c r="NHV102" s="394"/>
      <c r="NHW102" s="395"/>
      <c r="NHX102" s="395"/>
      <c r="NHY102" s="395"/>
      <c r="NHZ102" s="395"/>
      <c r="NIA102" s="395"/>
      <c r="NIB102" s="395"/>
      <c r="NIC102" s="395"/>
      <c r="NID102" s="395"/>
      <c r="NIE102" s="395"/>
      <c r="NIF102" s="395"/>
      <c r="NIG102" s="395"/>
      <c r="NIH102" s="395"/>
      <c r="NII102" s="395"/>
      <c r="NIJ102" s="395"/>
      <c r="NIK102" s="395"/>
      <c r="NIL102" s="395"/>
      <c r="NIM102" s="395"/>
      <c r="NIN102" s="395"/>
      <c r="NIO102" s="395"/>
      <c r="NIP102" s="395"/>
      <c r="NIQ102" s="395"/>
      <c r="NIR102" s="395"/>
      <c r="NIS102" s="395"/>
      <c r="NIT102" s="395"/>
      <c r="NIU102" s="395"/>
      <c r="NIV102" s="396"/>
      <c r="NIW102" s="394"/>
      <c r="NIX102" s="395"/>
      <c r="NIY102" s="395"/>
      <c r="NIZ102" s="395"/>
      <c r="NJA102" s="395"/>
      <c r="NJB102" s="395"/>
      <c r="NJC102" s="395"/>
      <c r="NJD102" s="395"/>
      <c r="NJE102" s="395"/>
      <c r="NJF102" s="395"/>
      <c r="NJG102" s="395"/>
      <c r="NJH102" s="395"/>
      <c r="NJI102" s="395"/>
      <c r="NJJ102" s="395"/>
      <c r="NJK102" s="395"/>
      <c r="NJL102" s="395"/>
      <c r="NJM102" s="395"/>
      <c r="NJN102" s="395"/>
      <c r="NJO102" s="395"/>
      <c r="NJP102" s="395"/>
      <c r="NJQ102" s="395"/>
      <c r="NJR102" s="395"/>
      <c r="NJS102" s="395"/>
      <c r="NJT102" s="395"/>
      <c r="NJU102" s="395"/>
      <c r="NJV102" s="395"/>
      <c r="NJW102" s="396"/>
      <c r="NJX102" s="394"/>
      <c r="NJY102" s="395"/>
      <c r="NJZ102" s="395"/>
      <c r="NKA102" s="395"/>
      <c r="NKB102" s="395"/>
      <c r="NKC102" s="395"/>
      <c r="NKD102" s="395"/>
      <c r="NKE102" s="395"/>
      <c r="NKF102" s="395"/>
      <c r="NKG102" s="395"/>
      <c r="NKH102" s="395"/>
      <c r="NKI102" s="395"/>
      <c r="NKJ102" s="395"/>
      <c r="NKK102" s="395"/>
      <c r="NKL102" s="395"/>
      <c r="NKM102" s="395"/>
      <c r="NKN102" s="395"/>
      <c r="NKO102" s="395"/>
      <c r="NKP102" s="395"/>
      <c r="NKQ102" s="395"/>
      <c r="NKR102" s="395"/>
      <c r="NKS102" s="395"/>
      <c r="NKT102" s="395"/>
      <c r="NKU102" s="395"/>
      <c r="NKV102" s="395"/>
      <c r="NKW102" s="395"/>
      <c r="NKX102" s="396"/>
      <c r="NKY102" s="394"/>
      <c r="NKZ102" s="395"/>
      <c r="NLA102" s="395"/>
      <c r="NLB102" s="395"/>
      <c r="NLC102" s="395"/>
      <c r="NLD102" s="395"/>
      <c r="NLE102" s="395"/>
      <c r="NLF102" s="395"/>
      <c r="NLG102" s="395"/>
      <c r="NLH102" s="395"/>
      <c r="NLI102" s="395"/>
      <c r="NLJ102" s="395"/>
      <c r="NLK102" s="395"/>
      <c r="NLL102" s="395"/>
      <c r="NLM102" s="395"/>
      <c r="NLN102" s="395"/>
      <c r="NLO102" s="395"/>
      <c r="NLP102" s="395"/>
      <c r="NLQ102" s="395"/>
      <c r="NLR102" s="395"/>
      <c r="NLS102" s="395"/>
      <c r="NLT102" s="395"/>
      <c r="NLU102" s="395"/>
      <c r="NLV102" s="395"/>
      <c r="NLW102" s="395"/>
      <c r="NLX102" s="395"/>
      <c r="NLY102" s="396"/>
      <c r="NLZ102" s="394"/>
      <c r="NMA102" s="395"/>
      <c r="NMB102" s="395"/>
      <c r="NMC102" s="395"/>
      <c r="NMD102" s="395"/>
      <c r="NME102" s="395"/>
      <c r="NMF102" s="395"/>
      <c r="NMG102" s="395"/>
      <c r="NMH102" s="395"/>
      <c r="NMI102" s="395"/>
      <c r="NMJ102" s="395"/>
      <c r="NMK102" s="395"/>
      <c r="NML102" s="395"/>
      <c r="NMM102" s="395"/>
      <c r="NMN102" s="395"/>
      <c r="NMO102" s="395"/>
      <c r="NMP102" s="395"/>
      <c r="NMQ102" s="395"/>
      <c r="NMR102" s="395"/>
      <c r="NMS102" s="395"/>
      <c r="NMT102" s="395"/>
      <c r="NMU102" s="395"/>
      <c r="NMV102" s="395"/>
      <c r="NMW102" s="395"/>
      <c r="NMX102" s="395"/>
      <c r="NMY102" s="395"/>
      <c r="NMZ102" s="396"/>
      <c r="NNA102" s="394"/>
      <c r="NNB102" s="395"/>
      <c r="NNC102" s="395"/>
      <c r="NND102" s="395"/>
      <c r="NNE102" s="395"/>
      <c r="NNF102" s="395"/>
      <c r="NNG102" s="395"/>
      <c r="NNH102" s="395"/>
      <c r="NNI102" s="395"/>
      <c r="NNJ102" s="395"/>
      <c r="NNK102" s="395"/>
      <c r="NNL102" s="395"/>
      <c r="NNM102" s="395"/>
      <c r="NNN102" s="395"/>
      <c r="NNO102" s="395"/>
      <c r="NNP102" s="395"/>
      <c r="NNQ102" s="395"/>
      <c r="NNR102" s="395"/>
      <c r="NNS102" s="395"/>
      <c r="NNT102" s="395"/>
      <c r="NNU102" s="395"/>
      <c r="NNV102" s="395"/>
      <c r="NNW102" s="395"/>
      <c r="NNX102" s="395"/>
      <c r="NNY102" s="395"/>
      <c r="NNZ102" s="395"/>
      <c r="NOA102" s="396"/>
      <c r="NOB102" s="394"/>
      <c r="NOC102" s="395"/>
      <c r="NOD102" s="395"/>
      <c r="NOE102" s="395"/>
      <c r="NOF102" s="395"/>
      <c r="NOG102" s="395"/>
      <c r="NOH102" s="395"/>
      <c r="NOI102" s="395"/>
      <c r="NOJ102" s="395"/>
      <c r="NOK102" s="395"/>
      <c r="NOL102" s="395"/>
      <c r="NOM102" s="395"/>
      <c r="NON102" s="395"/>
      <c r="NOO102" s="395"/>
      <c r="NOP102" s="395"/>
      <c r="NOQ102" s="395"/>
      <c r="NOR102" s="395"/>
      <c r="NOS102" s="395"/>
      <c r="NOT102" s="395"/>
      <c r="NOU102" s="395"/>
      <c r="NOV102" s="395"/>
      <c r="NOW102" s="395"/>
      <c r="NOX102" s="395"/>
      <c r="NOY102" s="395"/>
      <c r="NOZ102" s="395"/>
      <c r="NPA102" s="395"/>
      <c r="NPB102" s="396"/>
      <c r="NPC102" s="394"/>
      <c r="NPD102" s="395"/>
      <c r="NPE102" s="395"/>
      <c r="NPF102" s="395"/>
      <c r="NPG102" s="395"/>
      <c r="NPH102" s="395"/>
      <c r="NPI102" s="395"/>
      <c r="NPJ102" s="395"/>
      <c r="NPK102" s="395"/>
      <c r="NPL102" s="395"/>
      <c r="NPM102" s="395"/>
      <c r="NPN102" s="395"/>
      <c r="NPO102" s="395"/>
      <c r="NPP102" s="395"/>
      <c r="NPQ102" s="395"/>
      <c r="NPR102" s="395"/>
      <c r="NPS102" s="395"/>
      <c r="NPT102" s="395"/>
      <c r="NPU102" s="395"/>
      <c r="NPV102" s="395"/>
      <c r="NPW102" s="395"/>
      <c r="NPX102" s="395"/>
      <c r="NPY102" s="395"/>
      <c r="NPZ102" s="395"/>
      <c r="NQA102" s="395"/>
      <c r="NQB102" s="395"/>
      <c r="NQC102" s="396"/>
      <c r="NQD102" s="394"/>
      <c r="NQE102" s="395"/>
      <c r="NQF102" s="395"/>
      <c r="NQG102" s="395"/>
      <c r="NQH102" s="395"/>
      <c r="NQI102" s="395"/>
      <c r="NQJ102" s="395"/>
      <c r="NQK102" s="395"/>
      <c r="NQL102" s="395"/>
      <c r="NQM102" s="395"/>
      <c r="NQN102" s="395"/>
      <c r="NQO102" s="395"/>
      <c r="NQP102" s="395"/>
      <c r="NQQ102" s="395"/>
      <c r="NQR102" s="395"/>
      <c r="NQS102" s="395"/>
      <c r="NQT102" s="395"/>
      <c r="NQU102" s="395"/>
      <c r="NQV102" s="395"/>
      <c r="NQW102" s="395"/>
      <c r="NQX102" s="395"/>
      <c r="NQY102" s="395"/>
      <c r="NQZ102" s="395"/>
      <c r="NRA102" s="395"/>
      <c r="NRB102" s="395"/>
      <c r="NRC102" s="395"/>
      <c r="NRD102" s="396"/>
      <c r="NRE102" s="394"/>
      <c r="NRF102" s="395"/>
      <c r="NRG102" s="395"/>
      <c r="NRH102" s="395"/>
      <c r="NRI102" s="395"/>
      <c r="NRJ102" s="395"/>
      <c r="NRK102" s="395"/>
      <c r="NRL102" s="395"/>
      <c r="NRM102" s="395"/>
      <c r="NRN102" s="395"/>
      <c r="NRO102" s="395"/>
      <c r="NRP102" s="395"/>
      <c r="NRQ102" s="395"/>
      <c r="NRR102" s="395"/>
      <c r="NRS102" s="395"/>
      <c r="NRT102" s="395"/>
      <c r="NRU102" s="395"/>
      <c r="NRV102" s="395"/>
      <c r="NRW102" s="395"/>
      <c r="NRX102" s="395"/>
      <c r="NRY102" s="395"/>
      <c r="NRZ102" s="395"/>
      <c r="NSA102" s="395"/>
      <c r="NSB102" s="395"/>
      <c r="NSC102" s="395"/>
      <c r="NSD102" s="395"/>
      <c r="NSE102" s="396"/>
      <c r="NSF102" s="394"/>
      <c r="NSG102" s="395"/>
      <c r="NSH102" s="395"/>
      <c r="NSI102" s="395"/>
      <c r="NSJ102" s="395"/>
      <c r="NSK102" s="395"/>
      <c r="NSL102" s="395"/>
      <c r="NSM102" s="395"/>
      <c r="NSN102" s="395"/>
      <c r="NSO102" s="395"/>
      <c r="NSP102" s="395"/>
      <c r="NSQ102" s="395"/>
      <c r="NSR102" s="395"/>
      <c r="NSS102" s="395"/>
      <c r="NST102" s="395"/>
      <c r="NSU102" s="395"/>
      <c r="NSV102" s="395"/>
      <c r="NSW102" s="395"/>
      <c r="NSX102" s="395"/>
      <c r="NSY102" s="395"/>
      <c r="NSZ102" s="395"/>
      <c r="NTA102" s="395"/>
      <c r="NTB102" s="395"/>
      <c r="NTC102" s="395"/>
      <c r="NTD102" s="395"/>
      <c r="NTE102" s="395"/>
      <c r="NTF102" s="396"/>
      <c r="NTG102" s="394"/>
      <c r="NTH102" s="395"/>
      <c r="NTI102" s="395"/>
      <c r="NTJ102" s="395"/>
      <c r="NTK102" s="395"/>
      <c r="NTL102" s="395"/>
      <c r="NTM102" s="395"/>
      <c r="NTN102" s="395"/>
      <c r="NTO102" s="395"/>
      <c r="NTP102" s="395"/>
      <c r="NTQ102" s="395"/>
      <c r="NTR102" s="395"/>
      <c r="NTS102" s="395"/>
      <c r="NTT102" s="395"/>
      <c r="NTU102" s="395"/>
      <c r="NTV102" s="395"/>
      <c r="NTW102" s="395"/>
      <c r="NTX102" s="395"/>
      <c r="NTY102" s="395"/>
      <c r="NTZ102" s="395"/>
      <c r="NUA102" s="395"/>
      <c r="NUB102" s="395"/>
      <c r="NUC102" s="395"/>
      <c r="NUD102" s="395"/>
      <c r="NUE102" s="395"/>
      <c r="NUF102" s="395"/>
      <c r="NUG102" s="396"/>
      <c r="NUH102" s="394"/>
      <c r="NUI102" s="395"/>
      <c r="NUJ102" s="395"/>
      <c r="NUK102" s="395"/>
      <c r="NUL102" s="395"/>
      <c r="NUM102" s="395"/>
      <c r="NUN102" s="395"/>
      <c r="NUO102" s="395"/>
      <c r="NUP102" s="395"/>
      <c r="NUQ102" s="395"/>
      <c r="NUR102" s="395"/>
      <c r="NUS102" s="395"/>
      <c r="NUT102" s="395"/>
      <c r="NUU102" s="395"/>
      <c r="NUV102" s="395"/>
      <c r="NUW102" s="395"/>
      <c r="NUX102" s="395"/>
      <c r="NUY102" s="395"/>
      <c r="NUZ102" s="395"/>
      <c r="NVA102" s="395"/>
      <c r="NVB102" s="395"/>
      <c r="NVC102" s="395"/>
      <c r="NVD102" s="395"/>
      <c r="NVE102" s="395"/>
      <c r="NVF102" s="395"/>
      <c r="NVG102" s="395"/>
      <c r="NVH102" s="396"/>
      <c r="NVI102" s="394"/>
      <c r="NVJ102" s="395"/>
      <c r="NVK102" s="395"/>
      <c r="NVL102" s="395"/>
      <c r="NVM102" s="395"/>
      <c r="NVN102" s="395"/>
      <c r="NVO102" s="395"/>
      <c r="NVP102" s="395"/>
      <c r="NVQ102" s="395"/>
      <c r="NVR102" s="395"/>
      <c r="NVS102" s="395"/>
      <c r="NVT102" s="395"/>
      <c r="NVU102" s="395"/>
      <c r="NVV102" s="395"/>
      <c r="NVW102" s="395"/>
      <c r="NVX102" s="395"/>
      <c r="NVY102" s="395"/>
      <c r="NVZ102" s="395"/>
      <c r="NWA102" s="395"/>
      <c r="NWB102" s="395"/>
      <c r="NWC102" s="395"/>
      <c r="NWD102" s="395"/>
      <c r="NWE102" s="395"/>
      <c r="NWF102" s="395"/>
      <c r="NWG102" s="395"/>
      <c r="NWH102" s="395"/>
      <c r="NWI102" s="396"/>
      <c r="NWJ102" s="394"/>
      <c r="NWK102" s="395"/>
      <c r="NWL102" s="395"/>
      <c r="NWM102" s="395"/>
      <c r="NWN102" s="395"/>
      <c r="NWO102" s="395"/>
      <c r="NWP102" s="395"/>
      <c r="NWQ102" s="395"/>
      <c r="NWR102" s="395"/>
      <c r="NWS102" s="395"/>
      <c r="NWT102" s="395"/>
      <c r="NWU102" s="395"/>
      <c r="NWV102" s="395"/>
      <c r="NWW102" s="395"/>
      <c r="NWX102" s="395"/>
      <c r="NWY102" s="395"/>
      <c r="NWZ102" s="395"/>
      <c r="NXA102" s="395"/>
      <c r="NXB102" s="395"/>
      <c r="NXC102" s="395"/>
      <c r="NXD102" s="395"/>
      <c r="NXE102" s="395"/>
      <c r="NXF102" s="395"/>
      <c r="NXG102" s="395"/>
      <c r="NXH102" s="395"/>
      <c r="NXI102" s="395"/>
      <c r="NXJ102" s="396"/>
      <c r="NXK102" s="394"/>
      <c r="NXL102" s="395"/>
      <c r="NXM102" s="395"/>
      <c r="NXN102" s="395"/>
      <c r="NXO102" s="395"/>
      <c r="NXP102" s="395"/>
      <c r="NXQ102" s="395"/>
      <c r="NXR102" s="395"/>
      <c r="NXS102" s="395"/>
      <c r="NXT102" s="395"/>
      <c r="NXU102" s="395"/>
      <c r="NXV102" s="395"/>
      <c r="NXW102" s="395"/>
      <c r="NXX102" s="395"/>
      <c r="NXY102" s="395"/>
      <c r="NXZ102" s="395"/>
      <c r="NYA102" s="395"/>
      <c r="NYB102" s="395"/>
      <c r="NYC102" s="395"/>
      <c r="NYD102" s="395"/>
      <c r="NYE102" s="395"/>
      <c r="NYF102" s="395"/>
      <c r="NYG102" s="395"/>
      <c r="NYH102" s="395"/>
      <c r="NYI102" s="395"/>
      <c r="NYJ102" s="395"/>
      <c r="NYK102" s="396"/>
      <c r="NYL102" s="394"/>
      <c r="NYM102" s="395"/>
      <c r="NYN102" s="395"/>
      <c r="NYO102" s="395"/>
      <c r="NYP102" s="395"/>
      <c r="NYQ102" s="395"/>
      <c r="NYR102" s="395"/>
      <c r="NYS102" s="395"/>
      <c r="NYT102" s="395"/>
      <c r="NYU102" s="395"/>
      <c r="NYV102" s="395"/>
      <c r="NYW102" s="395"/>
      <c r="NYX102" s="395"/>
      <c r="NYY102" s="395"/>
      <c r="NYZ102" s="395"/>
      <c r="NZA102" s="395"/>
      <c r="NZB102" s="395"/>
      <c r="NZC102" s="395"/>
      <c r="NZD102" s="395"/>
      <c r="NZE102" s="395"/>
      <c r="NZF102" s="395"/>
      <c r="NZG102" s="395"/>
      <c r="NZH102" s="395"/>
      <c r="NZI102" s="395"/>
      <c r="NZJ102" s="395"/>
      <c r="NZK102" s="395"/>
      <c r="NZL102" s="396"/>
      <c r="NZM102" s="394"/>
      <c r="NZN102" s="395"/>
      <c r="NZO102" s="395"/>
      <c r="NZP102" s="395"/>
      <c r="NZQ102" s="395"/>
      <c r="NZR102" s="395"/>
      <c r="NZS102" s="395"/>
      <c r="NZT102" s="395"/>
      <c r="NZU102" s="395"/>
      <c r="NZV102" s="395"/>
      <c r="NZW102" s="395"/>
      <c r="NZX102" s="395"/>
      <c r="NZY102" s="395"/>
      <c r="NZZ102" s="395"/>
      <c r="OAA102" s="395"/>
      <c r="OAB102" s="395"/>
      <c r="OAC102" s="395"/>
      <c r="OAD102" s="395"/>
      <c r="OAE102" s="395"/>
      <c r="OAF102" s="395"/>
      <c r="OAG102" s="395"/>
      <c r="OAH102" s="395"/>
      <c r="OAI102" s="395"/>
      <c r="OAJ102" s="395"/>
      <c r="OAK102" s="395"/>
      <c r="OAL102" s="395"/>
      <c r="OAM102" s="396"/>
      <c r="OAN102" s="394"/>
      <c r="OAO102" s="395"/>
      <c r="OAP102" s="395"/>
      <c r="OAQ102" s="395"/>
      <c r="OAR102" s="395"/>
      <c r="OAS102" s="395"/>
      <c r="OAT102" s="395"/>
      <c r="OAU102" s="395"/>
      <c r="OAV102" s="395"/>
      <c r="OAW102" s="395"/>
      <c r="OAX102" s="395"/>
      <c r="OAY102" s="395"/>
      <c r="OAZ102" s="395"/>
      <c r="OBA102" s="395"/>
      <c r="OBB102" s="395"/>
      <c r="OBC102" s="395"/>
      <c r="OBD102" s="395"/>
      <c r="OBE102" s="395"/>
      <c r="OBF102" s="395"/>
      <c r="OBG102" s="395"/>
      <c r="OBH102" s="395"/>
      <c r="OBI102" s="395"/>
      <c r="OBJ102" s="395"/>
      <c r="OBK102" s="395"/>
      <c r="OBL102" s="395"/>
      <c r="OBM102" s="395"/>
      <c r="OBN102" s="396"/>
      <c r="OBO102" s="394"/>
      <c r="OBP102" s="395"/>
      <c r="OBQ102" s="395"/>
      <c r="OBR102" s="395"/>
      <c r="OBS102" s="395"/>
      <c r="OBT102" s="395"/>
      <c r="OBU102" s="395"/>
      <c r="OBV102" s="395"/>
      <c r="OBW102" s="395"/>
      <c r="OBX102" s="395"/>
      <c r="OBY102" s="395"/>
      <c r="OBZ102" s="395"/>
      <c r="OCA102" s="395"/>
      <c r="OCB102" s="395"/>
      <c r="OCC102" s="395"/>
      <c r="OCD102" s="395"/>
      <c r="OCE102" s="395"/>
      <c r="OCF102" s="395"/>
      <c r="OCG102" s="395"/>
      <c r="OCH102" s="395"/>
      <c r="OCI102" s="395"/>
      <c r="OCJ102" s="395"/>
      <c r="OCK102" s="395"/>
      <c r="OCL102" s="395"/>
      <c r="OCM102" s="395"/>
      <c r="OCN102" s="395"/>
      <c r="OCO102" s="396"/>
      <c r="OCP102" s="394"/>
      <c r="OCQ102" s="395"/>
      <c r="OCR102" s="395"/>
      <c r="OCS102" s="395"/>
      <c r="OCT102" s="395"/>
      <c r="OCU102" s="395"/>
      <c r="OCV102" s="395"/>
      <c r="OCW102" s="395"/>
      <c r="OCX102" s="395"/>
      <c r="OCY102" s="395"/>
      <c r="OCZ102" s="395"/>
      <c r="ODA102" s="395"/>
      <c r="ODB102" s="395"/>
      <c r="ODC102" s="395"/>
      <c r="ODD102" s="395"/>
      <c r="ODE102" s="395"/>
      <c r="ODF102" s="395"/>
      <c r="ODG102" s="395"/>
      <c r="ODH102" s="395"/>
      <c r="ODI102" s="395"/>
      <c r="ODJ102" s="395"/>
      <c r="ODK102" s="395"/>
      <c r="ODL102" s="395"/>
      <c r="ODM102" s="395"/>
      <c r="ODN102" s="395"/>
      <c r="ODO102" s="395"/>
      <c r="ODP102" s="396"/>
      <c r="ODQ102" s="394"/>
      <c r="ODR102" s="395"/>
      <c r="ODS102" s="395"/>
      <c r="ODT102" s="395"/>
      <c r="ODU102" s="395"/>
      <c r="ODV102" s="395"/>
      <c r="ODW102" s="395"/>
      <c r="ODX102" s="395"/>
      <c r="ODY102" s="395"/>
      <c r="ODZ102" s="395"/>
      <c r="OEA102" s="395"/>
      <c r="OEB102" s="395"/>
      <c r="OEC102" s="395"/>
      <c r="OED102" s="395"/>
      <c r="OEE102" s="395"/>
      <c r="OEF102" s="395"/>
      <c r="OEG102" s="395"/>
      <c r="OEH102" s="395"/>
      <c r="OEI102" s="395"/>
      <c r="OEJ102" s="395"/>
      <c r="OEK102" s="395"/>
      <c r="OEL102" s="395"/>
      <c r="OEM102" s="395"/>
      <c r="OEN102" s="395"/>
      <c r="OEO102" s="395"/>
      <c r="OEP102" s="395"/>
      <c r="OEQ102" s="396"/>
      <c r="OER102" s="394"/>
      <c r="OES102" s="395"/>
      <c r="OET102" s="395"/>
      <c r="OEU102" s="395"/>
      <c r="OEV102" s="395"/>
      <c r="OEW102" s="395"/>
      <c r="OEX102" s="395"/>
      <c r="OEY102" s="395"/>
      <c r="OEZ102" s="395"/>
      <c r="OFA102" s="395"/>
      <c r="OFB102" s="395"/>
      <c r="OFC102" s="395"/>
      <c r="OFD102" s="395"/>
      <c r="OFE102" s="395"/>
      <c r="OFF102" s="395"/>
      <c r="OFG102" s="395"/>
      <c r="OFH102" s="395"/>
      <c r="OFI102" s="395"/>
      <c r="OFJ102" s="395"/>
      <c r="OFK102" s="395"/>
      <c r="OFL102" s="395"/>
      <c r="OFM102" s="395"/>
      <c r="OFN102" s="395"/>
      <c r="OFO102" s="395"/>
      <c r="OFP102" s="395"/>
      <c r="OFQ102" s="395"/>
      <c r="OFR102" s="396"/>
      <c r="OFS102" s="394"/>
      <c r="OFT102" s="395"/>
      <c r="OFU102" s="395"/>
      <c r="OFV102" s="395"/>
      <c r="OFW102" s="395"/>
      <c r="OFX102" s="395"/>
      <c r="OFY102" s="395"/>
      <c r="OFZ102" s="395"/>
      <c r="OGA102" s="395"/>
      <c r="OGB102" s="395"/>
      <c r="OGC102" s="395"/>
      <c r="OGD102" s="395"/>
      <c r="OGE102" s="395"/>
      <c r="OGF102" s="395"/>
      <c r="OGG102" s="395"/>
      <c r="OGH102" s="395"/>
      <c r="OGI102" s="395"/>
      <c r="OGJ102" s="395"/>
      <c r="OGK102" s="395"/>
      <c r="OGL102" s="395"/>
      <c r="OGM102" s="395"/>
      <c r="OGN102" s="395"/>
      <c r="OGO102" s="395"/>
      <c r="OGP102" s="395"/>
      <c r="OGQ102" s="395"/>
      <c r="OGR102" s="395"/>
      <c r="OGS102" s="396"/>
      <c r="OGT102" s="394"/>
      <c r="OGU102" s="395"/>
      <c r="OGV102" s="395"/>
      <c r="OGW102" s="395"/>
      <c r="OGX102" s="395"/>
      <c r="OGY102" s="395"/>
      <c r="OGZ102" s="395"/>
      <c r="OHA102" s="395"/>
      <c r="OHB102" s="395"/>
      <c r="OHC102" s="395"/>
      <c r="OHD102" s="395"/>
      <c r="OHE102" s="395"/>
      <c r="OHF102" s="395"/>
      <c r="OHG102" s="395"/>
      <c r="OHH102" s="395"/>
      <c r="OHI102" s="395"/>
      <c r="OHJ102" s="395"/>
      <c r="OHK102" s="395"/>
      <c r="OHL102" s="395"/>
      <c r="OHM102" s="395"/>
      <c r="OHN102" s="395"/>
      <c r="OHO102" s="395"/>
      <c r="OHP102" s="395"/>
      <c r="OHQ102" s="395"/>
      <c r="OHR102" s="395"/>
      <c r="OHS102" s="395"/>
      <c r="OHT102" s="396"/>
      <c r="OHU102" s="394"/>
      <c r="OHV102" s="395"/>
      <c r="OHW102" s="395"/>
      <c r="OHX102" s="395"/>
      <c r="OHY102" s="395"/>
      <c r="OHZ102" s="395"/>
      <c r="OIA102" s="395"/>
      <c r="OIB102" s="395"/>
      <c r="OIC102" s="395"/>
      <c r="OID102" s="395"/>
      <c r="OIE102" s="395"/>
      <c r="OIF102" s="395"/>
      <c r="OIG102" s="395"/>
      <c r="OIH102" s="395"/>
      <c r="OII102" s="395"/>
      <c r="OIJ102" s="395"/>
      <c r="OIK102" s="395"/>
      <c r="OIL102" s="395"/>
      <c r="OIM102" s="395"/>
      <c r="OIN102" s="395"/>
      <c r="OIO102" s="395"/>
      <c r="OIP102" s="395"/>
      <c r="OIQ102" s="395"/>
      <c r="OIR102" s="395"/>
      <c r="OIS102" s="395"/>
      <c r="OIT102" s="395"/>
      <c r="OIU102" s="396"/>
      <c r="OIV102" s="394"/>
      <c r="OIW102" s="395"/>
      <c r="OIX102" s="395"/>
      <c r="OIY102" s="395"/>
      <c r="OIZ102" s="395"/>
      <c r="OJA102" s="395"/>
      <c r="OJB102" s="395"/>
      <c r="OJC102" s="395"/>
      <c r="OJD102" s="395"/>
      <c r="OJE102" s="395"/>
      <c r="OJF102" s="395"/>
      <c r="OJG102" s="395"/>
      <c r="OJH102" s="395"/>
      <c r="OJI102" s="395"/>
      <c r="OJJ102" s="395"/>
      <c r="OJK102" s="395"/>
      <c r="OJL102" s="395"/>
      <c r="OJM102" s="395"/>
      <c r="OJN102" s="395"/>
      <c r="OJO102" s="395"/>
      <c r="OJP102" s="395"/>
      <c r="OJQ102" s="395"/>
      <c r="OJR102" s="395"/>
      <c r="OJS102" s="395"/>
      <c r="OJT102" s="395"/>
      <c r="OJU102" s="395"/>
      <c r="OJV102" s="396"/>
      <c r="OJW102" s="394"/>
      <c r="OJX102" s="395"/>
      <c r="OJY102" s="395"/>
      <c r="OJZ102" s="395"/>
      <c r="OKA102" s="395"/>
      <c r="OKB102" s="395"/>
      <c r="OKC102" s="395"/>
      <c r="OKD102" s="395"/>
      <c r="OKE102" s="395"/>
      <c r="OKF102" s="395"/>
      <c r="OKG102" s="395"/>
      <c r="OKH102" s="395"/>
      <c r="OKI102" s="395"/>
      <c r="OKJ102" s="395"/>
      <c r="OKK102" s="395"/>
      <c r="OKL102" s="395"/>
      <c r="OKM102" s="395"/>
      <c r="OKN102" s="395"/>
      <c r="OKO102" s="395"/>
      <c r="OKP102" s="395"/>
      <c r="OKQ102" s="395"/>
      <c r="OKR102" s="395"/>
      <c r="OKS102" s="395"/>
      <c r="OKT102" s="395"/>
      <c r="OKU102" s="395"/>
      <c r="OKV102" s="395"/>
      <c r="OKW102" s="396"/>
      <c r="OKX102" s="394"/>
      <c r="OKY102" s="395"/>
      <c r="OKZ102" s="395"/>
      <c r="OLA102" s="395"/>
      <c r="OLB102" s="395"/>
      <c r="OLC102" s="395"/>
      <c r="OLD102" s="395"/>
      <c r="OLE102" s="395"/>
      <c r="OLF102" s="395"/>
      <c r="OLG102" s="395"/>
      <c r="OLH102" s="395"/>
      <c r="OLI102" s="395"/>
      <c r="OLJ102" s="395"/>
      <c r="OLK102" s="395"/>
      <c r="OLL102" s="395"/>
      <c r="OLM102" s="395"/>
      <c r="OLN102" s="395"/>
      <c r="OLO102" s="395"/>
      <c r="OLP102" s="395"/>
      <c r="OLQ102" s="395"/>
      <c r="OLR102" s="395"/>
      <c r="OLS102" s="395"/>
      <c r="OLT102" s="395"/>
      <c r="OLU102" s="395"/>
      <c r="OLV102" s="395"/>
      <c r="OLW102" s="395"/>
      <c r="OLX102" s="396"/>
      <c r="OLY102" s="394"/>
      <c r="OLZ102" s="395"/>
      <c r="OMA102" s="395"/>
      <c r="OMB102" s="395"/>
      <c r="OMC102" s="395"/>
      <c r="OMD102" s="395"/>
      <c r="OME102" s="395"/>
      <c r="OMF102" s="395"/>
      <c r="OMG102" s="395"/>
      <c r="OMH102" s="395"/>
      <c r="OMI102" s="395"/>
      <c r="OMJ102" s="395"/>
      <c r="OMK102" s="395"/>
      <c r="OML102" s="395"/>
      <c r="OMM102" s="395"/>
      <c r="OMN102" s="395"/>
      <c r="OMO102" s="395"/>
      <c r="OMP102" s="395"/>
      <c r="OMQ102" s="395"/>
      <c r="OMR102" s="395"/>
      <c r="OMS102" s="395"/>
      <c r="OMT102" s="395"/>
      <c r="OMU102" s="395"/>
      <c r="OMV102" s="395"/>
      <c r="OMW102" s="395"/>
      <c r="OMX102" s="395"/>
      <c r="OMY102" s="396"/>
      <c r="OMZ102" s="394"/>
      <c r="ONA102" s="395"/>
      <c r="ONB102" s="395"/>
      <c r="ONC102" s="395"/>
      <c r="OND102" s="395"/>
      <c r="ONE102" s="395"/>
      <c r="ONF102" s="395"/>
      <c r="ONG102" s="395"/>
      <c r="ONH102" s="395"/>
      <c r="ONI102" s="395"/>
      <c r="ONJ102" s="395"/>
      <c r="ONK102" s="395"/>
      <c r="ONL102" s="395"/>
      <c r="ONM102" s="395"/>
      <c r="ONN102" s="395"/>
      <c r="ONO102" s="395"/>
      <c r="ONP102" s="395"/>
      <c r="ONQ102" s="395"/>
      <c r="ONR102" s="395"/>
      <c r="ONS102" s="395"/>
      <c r="ONT102" s="395"/>
      <c r="ONU102" s="395"/>
      <c r="ONV102" s="395"/>
      <c r="ONW102" s="395"/>
      <c r="ONX102" s="395"/>
      <c r="ONY102" s="395"/>
      <c r="ONZ102" s="396"/>
      <c r="OOA102" s="394"/>
      <c r="OOB102" s="395"/>
      <c r="OOC102" s="395"/>
      <c r="OOD102" s="395"/>
      <c r="OOE102" s="395"/>
      <c r="OOF102" s="395"/>
      <c r="OOG102" s="395"/>
      <c r="OOH102" s="395"/>
      <c r="OOI102" s="395"/>
      <c r="OOJ102" s="395"/>
      <c r="OOK102" s="395"/>
      <c r="OOL102" s="395"/>
      <c r="OOM102" s="395"/>
      <c r="OON102" s="395"/>
      <c r="OOO102" s="395"/>
      <c r="OOP102" s="395"/>
      <c r="OOQ102" s="395"/>
      <c r="OOR102" s="395"/>
      <c r="OOS102" s="395"/>
      <c r="OOT102" s="395"/>
      <c r="OOU102" s="395"/>
      <c r="OOV102" s="395"/>
      <c r="OOW102" s="395"/>
      <c r="OOX102" s="395"/>
      <c r="OOY102" s="395"/>
      <c r="OOZ102" s="395"/>
      <c r="OPA102" s="396"/>
      <c r="OPB102" s="394"/>
      <c r="OPC102" s="395"/>
      <c r="OPD102" s="395"/>
      <c r="OPE102" s="395"/>
      <c r="OPF102" s="395"/>
      <c r="OPG102" s="395"/>
      <c r="OPH102" s="395"/>
      <c r="OPI102" s="395"/>
      <c r="OPJ102" s="395"/>
      <c r="OPK102" s="395"/>
      <c r="OPL102" s="395"/>
      <c r="OPM102" s="395"/>
      <c r="OPN102" s="395"/>
      <c r="OPO102" s="395"/>
      <c r="OPP102" s="395"/>
      <c r="OPQ102" s="395"/>
      <c r="OPR102" s="395"/>
      <c r="OPS102" s="395"/>
      <c r="OPT102" s="395"/>
      <c r="OPU102" s="395"/>
      <c r="OPV102" s="395"/>
      <c r="OPW102" s="395"/>
      <c r="OPX102" s="395"/>
      <c r="OPY102" s="395"/>
      <c r="OPZ102" s="395"/>
      <c r="OQA102" s="395"/>
      <c r="OQB102" s="396"/>
      <c r="OQC102" s="394"/>
      <c r="OQD102" s="395"/>
      <c r="OQE102" s="395"/>
      <c r="OQF102" s="395"/>
      <c r="OQG102" s="395"/>
      <c r="OQH102" s="395"/>
      <c r="OQI102" s="395"/>
      <c r="OQJ102" s="395"/>
      <c r="OQK102" s="395"/>
      <c r="OQL102" s="395"/>
      <c r="OQM102" s="395"/>
      <c r="OQN102" s="395"/>
      <c r="OQO102" s="395"/>
      <c r="OQP102" s="395"/>
      <c r="OQQ102" s="395"/>
      <c r="OQR102" s="395"/>
      <c r="OQS102" s="395"/>
      <c r="OQT102" s="395"/>
      <c r="OQU102" s="395"/>
      <c r="OQV102" s="395"/>
      <c r="OQW102" s="395"/>
      <c r="OQX102" s="395"/>
      <c r="OQY102" s="395"/>
      <c r="OQZ102" s="395"/>
      <c r="ORA102" s="395"/>
      <c r="ORB102" s="395"/>
      <c r="ORC102" s="396"/>
      <c r="ORD102" s="394"/>
      <c r="ORE102" s="395"/>
      <c r="ORF102" s="395"/>
      <c r="ORG102" s="395"/>
      <c r="ORH102" s="395"/>
      <c r="ORI102" s="395"/>
      <c r="ORJ102" s="395"/>
      <c r="ORK102" s="395"/>
      <c r="ORL102" s="395"/>
      <c r="ORM102" s="395"/>
      <c r="ORN102" s="395"/>
      <c r="ORO102" s="395"/>
      <c r="ORP102" s="395"/>
      <c r="ORQ102" s="395"/>
      <c r="ORR102" s="395"/>
      <c r="ORS102" s="395"/>
      <c r="ORT102" s="395"/>
      <c r="ORU102" s="395"/>
      <c r="ORV102" s="395"/>
      <c r="ORW102" s="395"/>
      <c r="ORX102" s="395"/>
      <c r="ORY102" s="395"/>
      <c r="ORZ102" s="395"/>
      <c r="OSA102" s="395"/>
      <c r="OSB102" s="395"/>
      <c r="OSC102" s="395"/>
      <c r="OSD102" s="396"/>
      <c r="OSE102" s="394"/>
      <c r="OSF102" s="395"/>
      <c r="OSG102" s="395"/>
      <c r="OSH102" s="395"/>
      <c r="OSI102" s="395"/>
      <c r="OSJ102" s="395"/>
      <c r="OSK102" s="395"/>
      <c r="OSL102" s="395"/>
      <c r="OSM102" s="395"/>
      <c r="OSN102" s="395"/>
      <c r="OSO102" s="395"/>
      <c r="OSP102" s="395"/>
      <c r="OSQ102" s="395"/>
      <c r="OSR102" s="395"/>
      <c r="OSS102" s="395"/>
      <c r="OST102" s="395"/>
      <c r="OSU102" s="395"/>
      <c r="OSV102" s="395"/>
      <c r="OSW102" s="395"/>
      <c r="OSX102" s="395"/>
      <c r="OSY102" s="395"/>
      <c r="OSZ102" s="395"/>
      <c r="OTA102" s="395"/>
      <c r="OTB102" s="395"/>
      <c r="OTC102" s="395"/>
      <c r="OTD102" s="395"/>
      <c r="OTE102" s="396"/>
      <c r="OTF102" s="394"/>
      <c r="OTG102" s="395"/>
      <c r="OTH102" s="395"/>
      <c r="OTI102" s="395"/>
      <c r="OTJ102" s="395"/>
      <c r="OTK102" s="395"/>
      <c r="OTL102" s="395"/>
      <c r="OTM102" s="395"/>
      <c r="OTN102" s="395"/>
      <c r="OTO102" s="395"/>
      <c r="OTP102" s="395"/>
      <c r="OTQ102" s="395"/>
      <c r="OTR102" s="395"/>
      <c r="OTS102" s="395"/>
      <c r="OTT102" s="395"/>
      <c r="OTU102" s="395"/>
      <c r="OTV102" s="395"/>
      <c r="OTW102" s="395"/>
      <c r="OTX102" s="395"/>
      <c r="OTY102" s="395"/>
      <c r="OTZ102" s="395"/>
      <c r="OUA102" s="395"/>
      <c r="OUB102" s="395"/>
      <c r="OUC102" s="395"/>
      <c r="OUD102" s="395"/>
      <c r="OUE102" s="395"/>
      <c r="OUF102" s="396"/>
      <c r="OUG102" s="394"/>
      <c r="OUH102" s="395"/>
      <c r="OUI102" s="395"/>
      <c r="OUJ102" s="395"/>
      <c r="OUK102" s="395"/>
      <c r="OUL102" s="395"/>
      <c r="OUM102" s="395"/>
      <c r="OUN102" s="395"/>
      <c r="OUO102" s="395"/>
      <c r="OUP102" s="395"/>
      <c r="OUQ102" s="395"/>
      <c r="OUR102" s="395"/>
      <c r="OUS102" s="395"/>
      <c r="OUT102" s="395"/>
      <c r="OUU102" s="395"/>
      <c r="OUV102" s="395"/>
      <c r="OUW102" s="395"/>
      <c r="OUX102" s="395"/>
      <c r="OUY102" s="395"/>
      <c r="OUZ102" s="395"/>
      <c r="OVA102" s="395"/>
      <c r="OVB102" s="395"/>
      <c r="OVC102" s="395"/>
      <c r="OVD102" s="395"/>
      <c r="OVE102" s="395"/>
      <c r="OVF102" s="395"/>
      <c r="OVG102" s="396"/>
      <c r="OVH102" s="394"/>
      <c r="OVI102" s="395"/>
      <c r="OVJ102" s="395"/>
      <c r="OVK102" s="395"/>
      <c r="OVL102" s="395"/>
      <c r="OVM102" s="395"/>
      <c r="OVN102" s="395"/>
      <c r="OVO102" s="395"/>
      <c r="OVP102" s="395"/>
      <c r="OVQ102" s="395"/>
      <c r="OVR102" s="395"/>
      <c r="OVS102" s="395"/>
      <c r="OVT102" s="395"/>
      <c r="OVU102" s="395"/>
      <c r="OVV102" s="395"/>
      <c r="OVW102" s="395"/>
      <c r="OVX102" s="395"/>
      <c r="OVY102" s="395"/>
      <c r="OVZ102" s="395"/>
      <c r="OWA102" s="395"/>
      <c r="OWB102" s="395"/>
      <c r="OWC102" s="395"/>
      <c r="OWD102" s="395"/>
      <c r="OWE102" s="395"/>
      <c r="OWF102" s="395"/>
      <c r="OWG102" s="395"/>
      <c r="OWH102" s="396"/>
      <c r="OWI102" s="394"/>
      <c r="OWJ102" s="395"/>
      <c r="OWK102" s="395"/>
      <c r="OWL102" s="395"/>
      <c r="OWM102" s="395"/>
      <c r="OWN102" s="395"/>
      <c r="OWO102" s="395"/>
      <c r="OWP102" s="395"/>
      <c r="OWQ102" s="395"/>
      <c r="OWR102" s="395"/>
      <c r="OWS102" s="395"/>
      <c r="OWT102" s="395"/>
      <c r="OWU102" s="395"/>
      <c r="OWV102" s="395"/>
      <c r="OWW102" s="395"/>
      <c r="OWX102" s="395"/>
      <c r="OWY102" s="395"/>
      <c r="OWZ102" s="395"/>
      <c r="OXA102" s="395"/>
      <c r="OXB102" s="395"/>
      <c r="OXC102" s="395"/>
      <c r="OXD102" s="395"/>
      <c r="OXE102" s="395"/>
      <c r="OXF102" s="395"/>
      <c r="OXG102" s="395"/>
      <c r="OXH102" s="395"/>
      <c r="OXI102" s="396"/>
      <c r="OXJ102" s="394"/>
      <c r="OXK102" s="395"/>
      <c r="OXL102" s="395"/>
      <c r="OXM102" s="395"/>
      <c r="OXN102" s="395"/>
      <c r="OXO102" s="395"/>
      <c r="OXP102" s="395"/>
      <c r="OXQ102" s="395"/>
      <c r="OXR102" s="395"/>
      <c r="OXS102" s="395"/>
      <c r="OXT102" s="395"/>
      <c r="OXU102" s="395"/>
      <c r="OXV102" s="395"/>
      <c r="OXW102" s="395"/>
      <c r="OXX102" s="395"/>
      <c r="OXY102" s="395"/>
      <c r="OXZ102" s="395"/>
      <c r="OYA102" s="395"/>
      <c r="OYB102" s="395"/>
      <c r="OYC102" s="395"/>
      <c r="OYD102" s="395"/>
      <c r="OYE102" s="395"/>
      <c r="OYF102" s="395"/>
      <c r="OYG102" s="395"/>
      <c r="OYH102" s="395"/>
      <c r="OYI102" s="395"/>
      <c r="OYJ102" s="396"/>
      <c r="OYK102" s="394"/>
      <c r="OYL102" s="395"/>
      <c r="OYM102" s="395"/>
      <c r="OYN102" s="395"/>
      <c r="OYO102" s="395"/>
      <c r="OYP102" s="395"/>
      <c r="OYQ102" s="395"/>
      <c r="OYR102" s="395"/>
      <c r="OYS102" s="395"/>
      <c r="OYT102" s="395"/>
      <c r="OYU102" s="395"/>
      <c r="OYV102" s="395"/>
      <c r="OYW102" s="395"/>
      <c r="OYX102" s="395"/>
      <c r="OYY102" s="395"/>
      <c r="OYZ102" s="395"/>
      <c r="OZA102" s="395"/>
      <c r="OZB102" s="395"/>
      <c r="OZC102" s="395"/>
      <c r="OZD102" s="395"/>
      <c r="OZE102" s="395"/>
      <c r="OZF102" s="395"/>
      <c r="OZG102" s="395"/>
      <c r="OZH102" s="395"/>
      <c r="OZI102" s="395"/>
      <c r="OZJ102" s="395"/>
      <c r="OZK102" s="396"/>
      <c r="OZL102" s="394"/>
      <c r="OZM102" s="395"/>
      <c r="OZN102" s="395"/>
      <c r="OZO102" s="395"/>
      <c r="OZP102" s="395"/>
      <c r="OZQ102" s="395"/>
      <c r="OZR102" s="395"/>
      <c r="OZS102" s="395"/>
      <c r="OZT102" s="395"/>
      <c r="OZU102" s="395"/>
      <c r="OZV102" s="395"/>
      <c r="OZW102" s="395"/>
      <c r="OZX102" s="395"/>
      <c r="OZY102" s="395"/>
      <c r="OZZ102" s="395"/>
      <c r="PAA102" s="395"/>
      <c r="PAB102" s="395"/>
      <c r="PAC102" s="395"/>
      <c r="PAD102" s="395"/>
      <c r="PAE102" s="395"/>
      <c r="PAF102" s="395"/>
      <c r="PAG102" s="395"/>
      <c r="PAH102" s="395"/>
      <c r="PAI102" s="395"/>
      <c r="PAJ102" s="395"/>
      <c r="PAK102" s="395"/>
      <c r="PAL102" s="396"/>
      <c r="PAM102" s="394"/>
      <c r="PAN102" s="395"/>
      <c r="PAO102" s="395"/>
      <c r="PAP102" s="395"/>
      <c r="PAQ102" s="395"/>
      <c r="PAR102" s="395"/>
      <c r="PAS102" s="395"/>
      <c r="PAT102" s="395"/>
      <c r="PAU102" s="395"/>
      <c r="PAV102" s="395"/>
      <c r="PAW102" s="395"/>
      <c r="PAX102" s="395"/>
      <c r="PAY102" s="395"/>
      <c r="PAZ102" s="395"/>
      <c r="PBA102" s="395"/>
      <c r="PBB102" s="395"/>
      <c r="PBC102" s="395"/>
      <c r="PBD102" s="395"/>
      <c r="PBE102" s="395"/>
      <c r="PBF102" s="395"/>
      <c r="PBG102" s="395"/>
      <c r="PBH102" s="395"/>
      <c r="PBI102" s="395"/>
      <c r="PBJ102" s="395"/>
      <c r="PBK102" s="395"/>
      <c r="PBL102" s="395"/>
      <c r="PBM102" s="396"/>
      <c r="PBN102" s="394"/>
      <c r="PBO102" s="395"/>
      <c r="PBP102" s="395"/>
      <c r="PBQ102" s="395"/>
      <c r="PBR102" s="395"/>
      <c r="PBS102" s="395"/>
      <c r="PBT102" s="395"/>
      <c r="PBU102" s="395"/>
      <c r="PBV102" s="395"/>
      <c r="PBW102" s="395"/>
      <c r="PBX102" s="395"/>
      <c r="PBY102" s="395"/>
      <c r="PBZ102" s="395"/>
      <c r="PCA102" s="395"/>
      <c r="PCB102" s="395"/>
      <c r="PCC102" s="395"/>
      <c r="PCD102" s="395"/>
      <c r="PCE102" s="395"/>
      <c r="PCF102" s="395"/>
      <c r="PCG102" s="395"/>
      <c r="PCH102" s="395"/>
      <c r="PCI102" s="395"/>
      <c r="PCJ102" s="395"/>
      <c r="PCK102" s="395"/>
      <c r="PCL102" s="395"/>
      <c r="PCM102" s="395"/>
      <c r="PCN102" s="396"/>
      <c r="PCO102" s="394"/>
      <c r="PCP102" s="395"/>
      <c r="PCQ102" s="395"/>
      <c r="PCR102" s="395"/>
      <c r="PCS102" s="395"/>
      <c r="PCT102" s="395"/>
      <c r="PCU102" s="395"/>
      <c r="PCV102" s="395"/>
      <c r="PCW102" s="395"/>
      <c r="PCX102" s="395"/>
      <c r="PCY102" s="395"/>
      <c r="PCZ102" s="395"/>
      <c r="PDA102" s="395"/>
      <c r="PDB102" s="395"/>
      <c r="PDC102" s="395"/>
      <c r="PDD102" s="395"/>
      <c r="PDE102" s="395"/>
      <c r="PDF102" s="395"/>
      <c r="PDG102" s="395"/>
      <c r="PDH102" s="395"/>
      <c r="PDI102" s="395"/>
      <c r="PDJ102" s="395"/>
      <c r="PDK102" s="395"/>
      <c r="PDL102" s="395"/>
      <c r="PDM102" s="395"/>
      <c r="PDN102" s="395"/>
      <c r="PDO102" s="396"/>
      <c r="PDP102" s="394"/>
      <c r="PDQ102" s="395"/>
      <c r="PDR102" s="395"/>
      <c r="PDS102" s="395"/>
      <c r="PDT102" s="395"/>
      <c r="PDU102" s="395"/>
      <c r="PDV102" s="395"/>
      <c r="PDW102" s="395"/>
      <c r="PDX102" s="395"/>
      <c r="PDY102" s="395"/>
      <c r="PDZ102" s="395"/>
      <c r="PEA102" s="395"/>
      <c r="PEB102" s="395"/>
      <c r="PEC102" s="395"/>
      <c r="PED102" s="395"/>
      <c r="PEE102" s="395"/>
      <c r="PEF102" s="395"/>
      <c r="PEG102" s="395"/>
      <c r="PEH102" s="395"/>
      <c r="PEI102" s="395"/>
      <c r="PEJ102" s="395"/>
      <c r="PEK102" s="395"/>
      <c r="PEL102" s="395"/>
      <c r="PEM102" s="395"/>
      <c r="PEN102" s="395"/>
      <c r="PEO102" s="395"/>
      <c r="PEP102" s="396"/>
      <c r="PEQ102" s="394"/>
      <c r="PER102" s="395"/>
      <c r="PES102" s="395"/>
      <c r="PET102" s="395"/>
      <c r="PEU102" s="395"/>
      <c r="PEV102" s="395"/>
      <c r="PEW102" s="395"/>
      <c r="PEX102" s="395"/>
      <c r="PEY102" s="395"/>
      <c r="PEZ102" s="395"/>
      <c r="PFA102" s="395"/>
      <c r="PFB102" s="395"/>
      <c r="PFC102" s="395"/>
      <c r="PFD102" s="395"/>
      <c r="PFE102" s="395"/>
      <c r="PFF102" s="395"/>
      <c r="PFG102" s="395"/>
      <c r="PFH102" s="395"/>
      <c r="PFI102" s="395"/>
      <c r="PFJ102" s="395"/>
      <c r="PFK102" s="395"/>
      <c r="PFL102" s="395"/>
      <c r="PFM102" s="395"/>
      <c r="PFN102" s="395"/>
      <c r="PFO102" s="395"/>
      <c r="PFP102" s="395"/>
      <c r="PFQ102" s="396"/>
      <c r="PFR102" s="394"/>
      <c r="PFS102" s="395"/>
      <c r="PFT102" s="395"/>
      <c r="PFU102" s="395"/>
      <c r="PFV102" s="395"/>
      <c r="PFW102" s="395"/>
      <c r="PFX102" s="395"/>
      <c r="PFY102" s="395"/>
      <c r="PFZ102" s="395"/>
      <c r="PGA102" s="395"/>
      <c r="PGB102" s="395"/>
      <c r="PGC102" s="395"/>
      <c r="PGD102" s="395"/>
      <c r="PGE102" s="395"/>
      <c r="PGF102" s="395"/>
      <c r="PGG102" s="395"/>
      <c r="PGH102" s="395"/>
      <c r="PGI102" s="395"/>
      <c r="PGJ102" s="395"/>
      <c r="PGK102" s="395"/>
      <c r="PGL102" s="395"/>
      <c r="PGM102" s="395"/>
      <c r="PGN102" s="395"/>
      <c r="PGO102" s="395"/>
      <c r="PGP102" s="395"/>
      <c r="PGQ102" s="395"/>
      <c r="PGR102" s="396"/>
      <c r="PGS102" s="394"/>
      <c r="PGT102" s="395"/>
      <c r="PGU102" s="395"/>
      <c r="PGV102" s="395"/>
      <c r="PGW102" s="395"/>
      <c r="PGX102" s="395"/>
      <c r="PGY102" s="395"/>
      <c r="PGZ102" s="395"/>
      <c r="PHA102" s="395"/>
      <c r="PHB102" s="395"/>
      <c r="PHC102" s="395"/>
      <c r="PHD102" s="395"/>
      <c r="PHE102" s="395"/>
      <c r="PHF102" s="395"/>
      <c r="PHG102" s="395"/>
      <c r="PHH102" s="395"/>
      <c r="PHI102" s="395"/>
      <c r="PHJ102" s="395"/>
      <c r="PHK102" s="395"/>
      <c r="PHL102" s="395"/>
      <c r="PHM102" s="395"/>
      <c r="PHN102" s="395"/>
      <c r="PHO102" s="395"/>
      <c r="PHP102" s="395"/>
      <c r="PHQ102" s="395"/>
      <c r="PHR102" s="395"/>
      <c r="PHS102" s="396"/>
      <c r="PHT102" s="394"/>
      <c r="PHU102" s="395"/>
      <c r="PHV102" s="395"/>
      <c r="PHW102" s="395"/>
      <c r="PHX102" s="395"/>
      <c r="PHY102" s="395"/>
      <c r="PHZ102" s="395"/>
      <c r="PIA102" s="395"/>
      <c r="PIB102" s="395"/>
      <c r="PIC102" s="395"/>
      <c r="PID102" s="395"/>
      <c r="PIE102" s="395"/>
      <c r="PIF102" s="395"/>
      <c r="PIG102" s="395"/>
      <c r="PIH102" s="395"/>
      <c r="PII102" s="395"/>
      <c r="PIJ102" s="395"/>
      <c r="PIK102" s="395"/>
      <c r="PIL102" s="395"/>
      <c r="PIM102" s="395"/>
      <c r="PIN102" s="395"/>
      <c r="PIO102" s="395"/>
      <c r="PIP102" s="395"/>
      <c r="PIQ102" s="395"/>
      <c r="PIR102" s="395"/>
      <c r="PIS102" s="395"/>
      <c r="PIT102" s="396"/>
      <c r="PIU102" s="394"/>
      <c r="PIV102" s="395"/>
      <c r="PIW102" s="395"/>
      <c r="PIX102" s="395"/>
      <c r="PIY102" s="395"/>
      <c r="PIZ102" s="395"/>
      <c r="PJA102" s="395"/>
      <c r="PJB102" s="395"/>
      <c r="PJC102" s="395"/>
      <c r="PJD102" s="395"/>
      <c r="PJE102" s="395"/>
      <c r="PJF102" s="395"/>
      <c r="PJG102" s="395"/>
      <c r="PJH102" s="395"/>
      <c r="PJI102" s="395"/>
      <c r="PJJ102" s="395"/>
      <c r="PJK102" s="395"/>
      <c r="PJL102" s="395"/>
      <c r="PJM102" s="395"/>
      <c r="PJN102" s="395"/>
      <c r="PJO102" s="395"/>
      <c r="PJP102" s="395"/>
      <c r="PJQ102" s="395"/>
      <c r="PJR102" s="395"/>
      <c r="PJS102" s="395"/>
      <c r="PJT102" s="395"/>
      <c r="PJU102" s="396"/>
      <c r="PJV102" s="394"/>
      <c r="PJW102" s="395"/>
      <c r="PJX102" s="395"/>
      <c r="PJY102" s="395"/>
      <c r="PJZ102" s="395"/>
      <c r="PKA102" s="395"/>
      <c r="PKB102" s="395"/>
      <c r="PKC102" s="395"/>
      <c r="PKD102" s="395"/>
      <c r="PKE102" s="395"/>
      <c r="PKF102" s="395"/>
      <c r="PKG102" s="395"/>
      <c r="PKH102" s="395"/>
      <c r="PKI102" s="395"/>
      <c r="PKJ102" s="395"/>
      <c r="PKK102" s="395"/>
      <c r="PKL102" s="395"/>
      <c r="PKM102" s="395"/>
      <c r="PKN102" s="395"/>
      <c r="PKO102" s="395"/>
      <c r="PKP102" s="395"/>
      <c r="PKQ102" s="395"/>
      <c r="PKR102" s="395"/>
      <c r="PKS102" s="395"/>
      <c r="PKT102" s="395"/>
      <c r="PKU102" s="395"/>
      <c r="PKV102" s="396"/>
      <c r="PKW102" s="394"/>
      <c r="PKX102" s="395"/>
      <c r="PKY102" s="395"/>
      <c r="PKZ102" s="395"/>
      <c r="PLA102" s="395"/>
      <c r="PLB102" s="395"/>
      <c r="PLC102" s="395"/>
      <c r="PLD102" s="395"/>
      <c r="PLE102" s="395"/>
      <c r="PLF102" s="395"/>
      <c r="PLG102" s="395"/>
      <c r="PLH102" s="395"/>
      <c r="PLI102" s="395"/>
      <c r="PLJ102" s="395"/>
      <c r="PLK102" s="395"/>
      <c r="PLL102" s="395"/>
      <c r="PLM102" s="395"/>
      <c r="PLN102" s="395"/>
      <c r="PLO102" s="395"/>
      <c r="PLP102" s="395"/>
      <c r="PLQ102" s="395"/>
      <c r="PLR102" s="395"/>
      <c r="PLS102" s="395"/>
      <c r="PLT102" s="395"/>
      <c r="PLU102" s="395"/>
      <c r="PLV102" s="395"/>
      <c r="PLW102" s="396"/>
      <c r="PLX102" s="394"/>
      <c r="PLY102" s="395"/>
      <c r="PLZ102" s="395"/>
      <c r="PMA102" s="395"/>
      <c r="PMB102" s="395"/>
      <c r="PMC102" s="395"/>
      <c r="PMD102" s="395"/>
      <c r="PME102" s="395"/>
      <c r="PMF102" s="395"/>
      <c r="PMG102" s="395"/>
      <c r="PMH102" s="395"/>
      <c r="PMI102" s="395"/>
      <c r="PMJ102" s="395"/>
      <c r="PMK102" s="395"/>
      <c r="PML102" s="395"/>
      <c r="PMM102" s="395"/>
      <c r="PMN102" s="395"/>
      <c r="PMO102" s="395"/>
      <c r="PMP102" s="395"/>
      <c r="PMQ102" s="395"/>
      <c r="PMR102" s="395"/>
      <c r="PMS102" s="395"/>
      <c r="PMT102" s="395"/>
      <c r="PMU102" s="395"/>
      <c r="PMV102" s="395"/>
      <c r="PMW102" s="395"/>
      <c r="PMX102" s="396"/>
      <c r="PMY102" s="394"/>
      <c r="PMZ102" s="395"/>
      <c r="PNA102" s="395"/>
      <c r="PNB102" s="395"/>
      <c r="PNC102" s="395"/>
      <c r="PND102" s="395"/>
      <c r="PNE102" s="395"/>
      <c r="PNF102" s="395"/>
      <c r="PNG102" s="395"/>
      <c r="PNH102" s="395"/>
      <c r="PNI102" s="395"/>
      <c r="PNJ102" s="395"/>
      <c r="PNK102" s="395"/>
      <c r="PNL102" s="395"/>
      <c r="PNM102" s="395"/>
      <c r="PNN102" s="395"/>
      <c r="PNO102" s="395"/>
      <c r="PNP102" s="395"/>
      <c r="PNQ102" s="395"/>
      <c r="PNR102" s="395"/>
      <c r="PNS102" s="395"/>
      <c r="PNT102" s="395"/>
      <c r="PNU102" s="395"/>
      <c r="PNV102" s="395"/>
      <c r="PNW102" s="395"/>
      <c r="PNX102" s="395"/>
      <c r="PNY102" s="396"/>
      <c r="PNZ102" s="394"/>
      <c r="POA102" s="395"/>
      <c r="POB102" s="395"/>
      <c r="POC102" s="395"/>
      <c r="POD102" s="395"/>
      <c r="POE102" s="395"/>
      <c r="POF102" s="395"/>
      <c r="POG102" s="395"/>
      <c r="POH102" s="395"/>
      <c r="POI102" s="395"/>
      <c r="POJ102" s="395"/>
      <c r="POK102" s="395"/>
      <c r="POL102" s="395"/>
      <c r="POM102" s="395"/>
      <c r="PON102" s="395"/>
      <c r="POO102" s="395"/>
      <c r="POP102" s="395"/>
      <c r="POQ102" s="395"/>
      <c r="POR102" s="395"/>
      <c r="POS102" s="395"/>
      <c r="POT102" s="395"/>
      <c r="POU102" s="395"/>
      <c r="POV102" s="395"/>
      <c r="POW102" s="395"/>
      <c r="POX102" s="395"/>
      <c r="POY102" s="395"/>
      <c r="POZ102" s="396"/>
      <c r="PPA102" s="394"/>
      <c r="PPB102" s="395"/>
      <c r="PPC102" s="395"/>
      <c r="PPD102" s="395"/>
      <c r="PPE102" s="395"/>
      <c r="PPF102" s="395"/>
      <c r="PPG102" s="395"/>
      <c r="PPH102" s="395"/>
      <c r="PPI102" s="395"/>
      <c r="PPJ102" s="395"/>
      <c r="PPK102" s="395"/>
      <c r="PPL102" s="395"/>
      <c r="PPM102" s="395"/>
      <c r="PPN102" s="395"/>
      <c r="PPO102" s="395"/>
      <c r="PPP102" s="395"/>
      <c r="PPQ102" s="395"/>
      <c r="PPR102" s="395"/>
      <c r="PPS102" s="395"/>
      <c r="PPT102" s="395"/>
      <c r="PPU102" s="395"/>
      <c r="PPV102" s="395"/>
      <c r="PPW102" s="395"/>
      <c r="PPX102" s="395"/>
      <c r="PPY102" s="395"/>
      <c r="PPZ102" s="395"/>
      <c r="PQA102" s="396"/>
      <c r="PQB102" s="394"/>
      <c r="PQC102" s="395"/>
      <c r="PQD102" s="395"/>
      <c r="PQE102" s="395"/>
      <c r="PQF102" s="395"/>
      <c r="PQG102" s="395"/>
      <c r="PQH102" s="395"/>
      <c r="PQI102" s="395"/>
      <c r="PQJ102" s="395"/>
      <c r="PQK102" s="395"/>
      <c r="PQL102" s="395"/>
      <c r="PQM102" s="395"/>
      <c r="PQN102" s="395"/>
      <c r="PQO102" s="395"/>
      <c r="PQP102" s="395"/>
      <c r="PQQ102" s="395"/>
      <c r="PQR102" s="395"/>
      <c r="PQS102" s="395"/>
      <c r="PQT102" s="395"/>
      <c r="PQU102" s="395"/>
      <c r="PQV102" s="395"/>
      <c r="PQW102" s="395"/>
      <c r="PQX102" s="395"/>
      <c r="PQY102" s="395"/>
      <c r="PQZ102" s="395"/>
      <c r="PRA102" s="395"/>
      <c r="PRB102" s="396"/>
      <c r="PRC102" s="394"/>
      <c r="PRD102" s="395"/>
      <c r="PRE102" s="395"/>
      <c r="PRF102" s="395"/>
      <c r="PRG102" s="395"/>
      <c r="PRH102" s="395"/>
      <c r="PRI102" s="395"/>
      <c r="PRJ102" s="395"/>
      <c r="PRK102" s="395"/>
      <c r="PRL102" s="395"/>
      <c r="PRM102" s="395"/>
      <c r="PRN102" s="395"/>
      <c r="PRO102" s="395"/>
      <c r="PRP102" s="395"/>
      <c r="PRQ102" s="395"/>
      <c r="PRR102" s="395"/>
      <c r="PRS102" s="395"/>
      <c r="PRT102" s="395"/>
      <c r="PRU102" s="395"/>
      <c r="PRV102" s="395"/>
      <c r="PRW102" s="395"/>
      <c r="PRX102" s="395"/>
      <c r="PRY102" s="395"/>
      <c r="PRZ102" s="395"/>
      <c r="PSA102" s="395"/>
      <c r="PSB102" s="395"/>
      <c r="PSC102" s="396"/>
      <c r="PSD102" s="394"/>
      <c r="PSE102" s="395"/>
      <c r="PSF102" s="395"/>
      <c r="PSG102" s="395"/>
      <c r="PSH102" s="395"/>
      <c r="PSI102" s="395"/>
      <c r="PSJ102" s="395"/>
      <c r="PSK102" s="395"/>
      <c r="PSL102" s="395"/>
      <c r="PSM102" s="395"/>
      <c r="PSN102" s="395"/>
      <c r="PSO102" s="395"/>
      <c r="PSP102" s="395"/>
      <c r="PSQ102" s="395"/>
      <c r="PSR102" s="395"/>
      <c r="PSS102" s="395"/>
      <c r="PST102" s="395"/>
      <c r="PSU102" s="395"/>
      <c r="PSV102" s="395"/>
      <c r="PSW102" s="395"/>
      <c r="PSX102" s="395"/>
      <c r="PSY102" s="395"/>
      <c r="PSZ102" s="395"/>
      <c r="PTA102" s="395"/>
      <c r="PTB102" s="395"/>
      <c r="PTC102" s="395"/>
      <c r="PTD102" s="396"/>
      <c r="PTE102" s="394"/>
      <c r="PTF102" s="395"/>
      <c r="PTG102" s="395"/>
      <c r="PTH102" s="395"/>
      <c r="PTI102" s="395"/>
      <c r="PTJ102" s="395"/>
      <c r="PTK102" s="395"/>
      <c r="PTL102" s="395"/>
      <c r="PTM102" s="395"/>
      <c r="PTN102" s="395"/>
      <c r="PTO102" s="395"/>
      <c r="PTP102" s="395"/>
      <c r="PTQ102" s="395"/>
      <c r="PTR102" s="395"/>
      <c r="PTS102" s="395"/>
      <c r="PTT102" s="395"/>
      <c r="PTU102" s="395"/>
      <c r="PTV102" s="395"/>
      <c r="PTW102" s="395"/>
      <c r="PTX102" s="395"/>
      <c r="PTY102" s="395"/>
      <c r="PTZ102" s="395"/>
      <c r="PUA102" s="395"/>
      <c r="PUB102" s="395"/>
      <c r="PUC102" s="395"/>
      <c r="PUD102" s="395"/>
      <c r="PUE102" s="396"/>
      <c r="PUF102" s="394"/>
      <c r="PUG102" s="395"/>
      <c r="PUH102" s="395"/>
      <c r="PUI102" s="395"/>
      <c r="PUJ102" s="395"/>
      <c r="PUK102" s="395"/>
      <c r="PUL102" s="395"/>
      <c r="PUM102" s="395"/>
      <c r="PUN102" s="395"/>
      <c r="PUO102" s="395"/>
      <c r="PUP102" s="395"/>
      <c r="PUQ102" s="395"/>
      <c r="PUR102" s="395"/>
      <c r="PUS102" s="395"/>
      <c r="PUT102" s="395"/>
      <c r="PUU102" s="395"/>
      <c r="PUV102" s="395"/>
      <c r="PUW102" s="395"/>
      <c r="PUX102" s="395"/>
      <c r="PUY102" s="395"/>
      <c r="PUZ102" s="395"/>
      <c r="PVA102" s="395"/>
      <c r="PVB102" s="395"/>
      <c r="PVC102" s="395"/>
      <c r="PVD102" s="395"/>
      <c r="PVE102" s="395"/>
      <c r="PVF102" s="396"/>
      <c r="PVG102" s="394"/>
      <c r="PVH102" s="395"/>
      <c r="PVI102" s="395"/>
      <c r="PVJ102" s="395"/>
      <c r="PVK102" s="395"/>
      <c r="PVL102" s="395"/>
      <c r="PVM102" s="395"/>
      <c r="PVN102" s="395"/>
      <c r="PVO102" s="395"/>
      <c r="PVP102" s="395"/>
      <c r="PVQ102" s="395"/>
      <c r="PVR102" s="395"/>
      <c r="PVS102" s="395"/>
      <c r="PVT102" s="395"/>
      <c r="PVU102" s="395"/>
      <c r="PVV102" s="395"/>
      <c r="PVW102" s="395"/>
      <c r="PVX102" s="395"/>
      <c r="PVY102" s="395"/>
      <c r="PVZ102" s="395"/>
      <c r="PWA102" s="395"/>
      <c r="PWB102" s="395"/>
      <c r="PWC102" s="395"/>
      <c r="PWD102" s="395"/>
      <c r="PWE102" s="395"/>
      <c r="PWF102" s="395"/>
      <c r="PWG102" s="396"/>
      <c r="PWH102" s="394"/>
      <c r="PWI102" s="395"/>
      <c r="PWJ102" s="395"/>
      <c r="PWK102" s="395"/>
      <c r="PWL102" s="395"/>
      <c r="PWM102" s="395"/>
      <c r="PWN102" s="395"/>
      <c r="PWO102" s="395"/>
      <c r="PWP102" s="395"/>
      <c r="PWQ102" s="395"/>
      <c r="PWR102" s="395"/>
      <c r="PWS102" s="395"/>
      <c r="PWT102" s="395"/>
      <c r="PWU102" s="395"/>
      <c r="PWV102" s="395"/>
      <c r="PWW102" s="395"/>
      <c r="PWX102" s="395"/>
      <c r="PWY102" s="395"/>
      <c r="PWZ102" s="395"/>
      <c r="PXA102" s="395"/>
      <c r="PXB102" s="395"/>
      <c r="PXC102" s="395"/>
      <c r="PXD102" s="395"/>
      <c r="PXE102" s="395"/>
      <c r="PXF102" s="395"/>
      <c r="PXG102" s="395"/>
      <c r="PXH102" s="396"/>
      <c r="PXI102" s="394"/>
      <c r="PXJ102" s="395"/>
      <c r="PXK102" s="395"/>
      <c r="PXL102" s="395"/>
      <c r="PXM102" s="395"/>
      <c r="PXN102" s="395"/>
      <c r="PXO102" s="395"/>
      <c r="PXP102" s="395"/>
      <c r="PXQ102" s="395"/>
      <c r="PXR102" s="395"/>
      <c r="PXS102" s="395"/>
      <c r="PXT102" s="395"/>
      <c r="PXU102" s="395"/>
      <c r="PXV102" s="395"/>
      <c r="PXW102" s="395"/>
      <c r="PXX102" s="395"/>
      <c r="PXY102" s="395"/>
      <c r="PXZ102" s="395"/>
      <c r="PYA102" s="395"/>
      <c r="PYB102" s="395"/>
      <c r="PYC102" s="395"/>
      <c r="PYD102" s="395"/>
      <c r="PYE102" s="395"/>
      <c r="PYF102" s="395"/>
      <c r="PYG102" s="395"/>
      <c r="PYH102" s="395"/>
      <c r="PYI102" s="396"/>
      <c r="PYJ102" s="394"/>
      <c r="PYK102" s="395"/>
      <c r="PYL102" s="395"/>
      <c r="PYM102" s="395"/>
      <c r="PYN102" s="395"/>
      <c r="PYO102" s="395"/>
      <c r="PYP102" s="395"/>
      <c r="PYQ102" s="395"/>
      <c r="PYR102" s="395"/>
      <c r="PYS102" s="395"/>
      <c r="PYT102" s="395"/>
      <c r="PYU102" s="395"/>
      <c r="PYV102" s="395"/>
      <c r="PYW102" s="395"/>
      <c r="PYX102" s="395"/>
      <c r="PYY102" s="395"/>
      <c r="PYZ102" s="395"/>
      <c r="PZA102" s="395"/>
      <c r="PZB102" s="395"/>
      <c r="PZC102" s="395"/>
      <c r="PZD102" s="395"/>
      <c r="PZE102" s="395"/>
      <c r="PZF102" s="395"/>
      <c r="PZG102" s="395"/>
      <c r="PZH102" s="395"/>
      <c r="PZI102" s="395"/>
      <c r="PZJ102" s="396"/>
      <c r="PZK102" s="394"/>
      <c r="PZL102" s="395"/>
      <c r="PZM102" s="395"/>
      <c r="PZN102" s="395"/>
      <c r="PZO102" s="395"/>
      <c r="PZP102" s="395"/>
      <c r="PZQ102" s="395"/>
      <c r="PZR102" s="395"/>
      <c r="PZS102" s="395"/>
      <c r="PZT102" s="395"/>
      <c r="PZU102" s="395"/>
      <c r="PZV102" s="395"/>
      <c r="PZW102" s="395"/>
      <c r="PZX102" s="395"/>
      <c r="PZY102" s="395"/>
      <c r="PZZ102" s="395"/>
      <c r="QAA102" s="395"/>
      <c r="QAB102" s="395"/>
      <c r="QAC102" s="395"/>
      <c r="QAD102" s="395"/>
      <c r="QAE102" s="395"/>
      <c r="QAF102" s="395"/>
      <c r="QAG102" s="395"/>
      <c r="QAH102" s="395"/>
      <c r="QAI102" s="395"/>
      <c r="QAJ102" s="395"/>
      <c r="QAK102" s="396"/>
      <c r="QAL102" s="394"/>
      <c r="QAM102" s="395"/>
      <c r="QAN102" s="395"/>
      <c r="QAO102" s="395"/>
      <c r="QAP102" s="395"/>
      <c r="QAQ102" s="395"/>
      <c r="QAR102" s="395"/>
      <c r="QAS102" s="395"/>
      <c r="QAT102" s="395"/>
      <c r="QAU102" s="395"/>
      <c r="QAV102" s="395"/>
      <c r="QAW102" s="395"/>
      <c r="QAX102" s="395"/>
      <c r="QAY102" s="395"/>
      <c r="QAZ102" s="395"/>
      <c r="QBA102" s="395"/>
      <c r="QBB102" s="395"/>
      <c r="QBC102" s="395"/>
      <c r="QBD102" s="395"/>
      <c r="QBE102" s="395"/>
      <c r="QBF102" s="395"/>
      <c r="QBG102" s="395"/>
      <c r="QBH102" s="395"/>
      <c r="QBI102" s="395"/>
      <c r="QBJ102" s="395"/>
      <c r="QBK102" s="395"/>
      <c r="QBL102" s="396"/>
      <c r="QBM102" s="394"/>
      <c r="QBN102" s="395"/>
      <c r="QBO102" s="395"/>
      <c r="QBP102" s="395"/>
      <c r="QBQ102" s="395"/>
      <c r="QBR102" s="395"/>
      <c r="QBS102" s="395"/>
      <c r="QBT102" s="395"/>
      <c r="QBU102" s="395"/>
      <c r="QBV102" s="395"/>
      <c r="QBW102" s="395"/>
      <c r="QBX102" s="395"/>
      <c r="QBY102" s="395"/>
      <c r="QBZ102" s="395"/>
      <c r="QCA102" s="395"/>
      <c r="QCB102" s="395"/>
      <c r="QCC102" s="395"/>
      <c r="QCD102" s="395"/>
      <c r="QCE102" s="395"/>
      <c r="QCF102" s="395"/>
      <c r="QCG102" s="395"/>
      <c r="QCH102" s="395"/>
      <c r="QCI102" s="395"/>
      <c r="QCJ102" s="395"/>
      <c r="QCK102" s="395"/>
      <c r="QCL102" s="395"/>
      <c r="QCM102" s="396"/>
      <c r="QCN102" s="394"/>
      <c r="QCO102" s="395"/>
      <c r="QCP102" s="395"/>
      <c r="QCQ102" s="395"/>
      <c r="QCR102" s="395"/>
      <c r="QCS102" s="395"/>
      <c r="QCT102" s="395"/>
      <c r="QCU102" s="395"/>
      <c r="QCV102" s="395"/>
      <c r="QCW102" s="395"/>
      <c r="QCX102" s="395"/>
      <c r="QCY102" s="395"/>
      <c r="QCZ102" s="395"/>
      <c r="QDA102" s="395"/>
      <c r="QDB102" s="395"/>
      <c r="QDC102" s="395"/>
      <c r="QDD102" s="395"/>
      <c r="QDE102" s="395"/>
      <c r="QDF102" s="395"/>
      <c r="QDG102" s="395"/>
      <c r="QDH102" s="395"/>
      <c r="QDI102" s="395"/>
      <c r="QDJ102" s="395"/>
      <c r="QDK102" s="395"/>
      <c r="QDL102" s="395"/>
      <c r="QDM102" s="395"/>
      <c r="QDN102" s="396"/>
      <c r="QDO102" s="394"/>
      <c r="QDP102" s="395"/>
      <c r="QDQ102" s="395"/>
      <c r="QDR102" s="395"/>
      <c r="QDS102" s="395"/>
      <c r="QDT102" s="395"/>
      <c r="QDU102" s="395"/>
      <c r="QDV102" s="395"/>
      <c r="QDW102" s="395"/>
      <c r="QDX102" s="395"/>
      <c r="QDY102" s="395"/>
      <c r="QDZ102" s="395"/>
      <c r="QEA102" s="395"/>
      <c r="QEB102" s="395"/>
      <c r="QEC102" s="395"/>
      <c r="QED102" s="395"/>
      <c r="QEE102" s="395"/>
      <c r="QEF102" s="395"/>
      <c r="QEG102" s="395"/>
      <c r="QEH102" s="395"/>
      <c r="QEI102" s="395"/>
      <c r="QEJ102" s="395"/>
      <c r="QEK102" s="395"/>
      <c r="QEL102" s="395"/>
      <c r="QEM102" s="395"/>
      <c r="QEN102" s="395"/>
      <c r="QEO102" s="396"/>
      <c r="QEP102" s="394"/>
      <c r="QEQ102" s="395"/>
      <c r="QER102" s="395"/>
      <c r="QES102" s="395"/>
      <c r="QET102" s="395"/>
      <c r="QEU102" s="395"/>
      <c r="QEV102" s="395"/>
      <c r="QEW102" s="395"/>
      <c r="QEX102" s="395"/>
      <c r="QEY102" s="395"/>
      <c r="QEZ102" s="395"/>
      <c r="QFA102" s="395"/>
      <c r="QFB102" s="395"/>
      <c r="QFC102" s="395"/>
      <c r="QFD102" s="395"/>
      <c r="QFE102" s="395"/>
      <c r="QFF102" s="395"/>
      <c r="QFG102" s="395"/>
      <c r="QFH102" s="395"/>
      <c r="QFI102" s="395"/>
      <c r="QFJ102" s="395"/>
      <c r="QFK102" s="395"/>
      <c r="QFL102" s="395"/>
      <c r="QFM102" s="395"/>
      <c r="QFN102" s="395"/>
      <c r="QFO102" s="395"/>
      <c r="QFP102" s="396"/>
      <c r="QFQ102" s="394"/>
      <c r="QFR102" s="395"/>
      <c r="QFS102" s="395"/>
      <c r="QFT102" s="395"/>
      <c r="QFU102" s="395"/>
      <c r="QFV102" s="395"/>
      <c r="QFW102" s="395"/>
      <c r="QFX102" s="395"/>
      <c r="QFY102" s="395"/>
      <c r="QFZ102" s="395"/>
      <c r="QGA102" s="395"/>
      <c r="QGB102" s="395"/>
      <c r="QGC102" s="395"/>
      <c r="QGD102" s="395"/>
      <c r="QGE102" s="395"/>
      <c r="QGF102" s="395"/>
      <c r="QGG102" s="395"/>
      <c r="QGH102" s="395"/>
      <c r="QGI102" s="395"/>
      <c r="QGJ102" s="395"/>
      <c r="QGK102" s="395"/>
      <c r="QGL102" s="395"/>
      <c r="QGM102" s="395"/>
      <c r="QGN102" s="395"/>
      <c r="QGO102" s="395"/>
      <c r="QGP102" s="395"/>
      <c r="QGQ102" s="396"/>
      <c r="QGR102" s="394"/>
      <c r="QGS102" s="395"/>
      <c r="QGT102" s="395"/>
      <c r="QGU102" s="395"/>
      <c r="QGV102" s="395"/>
      <c r="QGW102" s="395"/>
      <c r="QGX102" s="395"/>
      <c r="QGY102" s="395"/>
      <c r="QGZ102" s="395"/>
      <c r="QHA102" s="395"/>
      <c r="QHB102" s="395"/>
      <c r="QHC102" s="395"/>
      <c r="QHD102" s="395"/>
      <c r="QHE102" s="395"/>
      <c r="QHF102" s="395"/>
      <c r="QHG102" s="395"/>
      <c r="QHH102" s="395"/>
      <c r="QHI102" s="395"/>
      <c r="QHJ102" s="395"/>
      <c r="QHK102" s="395"/>
      <c r="QHL102" s="395"/>
      <c r="QHM102" s="395"/>
      <c r="QHN102" s="395"/>
      <c r="QHO102" s="395"/>
      <c r="QHP102" s="395"/>
      <c r="QHQ102" s="395"/>
      <c r="QHR102" s="396"/>
      <c r="QHS102" s="394"/>
      <c r="QHT102" s="395"/>
      <c r="QHU102" s="395"/>
      <c r="QHV102" s="395"/>
      <c r="QHW102" s="395"/>
      <c r="QHX102" s="395"/>
      <c r="QHY102" s="395"/>
      <c r="QHZ102" s="395"/>
      <c r="QIA102" s="395"/>
      <c r="QIB102" s="395"/>
      <c r="QIC102" s="395"/>
      <c r="QID102" s="395"/>
      <c r="QIE102" s="395"/>
      <c r="QIF102" s="395"/>
      <c r="QIG102" s="395"/>
      <c r="QIH102" s="395"/>
      <c r="QII102" s="395"/>
      <c r="QIJ102" s="395"/>
      <c r="QIK102" s="395"/>
      <c r="QIL102" s="395"/>
      <c r="QIM102" s="395"/>
      <c r="QIN102" s="395"/>
      <c r="QIO102" s="395"/>
      <c r="QIP102" s="395"/>
      <c r="QIQ102" s="395"/>
      <c r="QIR102" s="395"/>
      <c r="QIS102" s="396"/>
      <c r="QIT102" s="394"/>
      <c r="QIU102" s="395"/>
      <c r="QIV102" s="395"/>
      <c r="QIW102" s="395"/>
      <c r="QIX102" s="395"/>
      <c r="QIY102" s="395"/>
      <c r="QIZ102" s="395"/>
      <c r="QJA102" s="395"/>
      <c r="QJB102" s="395"/>
      <c r="QJC102" s="395"/>
      <c r="QJD102" s="395"/>
      <c r="QJE102" s="395"/>
      <c r="QJF102" s="395"/>
      <c r="QJG102" s="395"/>
      <c r="QJH102" s="395"/>
      <c r="QJI102" s="395"/>
      <c r="QJJ102" s="395"/>
      <c r="QJK102" s="395"/>
      <c r="QJL102" s="395"/>
      <c r="QJM102" s="395"/>
      <c r="QJN102" s="395"/>
      <c r="QJO102" s="395"/>
      <c r="QJP102" s="395"/>
      <c r="QJQ102" s="395"/>
      <c r="QJR102" s="395"/>
      <c r="QJS102" s="395"/>
      <c r="QJT102" s="396"/>
      <c r="QJU102" s="394"/>
      <c r="QJV102" s="395"/>
      <c r="QJW102" s="395"/>
      <c r="QJX102" s="395"/>
      <c r="QJY102" s="395"/>
      <c r="QJZ102" s="395"/>
      <c r="QKA102" s="395"/>
      <c r="QKB102" s="395"/>
      <c r="QKC102" s="395"/>
      <c r="QKD102" s="395"/>
      <c r="QKE102" s="395"/>
      <c r="QKF102" s="395"/>
      <c r="QKG102" s="395"/>
      <c r="QKH102" s="395"/>
      <c r="QKI102" s="395"/>
      <c r="QKJ102" s="395"/>
      <c r="QKK102" s="395"/>
      <c r="QKL102" s="395"/>
      <c r="QKM102" s="395"/>
      <c r="QKN102" s="395"/>
      <c r="QKO102" s="395"/>
      <c r="QKP102" s="395"/>
      <c r="QKQ102" s="395"/>
      <c r="QKR102" s="395"/>
      <c r="QKS102" s="395"/>
      <c r="QKT102" s="395"/>
      <c r="QKU102" s="396"/>
      <c r="QKV102" s="394"/>
      <c r="QKW102" s="395"/>
      <c r="QKX102" s="395"/>
      <c r="QKY102" s="395"/>
      <c r="QKZ102" s="395"/>
      <c r="QLA102" s="395"/>
      <c r="QLB102" s="395"/>
      <c r="QLC102" s="395"/>
      <c r="QLD102" s="395"/>
      <c r="QLE102" s="395"/>
      <c r="QLF102" s="395"/>
      <c r="QLG102" s="395"/>
      <c r="QLH102" s="395"/>
      <c r="QLI102" s="395"/>
      <c r="QLJ102" s="395"/>
      <c r="QLK102" s="395"/>
      <c r="QLL102" s="395"/>
      <c r="QLM102" s="395"/>
      <c r="QLN102" s="395"/>
      <c r="QLO102" s="395"/>
      <c r="QLP102" s="395"/>
      <c r="QLQ102" s="395"/>
      <c r="QLR102" s="395"/>
      <c r="QLS102" s="395"/>
      <c r="QLT102" s="395"/>
      <c r="QLU102" s="395"/>
      <c r="QLV102" s="396"/>
      <c r="QLW102" s="394"/>
      <c r="QLX102" s="395"/>
      <c r="QLY102" s="395"/>
      <c r="QLZ102" s="395"/>
      <c r="QMA102" s="395"/>
      <c r="QMB102" s="395"/>
      <c r="QMC102" s="395"/>
      <c r="QMD102" s="395"/>
      <c r="QME102" s="395"/>
      <c r="QMF102" s="395"/>
      <c r="QMG102" s="395"/>
      <c r="QMH102" s="395"/>
      <c r="QMI102" s="395"/>
      <c r="QMJ102" s="395"/>
      <c r="QMK102" s="395"/>
      <c r="QML102" s="395"/>
      <c r="QMM102" s="395"/>
      <c r="QMN102" s="395"/>
      <c r="QMO102" s="395"/>
      <c r="QMP102" s="395"/>
      <c r="QMQ102" s="395"/>
      <c r="QMR102" s="395"/>
      <c r="QMS102" s="395"/>
      <c r="QMT102" s="395"/>
      <c r="QMU102" s="395"/>
      <c r="QMV102" s="395"/>
      <c r="QMW102" s="396"/>
      <c r="QMX102" s="394"/>
      <c r="QMY102" s="395"/>
      <c r="QMZ102" s="395"/>
      <c r="QNA102" s="395"/>
      <c r="QNB102" s="395"/>
      <c r="QNC102" s="395"/>
      <c r="QND102" s="395"/>
      <c r="QNE102" s="395"/>
      <c r="QNF102" s="395"/>
      <c r="QNG102" s="395"/>
      <c r="QNH102" s="395"/>
      <c r="QNI102" s="395"/>
      <c r="QNJ102" s="395"/>
      <c r="QNK102" s="395"/>
      <c r="QNL102" s="395"/>
      <c r="QNM102" s="395"/>
      <c r="QNN102" s="395"/>
      <c r="QNO102" s="395"/>
      <c r="QNP102" s="395"/>
      <c r="QNQ102" s="395"/>
      <c r="QNR102" s="395"/>
      <c r="QNS102" s="395"/>
      <c r="QNT102" s="395"/>
      <c r="QNU102" s="395"/>
      <c r="QNV102" s="395"/>
      <c r="QNW102" s="395"/>
      <c r="QNX102" s="396"/>
      <c r="QNY102" s="394"/>
      <c r="QNZ102" s="395"/>
      <c r="QOA102" s="395"/>
      <c r="QOB102" s="395"/>
      <c r="QOC102" s="395"/>
      <c r="QOD102" s="395"/>
      <c r="QOE102" s="395"/>
      <c r="QOF102" s="395"/>
      <c r="QOG102" s="395"/>
      <c r="QOH102" s="395"/>
      <c r="QOI102" s="395"/>
      <c r="QOJ102" s="395"/>
      <c r="QOK102" s="395"/>
      <c r="QOL102" s="395"/>
      <c r="QOM102" s="395"/>
      <c r="QON102" s="395"/>
      <c r="QOO102" s="395"/>
      <c r="QOP102" s="395"/>
      <c r="QOQ102" s="395"/>
      <c r="QOR102" s="395"/>
      <c r="QOS102" s="395"/>
      <c r="QOT102" s="395"/>
      <c r="QOU102" s="395"/>
      <c r="QOV102" s="395"/>
      <c r="QOW102" s="395"/>
      <c r="QOX102" s="395"/>
      <c r="QOY102" s="396"/>
      <c r="QOZ102" s="394"/>
      <c r="QPA102" s="395"/>
      <c r="QPB102" s="395"/>
      <c r="QPC102" s="395"/>
      <c r="QPD102" s="395"/>
      <c r="QPE102" s="395"/>
      <c r="QPF102" s="395"/>
      <c r="QPG102" s="395"/>
      <c r="QPH102" s="395"/>
      <c r="QPI102" s="395"/>
      <c r="QPJ102" s="395"/>
      <c r="QPK102" s="395"/>
      <c r="QPL102" s="395"/>
      <c r="QPM102" s="395"/>
      <c r="QPN102" s="395"/>
      <c r="QPO102" s="395"/>
      <c r="QPP102" s="395"/>
      <c r="QPQ102" s="395"/>
      <c r="QPR102" s="395"/>
      <c r="QPS102" s="395"/>
      <c r="QPT102" s="395"/>
      <c r="QPU102" s="395"/>
      <c r="QPV102" s="395"/>
      <c r="QPW102" s="395"/>
      <c r="QPX102" s="395"/>
      <c r="QPY102" s="395"/>
      <c r="QPZ102" s="396"/>
      <c r="QQA102" s="394"/>
      <c r="QQB102" s="395"/>
      <c r="QQC102" s="395"/>
      <c r="QQD102" s="395"/>
      <c r="QQE102" s="395"/>
      <c r="QQF102" s="395"/>
      <c r="QQG102" s="395"/>
      <c r="QQH102" s="395"/>
      <c r="QQI102" s="395"/>
      <c r="QQJ102" s="395"/>
      <c r="QQK102" s="395"/>
      <c r="QQL102" s="395"/>
      <c r="QQM102" s="395"/>
      <c r="QQN102" s="395"/>
      <c r="QQO102" s="395"/>
      <c r="QQP102" s="395"/>
      <c r="QQQ102" s="395"/>
      <c r="QQR102" s="395"/>
      <c r="QQS102" s="395"/>
      <c r="QQT102" s="395"/>
      <c r="QQU102" s="395"/>
      <c r="QQV102" s="395"/>
      <c r="QQW102" s="395"/>
      <c r="QQX102" s="395"/>
      <c r="QQY102" s="395"/>
      <c r="QQZ102" s="395"/>
      <c r="QRA102" s="396"/>
      <c r="QRB102" s="394"/>
      <c r="QRC102" s="395"/>
      <c r="QRD102" s="395"/>
      <c r="QRE102" s="395"/>
      <c r="QRF102" s="395"/>
      <c r="QRG102" s="395"/>
      <c r="QRH102" s="395"/>
      <c r="QRI102" s="395"/>
      <c r="QRJ102" s="395"/>
      <c r="QRK102" s="395"/>
      <c r="QRL102" s="395"/>
      <c r="QRM102" s="395"/>
      <c r="QRN102" s="395"/>
      <c r="QRO102" s="395"/>
      <c r="QRP102" s="395"/>
      <c r="QRQ102" s="395"/>
      <c r="QRR102" s="395"/>
      <c r="QRS102" s="395"/>
      <c r="QRT102" s="395"/>
      <c r="QRU102" s="395"/>
      <c r="QRV102" s="395"/>
      <c r="QRW102" s="395"/>
      <c r="QRX102" s="395"/>
      <c r="QRY102" s="395"/>
      <c r="QRZ102" s="395"/>
      <c r="QSA102" s="395"/>
      <c r="QSB102" s="396"/>
      <c r="QSC102" s="394"/>
      <c r="QSD102" s="395"/>
      <c r="QSE102" s="395"/>
      <c r="QSF102" s="395"/>
      <c r="QSG102" s="395"/>
      <c r="QSH102" s="395"/>
      <c r="QSI102" s="395"/>
      <c r="QSJ102" s="395"/>
      <c r="QSK102" s="395"/>
      <c r="QSL102" s="395"/>
      <c r="QSM102" s="395"/>
      <c r="QSN102" s="395"/>
      <c r="QSO102" s="395"/>
      <c r="QSP102" s="395"/>
      <c r="QSQ102" s="395"/>
      <c r="QSR102" s="395"/>
      <c r="QSS102" s="395"/>
      <c r="QST102" s="395"/>
      <c r="QSU102" s="395"/>
      <c r="QSV102" s="395"/>
      <c r="QSW102" s="395"/>
      <c r="QSX102" s="395"/>
      <c r="QSY102" s="395"/>
      <c r="QSZ102" s="395"/>
      <c r="QTA102" s="395"/>
      <c r="QTB102" s="395"/>
      <c r="QTC102" s="396"/>
      <c r="QTD102" s="394"/>
      <c r="QTE102" s="395"/>
      <c r="QTF102" s="395"/>
      <c r="QTG102" s="395"/>
      <c r="QTH102" s="395"/>
      <c r="QTI102" s="395"/>
      <c r="QTJ102" s="395"/>
      <c r="QTK102" s="395"/>
      <c r="QTL102" s="395"/>
      <c r="QTM102" s="395"/>
      <c r="QTN102" s="395"/>
      <c r="QTO102" s="395"/>
      <c r="QTP102" s="395"/>
      <c r="QTQ102" s="395"/>
      <c r="QTR102" s="395"/>
      <c r="QTS102" s="395"/>
      <c r="QTT102" s="395"/>
      <c r="QTU102" s="395"/>
      <c r="QTV102" s="395"/>
      <c r="QTW102" s="395"/>
      <c r="QTX102" s="395"/>
      <c r="QTY102" s="395"/>
      <c r="QTZ102" s="395"/>
      <c r="QUA102" s="395"/>
      <c r="QUB102" s="395"/>
      <c r="QUC102" s="395"/>
      <c r="QUD102" s="396"/>
      <c r="QUE102" s="394"/>
      <c r="QUF102" s="395"/>
      <c r="QUG102" s="395"/>
      <c r="QUH102" s="395"/>
      <c r="QUI102" s="395"/>
      <c r="QUJ102" s="395"/>
      <c r="QUK102" s="395"/>
      <c r="QUL102" s="395"/>
      <c r="QUM102" s="395"/>
      <c r="QUN102" s="395"/>
      <c r="QUO102" s="395"/>
      <c r="QUP102" s="395"/>
      <c r="QUQ102" s="395"/>
      <c r="QUR102" s="395"/>
      <c r="QUS102" s="395"/>
      <c r="QUT102" s="395"/>
      <c r="QUU102" s="395"/>
      <c r="QUV102" s="395"/>
      <c r="QUW102" s="395"/>
      <c r="QUX102" s="395"/>
      <c r="QUY102" s="395"/>
      <c r="QUZ102" s="395"/>
      <c r="QVA102" s="395"/>
      <c r="QVB102" s="395"/>
      <c r="QVC102" s="395"/>
      <c r="QVD102" s="395"/>
      <c r="QVE102" s="396"/>
      <c r="QVF102" s="394"/>
      <c r="QVG102" s="395"/>
      <c r="QVH102" s="395"/>
      <c r="QVI102" s="395"/>
      <c r="QVJ102" s="395"/>
      <c r="QVK102" s="395"/>
      <c r="QVL102" s="395"/>
      <c r="QVM102" s="395"/>
      <c r="QVN102" s="395"/>
      <c r="QVO102" s="395"/>
      <c r="QVP102" s="395"/>
      <c r="QVQ102" s="395"/>
      <c r="QVR102" s="395"/>
      <c r="QVS102" s="395"/>
      <c r="QVT102" s="395"/>
      <c r="QVU102" s="395"/>
      <c r="QVV102" s="395"/>
      <c r="QVW102" s="395"/>
      <c r="QVX102" s="395"/>
      <c r="QVY102" s="395"/>
      <c r="QVZ102" s="395"/>
      <c r="QWA102" s="395"/>
      <c r="QWB102" s="395"/>
      <c r="QWC102" s="395"/>
      <c r="QWD102" s="395"/>
      <c r="QWE102" s="395"/>
      <c r="QWF102" s="396"/>
      <c r="QWG102" s="394"/>
      <c r="QWH102" s="395"/>
      <c r="QWI102" s="395"/>
      <c r="QWJ102" s="395"/>
      <c r="QWK102" s="395"/>
      <c r="QWL102" s="395"/>
      <c r="QWM102" s="395"/>
      <c r="QWN102" s="395"/>
      <c r="QWO102" s="395"/>
      <c r="QWP102" s="395"/>
      <c r="QWQ102" s="395"/>
      <c r="QWR102" s="395"/>
      <c r="QWS102" s="395"/>
      <c r="QWT102" s="395"/>
      <c r="QWU102" s="395"/>
      <c r="QWV102" s="395"/>
      <c r="QWW102" s="395"/>
      <c r="QWX102" s="395"/>
      <c r="QWY102" s="395"/>
      <c r="QWZ102" s="395"/>
      <c r="QXA102" s="395"/>
      <c r="QXB102" s="395"/>
      <c r="QXC102" s="395"/>
      <c r="QXD102" s="395"/>
      <c r="QXE102" s="395"/>
      <c r="QXF102" s="395"/>
      <c r="QXG102" s="396"/>
      <c r="QXH102" s="394"/>
      <c r="QXI102" s="395"/>
      <c r="QXJ102" s="395"/>
      <c r="QXK102" s="395"/>
      <c r="QXL102" s="395"/>
      <c r="QXM102" s="395"/>
      <c r="QXN102" s="395"/>
      <c r="QXO102" s="395"/>
      <c r="QXP102" s="395"/>
      <c r="QXQ102" s="395"/>
      <c r="QXR102" s="395"/>
      <c r="QXS102" s="395"/>
      <c r="QXT102" s="395"/>
      <c r="QXU102" s="395"/>
      <c r="QXV102" s="395"/>
      <c r="QXW102" s="395"/>
      <c r="QXX102" s="395"/>
      <c r="QXY102" s="395"/>
      <c r="QXZ102" s="395"/>
      <c r="QYA102" s="395"/>
      <c r="QYB102" s="395"/>
      <c r="QYC102" s="395"/>
      <c r="QYD102" s="395"/>
      <c r="QYE102" s="395"/>
      <c r="QYF102" s="395"/>
      <c r="QYG102" s="395"/>
      <c r="QYH102" s="396"/>
      <c r="QYI102" s="394"/>
      <c r="QYJ102" s="395"/>
      <c r="QYK102" s="395"/>
      <c r="QYL102" s="395"/>
      <c r="QYM102" s="395"/>
      <c r="QYN102" s="395"/>
      <c r="QYO102" s="395"/>
      <c r="QYP102" s="395"/>
      <c r="QYQ102" s="395"/>
      <c r="QYR102" s="395"/>
      <c r="QYS102" s="395"/>
      <c r="QYT102" s="395"/>
      <c r="QYU102" s="395"/>
      <c r="QYV102" s="395"/>
      <c r="QYW102" s="395"/>
      <c r="QYX102" s="395"/>
      <c r="QYY102" s="395"/>
      <c r="QYZ102" s="395"/>
      <c r="QZA102" s="395"/>
      <c r="QZB102" s="395"/>
      <c r="QZC102" s="395"/>
      <c r="QZD102" s="395"/>
      <c r="QZE102" s="395"/>
      <c r="QZF102" s="395"/>
      <c r="QZG102" s="395"/>
      <c r="QZH102" s="395"/>
      <c r="QZI102" s="396"/>
      <c r="QZJ102" s="394"/>
      <c r="QZK102" s="395"/>
      <c r="QZL102" s="395"/>
      <c r="QZM102" s="395"/>
      <c r="QZN102" s="395"/>
      <c r="QZO102" s="395"/>
      <c r="QZP102" s="395"/>
      <c r="QZQ102" s="395"/>
      <c r="QZR102" s="395"/>
      <c r="QZS102" s="395"/>
      <c r="QZT102" s="395"/>
      <c r="QZU102" s="395"/>
      <c r="QZV102" s="395"/>
      <c r="QZW102" s="395"/>
      <c r="QZX102" s="395"/>
      <c r="QZY102" s="395"/>
      <c r="QZZ102" s="395"/>
      <c r="RAA102" s="395"/>
      <c r="RAB102" s="395"/>
      <c r="RAC102" s="395"/>
      <c r="RAD102" s="395"/>
      <c r="RAE102" s="395"/>
      <c r="RAF102" s="395"/>
      <c r="RAG102" s="395"/>
      <c r="RAH102" s="395"/>
      <c r="RAI102" s="395"/>
      <c r="RAJ102" s="396"/>
      <c r="RAK102" s="394"/>
      <c r="RAL102" s="395"/>
      <c r="RAM102" s="395"/>
      <c r="RAN102" s="395"/>
      <c r="RAO102" s="395"/>
      <c r="RAP102" s="395"/>
      <c r="RAQ102" s="395"/>
      <c r="RAR102" s="395"/>
      <c r="RAS102" s="395"/>
      <c r="RAT102" s="395"/>
      <c r="RAU102" s="395"/>
      <c r="RAV102" s="395"/>
      <c r="RAW102" s="395"/>
      <c r="RAX102" s="395"/>
      <c r="RAY102" s="395"/>
      <c r="RAZ102" s="395"/>
      <c r="RBA102" s="395"/>
      <c r="RBB102" s="395"/>
      <c r="RBC102" s="395"/>
      <c r="RBD102" s="395"/>
      <c r="RBE102" s="395"/>
      <c r="RBF102" s="395"/>
      <c r="RBG102" s="395"/>
      <c r="RBH102" s="395"/>
      <c r="RBI102" s="395"/>
      <c r="RBJ102" s="395"/>
      <c r="RBK102" s="396"/>
      <c r="RBL102" s="394"/>
      <c r="RBM102" s="395"/>
      <c r="RBN102" s="395"/>
      <c r="RBO102" s="395"/>
      <c r="RBP102" s="395"/>
      <c r="RBQ102" s="395"/>
      <c r="RBR102" s="395"/>
      <c r="RBS102" s="395"/>
      <c r="RBT102" s="395"/>
      <c r="RBU102" s="395"/>
      <c r="RBV102" s="395"/>
      <c r="RBW102" s="395"/>
      <c r="RBX102" s="395"/>
      <c r="RBY102" s="395"/>
      <c r="RBZ102" s="395"/>
      <c r="RCA102" s="395"/>
      <c r="RCB102" s="395"/>
      <c r="RCC102" s="395"/>
      <c r="RCD102" s="395"/>
      <c r="RCE102" s="395"/>
      <c r="RCF102" s="395"/>
      <c r="RCG102" s="395"/>
      <c r="RCH102" s="395"/>
      <c r="RCI102" s="395"/>
      <c r="RCJ102" s="395"/>
      <c r="RCK102" s="395"/>
      <c r="RCL102" s="396"/>
      <c r="RCM102" s="394"/>
      <c r="RCN102" s="395"/>
      <c r="RCO102" s="395"/>
      <c r="RCP102" s="395"/>
      <c r="RCQ102" s="395"/>
      <c r="RCR102" s="395"/>
      <c r="RCS102" s="395"/>
      <c r="RCT102" s="395"/>
      <c r="RCU102" s="395"/>
      <c r="RCV102" s="395"/>
      <c r="RCW102" s="395"/>
      <c r="RCX102" s="395"/>
      <c r="RCY102" s="395"/>
      <c r="RCZ102" s="395"/>
      <c r="RDA102" s="395"/>
      <c r="RDB102" s="395"/>
      <c r="RDC102" s="395"/>
      <c r="RDD102" s="395"/>
      <c r="RDE102" s="395"/>
      <c r="RDF102" s="395"/>
      <c r="RDG102" s="395"/>
      <c r="RDH102" s="395"/>
      <c r="RDI102" s="395"/>
      <c r="RDJ102" s="395"/>
      <c r="RDK102" s="395"/>
      <c r="RDL102" s="395"/>
      <c r="RDM102" s="396"/>
      <c r="RDN102" s="394"/>
      <c r="RDO102" s="395"/>
      <c r="RDP102" s="395"/>
      <c r="RDQ102" s="395"/>
      <c r="RDR102" s="395"/>
      <c r="RDS102" s="395"/>
      <c r="RDT102" s="395"/>
      <c r="RDU102" s="395"/>
      <c r="RDV102" s="395"/>
      <c r="RDW102" s="395"/>
      <c r="RDX102" s="395"/>
      <c r="RDY102" s="395"/>
      <c r="RDZ102" s="395"/>
      <c r="REA102" s="395"/>
      <c r="REB102" s="395"/>
      <c r="REC102" s="395"/>
      <c r="RED102" s="395"/>
      <c r="REE102" s="395"/>
      <c r="REF102" s="395"/>
      <c r="REG102" s="395"/>
      <c r="REH102" s="395"/>
      <c r="REI102" s="395"/>
      <c r="REJ102" s="395"/>
      <c r="REK102" s="395"/>
      <c r="REL102" s="395"/>
      <c r="REM102" s="395"/>
      <c r="REN102" s="396"/>
      <c r="REO102" s="394"/>
      <c r="REP102" s="395"/>
      <c r="REQ102" s="395"/>
      <c r="RER102" s="395"/>
      <c r="RES102" s="395"/>
      <c r="RET102" s="395"/>
      <c r="REU102" s="395"/>
      <c r="REV102" s="395"/>
      <c r="REW102" s="395"/>
      <c r="REX102" s="395"/>
      <c r="REY102" s="395"/>
      <c r="REZ102" s="395"/>
      <c r="RFA102" s="395"/>
      <c r="RFB102" s="395"/>
      <c r="RFC102" s="395"/>
      <c r="RFD102" s="395"/>
      <c r="RFE102" s="395"/>
      <c r="RFF102" s="395"/>
      <c r="RFG102" s="395"/>
      <c r="RFH102" s="395"/>
      <c r="RFI102" s="395"/>
      <c r="RFJ102" s="395"/>
      <c r="RFK102" s="395"/>
      <c r="RFL102" s="395"/>
      <c r="RFM102" s="395"/>
      <c r="RFN102" s="395"/>
      <c r="RFO102" s="396"/>
      <c r="RFP102" s="394"/>
      <c r="RFQ102" s="395"/>
      <c r="RFR102" s="395"/>
      <c r="RFS102" s="395"/>
      <c r="RFT102" s="395"/>
      <c r="RFU102" s="395"/>
      <c r="RFV102" s="395"/>
      <c r="RFW102" s="395"/>
      <c r="RFX102" s="395"/>
      <c r="RFY102" s="395"/>
      <c r="RFZ102" s="395"/>
      <c r="RGA102" s="395"/>
      <c r="RGB102" s="395"/>
      <c r="RGC102" s="395"/>
      <c r="RGD102" s="395"/>
      <c r="RGE102" s="395"/>
      <c r="RGF102" s="395"/>
      <c r="RGG102" s="395"/>
      <c r="RGH102" s="395"/>
      <c r="RGI102" s="395"/>
      <c r="RGJ102" s="395"/>
      <c r="RGK102" s="395"/>
      <c r="RGL102" s="395"/>
      <c r="RGM102" s="395"/>
      <c r="RGN102" s="395"/>
      <c r="RGO102" s="395"/>
      <c r="RGP102" s="396"/>
      <c r="RGQ102" s="394"/>
      <c r="RGR102" s="395"/>
      <c r="RGS102" s="395"/>
      <c r="RGT102" s="395"/>
      <c r="RGU102" s="395"/>
      <c r="RGV102" s="395"/>
      <c r="RGW102" s="395"/>
      <c r="RGX102" s="395"/>
      <c r="RGY102" s="395"/>
      <c r="RGZ102" s="395"/>
      <c r="RHA102" s="395"/>
      <c r="RHB102" s="395"/>
      <c r="RHC102" s="395"/>
      <c r="RHD102" s="395"/>
      <c r="RHE102" s="395"/>
      <c r="RHF102" s="395"/>
      <c r="RHG102" s="395"/>
      <c r="RHH102" s="395"/>
      <c r="RHI102" s="395"/>
      <c r="RHJ102" s="395"/>
      <c r="RHK102" s="395"/>
      <c r="RHL102" s="395"/>
      <c r="RHM102" s="395"/>
      <c r="RHN102" s="395"/>
      <c r="RHO102" s="395"/>
      <c r="RHP102" s="395"/>
      <c r="RHQ102" s="396"/>
      <c r="RHR102" s="394"/>
      <c r="RHS102" s="395"/>
      <c r="RHT102" s="395"/>
      <c r="RHU102" s="395"/>
      <c r="RHV102" s="395"/>
      <c r="RHW102" s="395"/>
      <c r="RHX102" s="395"/>
      <c r="RHY102" s="395"/>
      <c r="RHZ102" s="395"/>
      <c r="RIA102" s="395"/>
      <c r="RIB102" s="395"/>
      <c r="RIC102" s="395"/>
      <c r="RID102" s="395"/>
      <c r="RIE102" s="395"/>
      <c r="RIF102" s="395"/>
      <c r="RIG102" s="395"/>
      <c r="RIH102" s="395"/>
      <c r="RII102" s="395"/>
      <c r="RIJ102" s="395"/>
      <c r="RIK102" s="395"/>
      <c r="RIL102" s="395"/>
      <c r="RIM102" s="395"/>
      <c r="RIN102" s="395"/>
      <c r="RIO102" s="395"/>
      <c r="RIP102" s="395"/>
      <c r="RIQ102" s="395"/>
      <c r="RIR102" s="396"/>
      <c r="RIS102" s="394"/>
      <c r="RIT102" s="395"/>
      <c r="RIU102" s="395"/>
      <c r="RIV102" s="395"/>
      <c r="RIW102" s="395"/>
      <c r="RIX102" s="395"/>
      <c r="RIY102" s="395"/>
      <c r="RIZ102" s="395"/>
      <c r="RJA102" s="395"/>
      <c r="RJB102" s="395"/>
      <c r="RJC102" s="395"/>
      <c r="RJD102" s="395"/>
      <c r="RJE102" s="395"/>
      <c r="RJF102" s="395"/>
      <c r="RJG102" s="395"/>
      <c r="RJH102" s="395"/>
      <c r="RJI102" s="395"/>
      <c r="RJJ102" s="395"/>
      <c r="RJK102" s="395"/>
      <c r="RJL102" s="395"/>
      <c r="RJM102" s="395"/>
      <c r="RJN102" s="395"/>
      <c r="RJO102" s="395"/>
      <c r="RJP102" s="395"/>
      <c r="RJQ102" s="395"/>
      <c r="RJR102" s="395"/>
      <c r="RJS102" s="396"/>
      <c r="RJT102" s="394"/>
      <c r="RJU102" s="395"/>
      <c r="RJV102" s="395"/>
      <c r="RJW102" s="395"/>
      <c r="RJX102" s="395"/>
      <c r="RJY102" s="395"/>
      <c r="RJZ102" s="395"/>
      <c r="RKA102" s="395"/>
      <c r="RKB102" s="395"/>
      <c r="RKC102" s="395"/>
      <c r="RKD102" s="395"/>
      <c r="RKE102" s="395"/>
      <c r="RKF102" s="395"/>
      <c r="RKG102" s="395"/>
      <c r="RKH102" s="395"/>
      <c r="RKI102" s="395"/>
      <c r="RKJ102" s="395"/>
      <c r="RKK102" s="395"/>
      <c r="RKL102" s="395"/>
      <c r="RKM102" s="395"/>
      <c r="RKN102" s="395"/>
      <c r="RKO102" s="395"/>
      <c r="RKP102" s="395"/>
      <c r="RKQ102" s="395"/>
      <c r="RKR102" s="395"/>
      <c r="RKS102" s="395"/>
      <c r="RKT102" s="396"/>
      <c r="RKU102" s="394"/>
      <c r="RKV102" s="395"/>
      <c r="RKW102" s="395"/>
      <c r="RKX102" s="395"/>
      <c r="RKY102" s="395"/>
      <c r="RKZ102" s="395"/>
      <c r="RLA102" s="395"/>
      <c r="RLB102" s="395"/>
      <c r="RLC102" s="395"/>
      <c r="RLD102" s="395"/>
      <c r="RLE102" s="395"/>
      <c r="RLF102" s="395"/>
      <c r="RLG102" s="395"/>
      <c r="RLH102" s="395"/>
      <c r="RLI102" s="395"/>
      <c r="RLJ102" s="395"/>
      <c r="RLK102" s="395"/>
      <c r="RLL102" s="395"/>
      <c r="RLM102" s="395"/>
      <c r="RLN102" s="395"/>
      <c r="RLO102" s="395"/>
      <c r="RLP102" s="395"/>
      <c r="RLQ102" s="395"/>
      <c r="RLR102" s="395"/>
      <c r="RLS102" s="395"/>
      <c r="RLT102" s="395"/>
      <c r="RLU102" s="396"/>
      <c r="RLV102" s="394"/>
      <c r="RLW102" s="395"/>
      <c r="RLX102" s="395"/>
      <c r="RLY102" s="395"/>
      <c r="RLZ102" s="395"/>
      <c r="RMA102" s="395"/>
      <c r="RMB102" s="395"/>
      <c r="RMC102" s="395"/>
      <c r="RMD102" s="395"/>
      <c r="RME102" s="395"/>
      <c r="RMF102" s="395"/>
      <c r="RMG102" s="395"/>
      <c r="RMH102" s="395"/>
      <c r="RMI102" s="395"/>
      <c r="RMJ102" s="395"/>
      <c r="RMK102" s="395"/>
      <c r="RML102" s="395"/>
      <c r="RMM102" s="395"/>
      <c r="RMN102" s="395"/>
      <c r="RMO102" s="395"/>
      <c r="RMP102" s="395"/>
      <c r="RMQ102" s="395"/>
      <c r="RMR102" s="395"/>
      <c r="RMS102" s="395"/>
      <c r="RMT102" s="395"/>
      <c r="RMU102" s="395"/>
      <c r="RMV102" s="396"/>
      <c r="RMW102" s="394"/>
      <c r="RMX102" s="395"/>
      <c r="RMY102" s="395"/>
      <c r="RMZ102" s="395"/>
      <c r="RNA102" s="395"/>
      <c r="RNB102" s="395"/>
      <c r="RNC102" s="395"/>
      <c r="RND102" s="395"/>
      <c r="RNE102" s="395"/>
      <c r="RNF102" s="395"/>
      <c r="RNG102" s="395"/>
      <c r="RNH102" s="395"/>
      <c r="RNI102" s="395"/>
      <c r="RNJ102" s="395"/>
      <c r="RNK102" s="395"/>
      <c r="RNL102" s="395"/>
      <c r="RNM102" s="395"/>
      <c r="RNN102" s="395"/>
      <c r="RNO102" s="395"/>
      <c r="RNP102" s="395"/>
      <c r="RNQ102" s="395"/>
      <c r="RNR102" s="395"/>
      <c r="RNS102" s="395"/>
      <c r="RNT102" s="395"/>
      <c r="RNU102" s="395"/>
      <c r="RNV102" s="395"/>
      <c r="RNW102" s="396"/>
      <c r="RNX102" s="394"/>
      <c r="RNY102" s="395"/>
      <c r="RNZ102" s="395"/>
      <c r="ROA102" s="395"/>
      <c r="ROB102" s="395"/>
      <c r="ROC102" s="395"/>
      <c r="ROD102" s="395"/>
      <c r="ROE102" s="395"/>
      <c r="ROF102" s="395"/>
      <c r="ROG102" s="395"/>
      <c r="ROH102" s="395"/>
      <c r="ROI102" s="395"/>
      <c r="ROJ102" s="395"/>
      <c r="ROK102" s="395"/>
      <c r="ROL102" s="395"/>
      <c r="ROM102" s="395"/>
      <c r="RON102" s="395"/>
      <c r="ROO102" s="395"/>
      <c r="ROP102" s="395"/>
      <c r="ROQ102" s="395"/>
      <c r="ROR102" s="395"/>
      <c r="ROS102" s="395"/>
      <c r="ROT102" s="395"/>
      <c r="ROU102" s="395"/>
      <c r="ROV102" s="395"/>
      <c r="ROW102" s="395"/>
      <c r="ROX102" s="396"/>
      <c r="ROY102" s="394"/>
      <c r="ROZ102" s="395"/>
      <c r="RPA102" s="395"/>
      <c r="RPB102" s="395"/>
      <c r="RPC102" s="395"/>
      <c r="RPD102" s="395"/>
      <c r="RPE102" s="395"/>
      <c r="RPF102" s="395"/>
      <c r="RPG102" s="395"/>
      <c r="RPH102" s="395"/>
      <c r="RPI102" s="395"/>
      <c r="RPJ102" s="395"/>
      <c r="RPK102" s="395"/>
      <c r="RPL102" s="395"/>
      <c r="RPM102" s="395"/>
      <c r="RPN102" s="395"/>
      <c r="RPO102" s="395"/>
      <c r="RPP102" s="395"/>
      <c r="RPQ102" s="395"/>
      <c r="RPR102" s="395"/>
      <c r="RPS102" s="395"/>
      <c r="RPT102" s="395"/>
      <c r="RPU102" s="395"/>
      <c r="RPV102" s="395"/>
      <c r="RPW102" s="395"/>
      <c r="RPX102" s="395"/>
      <c r="RPY102" s="396"/>
      <c r="RPZ102" s="394"/>
      <c r="RQA102" s="395"/>
      <c r="RQB102" s="395"/>
      <c r="RQC102" s="395"/>
      <c r="RQD102" s="395"/>
      <c r="RQE102" s="395"/>
      <c r="RQF102" s="395"/>
      <c r="RQG102" s="395"/>
      <c r="RQH102" s="395"/>
      <c r="RQI102" s="395"/>
      <c r="RQJ102" s="395"/>
      <c r="RQK102" s="395"/>
      <c r="RQL102" s="395"/>
      <c r="RQM102" s="395"/>
      <c r="RQN102" s="395"/>
      <c r="RQO102" s="395"/>
      <c r="RQP102" s="395"/>
      <c r="RQQ102" s="395"/>
      <c r="RQR102" s="395"/>
      <c r="RQS102" s="395"/>
      <c r="RQT102" s="395"/>
      <c r="RQU102" s="395"/>
      <c r="RQV102" s="395"/>
      <c r="RQW102" s="395"/>
      <c r="RQX102" s="395"/>
      <c r="RQY102" s="395"/>
      <c r="RQZ102" s="396"/>
      <c r="RRA102" s="394"/>
      <c r="RRB102" s="395"/>
      <c r="RRC102" s="395"/>
      <c r="RRD102" s="395"/>
      <c r="RRE102" s="395"/>
      <c r="RRF102" s="395"/>
      <c r="RRG102" s="395"/>
      <c r="RRH102" s="395"/>
      <c r="RRI102" s="395"/>
      <c r="RRJ102" s="395"/>
      <c r="RRK102" s="395"/>
      <c r="RRL102" s="395"/>
      <c r="RRM102" s="395"/>
      <c r="RRN102" s="395"/>
      <c r="RRO102" s="395"/>
      <c r="RRP102" s="395"/>
      <c r="RRQ102" s="395"/>
      <c r="RRR102" s="395"/>
      <c r="RRS102" s="395"/>
      <c r="RRT102" s="395"/>
      <c r="RRU102" s="395"/>
      <c r="RRV102" s="395"/>
      <c r="RRW102" s="395"/>
      <c r="RRX102" s="395"/>
      <c r="RRY102" s="395"/>
      <c r="RRZ102" s="395"/>
      <c r="RSA102" s="396"/>
      <c r="RSB102" s="394"/>
      <c r="RSC102" s="395"/>
      <c r="RSD102" s="395"/>
      <c r="RSE102" s="395"/>
      <c r="RSF102" s="395"/>
      <c r="RSG102" s="395"/>
      <c r="RSH102" s="395"/>
      <c r="RSI102" s="395"/>
      <c r="RSJ102" s="395"/>
      <c r="RSK102" s="395"/>
      <c r="RSL102" s="395"/>
      <c r="RSM102" s="395"/>
      <c r="RSN102" s="395"/>
      <c r="RSO102" s="395"/>
      <c r="RSP102" s="395"/>
      <c r="RSQ102" s="395"/>
      <c r="RSR102" s="395"/>
      <c r="RSS102" s="395"/>
      <c r="RST102" s="395"/>
      <c r="RSU102" s="395"/>
      <c r="RSV102" s="395"/>
      <c r="RSW102" s="395"/>
      <c r="RSX102" s="395"/>
      <c r="RSY102" s="395"/>
      <c r="RSZ102" s="395"/>
      <c r="RTA102" s="395"/>
      <c r="RTB102" s="396"/>
      <c r="RTC102" s="394"/>
      <c r="RTD102" s="395"/>
      <c r="RTE102" s="395"/>
      <c r="RTF102" s="395"/>
      <c r="RTG102" s="395"/>
      <c r="RTH102" s="395"/>
      <c r="RTI102" s="395"/>
      <c r="RTJ102" s="395"/>
      <c r="RTK102" s="395"/>
      <c r="RTL102" s="395"/>
      <c r="RTM102" s="395"/>
      <c r="RTN102" s="395"/>
      <c r="RTO102" s="395"/>
      <c r="RTP102" s="395"/>
      <c r="RTQ102" s="395"/>
      <c r="RTR102" s="395"/>
      <c r="RTS102" s="395"/>
      <c r="RTT102" s="395"/>
      <c r="RTU102" s="395"/>
      <c r="RTV102" s="395"/>
      <c r="RTW102" s="395"/>
      <c r="RTX102" s="395"/>
      <c r="RTY102" s="395"/>
      <c r="RTZ102" s="395"/>
      <c r="RUA102" s="395"/>
      <c r="RUB102" s="395"/>
      <c r="RUC102" s="396"/>
      <c r="RUD102" s="394"/>
      <c r="RUE102" s="395"/>
      <c r="RUF102" s="395"/>
      <c r="RUG102" s="395"/>
      <c r="RUH102" s="395"/>
      <c r="RUI102" s="395"/>
      <c r="RUJ102" s="395"/>
      <c r="RUK102" s="395"/>
      <c r="RUL102" s="395"/>
      <c r="RUM102" s="395"/>
      <c r="RUN102" s="395"/>
      <c r="RUO102" s="395"/>
      <c r="RUP102" s="395"/>
      <c r="RUQ102" s="395"/>
      <c r="RUR102" s="395"/>
      <c r="RUS102" s="395"/>
      <c r="RUT102" s="395"/>
      <c r="RUU102" s="395"/>
      <c r="RUV102" s="395"/>
      <c r="RUW102" s="395"/>
      <c r="RUX102" s="395"/>
      <c r="RUY102" s="395"/>
      <c r="RUZ102" s="395"/>
      <c r="RVA102" s="395"/>
      <c r="RVB102" s="395"/>
      <c r="RVC102" s="395"/>
      <c r="RVD102" s="396"/>
      <c r="RVE102" s="394"/>
      <c r="RVF102" s="395"/>
      <c r="RVG102" s="395"/>
      <c r="RVH102" s="395"/>
      <c r="RVI102" s="395"/>
      <c r="RVJ102" s="395"/>
      <c r="RVK102" s="395"/>
      <c r="RVL102" s="395"/>
      <c r="RVM102" s="395"/>
      <c r="RVN102" s="395"/>
      <c r="RVO102" s="395"/>
      <c r="RVP102" s="395"/>
      <c r="RVQ102" s="395"/>
      <c r="RVR102" s="395"/>
      <c r="RVS102" s="395"/>
      <c r="RVT102" s="395"/>
      <c r="RVU102" s="395"/>
      <c r="RVV102" s="395"/>
      <c r="RVW102" s="395"/>
      <c r="RVX102" s="395"/>
      <c r="RVY102" s="395"/>
      <c r="RVZ102" s="395"/>
      <c r="RWA102" s="395"/>
      <c r="RWB102" s="395"/>
      <c r="RWC102" s="395"/>
      <c r="RWD102" s="395"/>
      <c r="RWE102" s="396"/>
      <c r="RWF102" s="394"/>
      <c r="RWG102" s="395"/>
      <c r="RWH102" s="395"/>
      <c r="RWI102" s="395"/>
      <c r="RWJ102" s="395"/>
      <c r="RWK102" s="395"/>
      <c r="RWL102" s="395"/>
      <c r="RWM102" s="395"/>
      <c r="RWN102" s="395"/>
      <c r="RWO102" s="395"/>
      <c r="RWP102" s="395"/>
      <c r="RWQ102" s="395"/>
      <c r="RWR102" s="395"/>
      <c r="RWS102" s="395"/>
      <c r="RWT102" s="395"/>
      <c r="RWU102" s="395"/>
      <c r="RWV102" s="395"/>
      <c r="RWW102" s="395"/>
      <c r="RWX102" s="395"/>
      <c r="RWY102" s="395"/>
      <c r="RWZ102" s="395"/>
      <c r="RXA102" s="395"/>
      <c r="RXB102" s="395"/>
      <c r="RXC102" s="395"/>
      <c r="RXD102" s="395"/>
      <c r="RXE102" s="395"/>
      <c r="RXF102" s="396"/>
      <c r="RXG102" s="394"/>
      <c r="RXH102" s="395"/>
      <c r="RXI102" s="395"/>
      <c r="RXJ102" s="395"/>
      <c r="RXK102" s="395"/>
      <c r="RXL102" s="395"/>
      <c r="RXM102" s="395"/>
      <c r="RXN102" s="395"/>
      <c r="RXO102" s="395"/>
      <c r="RXP102" s="395"/>
      <c r="RXQ102" s="395"/>
      <c r="RXR102" s="395"/>
      <c r="RXS102" s="395"/>
      <c r="RXT102" s="395"/>
      <c r="RXU102" s="395"/>
      <c r="RXV102" s="395"/>
      <c r="RXW102" s="395"/>
      <c r="RXX102" s="395"/>
      <c r="RXY102" s="395"/>
      <c r="RXZ102" s="395"/>
      <c r="RYA102" s="395"/>
      <c r="RYB102" s="395"/>
      <c r="RYC102" s="395"/>
      <c r="RYD102" s="395"/>
      <c r="RYE102" s="395"/>
      <c r="RYF102" s="395"/>
      <c r="RYG102" s="396"/>
      <c r="RYH102" s="394"/>
      <c r="RYI102" s="395"/>
      <c r="RYJ102" s="395"/>
      <c r="RYK102" s="395"/>
      <c r="RYL102" s="395"/>
      <c r="RYM102" s="395"/>
      <c r="RYN102" s="395"/>
      <c r="RYO102" s="395"/>
      <c r="RYP102" s="395"/>
      <c r="RYQ102" s="395"/>
      <c r="RYR102" s="395"/>
      <c r="RYS102" s="395"/>
      <c r="RYT102" s="395"/>
      <c r="RYU102" s="395"/>
      <c r="RYV102" s="395"/>
      <c r="RYW102" s="395"/>
      <c r="RYX102" s="395"/>
      <c r="RYY102" s="395"/>
      <c r="RYZ102" s="395"/>
      <c r="RZA102" s="395"/>
      <c r="RZB102" s="395"/>
      <c r="RZC102" s="395"/>
      <c r="RZD102" s="395"/>
      <c r="RZE102" s="395"/>
      <c r="RZF102" s="395"/>
      <c r="RZG102" s="395"/>
      <c r="RZH102" s="396"/>
      <c r="RZI102" s="394"/>
      <c r="RZJ102" s="395"/>
      <c r="RZK102" s="395"/>
      <c r="RZL102" s="395"/>
      <c r="RZM102" s="395"/>
      <c r="RZN102" s="395"/>
      <c r="RZO102" s="395"/>
      <c r="RZP102" s="395"/>
      <c r="RZQ102" s="395"/>
      <c r="RZR102" s="395"/>
      <c r="RZS102" s="395"/>
      <c r="RZT102" s="395"/>
      <c r="RZU102" s="395"/>
      <c r="RZV102" s="395"/>
      <c r="RZW102" s="395"/>
      <c r="RZX102" s="395"/>
      <c r="RZY102" s="395"/>
      <c r="RZZ102" s="395"/>
      <c r="SAA102" s="395"/>
      <c r="SAB102" s="395"/>
      <c r="SAC102" s="395"/>
      <c r="SAD102" s="395"/>
      <c r="SAE102" s="395"/>
      <c r="SAF102" s="395"/>
      <c r="SAG102" s="395"/>
      <c r="SAH102" s="395"/>
      <c r="SAI102" s="396"/>
      <c r="SAJ102" s="394"/>
      <c r="SAK102" s="395"/>
      <c r="SAL102" s="395"/>
      <c r="SAM102" s="395"/>
      <c r="SAN102" s="395"/>
      <c r="SAO102" s="395"/>
      <c r="SAP102" s="395"/>
      <c r="SAQ102" s="395"/>
      <c r="SAR102" s="395"/>
      <c r="SAS102" s="395"/>
      <c r="SAT102" s="395"/>
      <c r="SAU102" s="395"/>
      <c r="SAV102" s="395"/>
      <c r="SAW102" s="395"/>
      <c r="SAX102" s="395"/>
      <c r="SAY102" s="395"/>
      <c r="SAZ102" s="395"/>
      <c r="SBA102" s="395"/>
      <c r="SBB102" s="395"/>
      <c r="SBC102" s="395"/>
      <c r="SBD102" s="395"/>
      <c r="SBE102" s="395"/>
      <c r="SBF102" s="395"/>
      <c r="SBG102" s="395"/>
      <c r="SBH102" s="395"/>
      <c r="SBI102" s="395"/>
      <c r="SBJ102" s="396"/>
      <c r="SBK102" s="394"/>
      <c r="SBL102" s="395"/>
      <c r="SBM102" s="395"/>
      <c r="SBN102" s="395"/>
      <c r="SBO102" s="395"/>
      <c r="SBP102" s="395"/>
      <c r="SBQ102" s="395"/>
      <c r="SBR102" s="395"/>
      <c r="SBS102" s="395"/>
      <c r="SBT102" s="395"/>
      <c r="SBU102" s="395"/>
      <c r="SBV102" s="395"/>
      <c r="SBW102" s="395"/>
      <c r="SBX102" s="395"/>
      <c r="SBY102" s="395"/>
      <c r="SBZ102" s="395"/>
      <c r="SCA102" s="395"/>
      <c r="SCB102" s="395"/>
      <c r="SCC102" s="395"/>
      <c r="SCD102" s="395"/>
      <c r="SCE102" s="395"/>
      <c r="SCF102" s="395"/>
      <c r="SCG102" s="395"/>
      <c r="SCH102" s="395"/>
      <c r="SCI102" s="395"/>
      <c r="SCJ102" s="395"/>
      <c r="SCK102" s="396"/>
      <c r="SCL102" s="394"/>
      <c r="SCM102" s="395"/>
      <c r="SCN102" s="395"/>
      <c r="SCO102" s="395"/>
      <c r="SCP102" s="395"/>
      <c r="SCQ102" s="395"/>
      <c r="SCR102" s="395"/>
      <c r="SCS102" s="395"/>
      <c r="SCT102" s="395"/>
      <c r="SCU102" s="395"/>
      <c r="SCV102" s="395"/>
      <c r="SCW102" s="395"/>
      <c r="SCX102" s="395"/>
      <c r="SCY102" s="395"/>
      <c r="SCZ102" s="395"/>
      <c r="SDA102" s="395"/>
      <c r="SDB102" s="395"/>
      <c r="SDC102" s="395"/>
      <c r="SDD102" s="395"/>
      <c r="SDE102" s="395"/>
      <c r="SDF102" s="395"/>
      <c r="SDG102" s="395"/>
      <c r="SDH102" s="395"/>
      <c r="SDI102" s="395"/>
      <c r="SDJ102" s="395"/>
      <c r="SDK102" s="395"/>
      <c r="SDL102" s="396"/>
      <c r="SDM102" s="394"/>
      <c r="SDN102" s="395"/>
      <c r="SDO102" s="395"/>
      <c r="SDP102" s="395"/>
      <c r="SDQ102" s="395"/>
      <c r="SDR102" s="395"/>
      <c r="SDS102" s="395"/>
      <c r="SDT102" s="395"/>
      <c r="SDU102" s="395"/>
      <c r="SDV102" s="395"/>
      <c r="SDW102" s="395"/>
      <c r="SDX102" s="395"/>
      <c r="SDY102" s="395"/>
      <c r="SDZ102" s="395"/>
      <c r="SEA102" s="395"/>
      <c r="SEB102" s="395"/>
      <c r="SEC102" s="395"/>
      <c r="SED102" s="395"/>
      <c r="SEE102" s="395"/>
      <c r="SEF102" s="395"/>
      <c r="SEG102" s="395"/>
      <c r="SEH102" s="395"/>
      <c r="SEI102" s="395"/>
      <c r="SEJ102" s="395"/>
      <c r="SEK102" s="395"/>
      <c r="SEL102" s="395"/>
      <c r="SEM102" s="396"/>
      <c r="SEN102" s="394"/>
      <c r="SEO102" s="395"/>
      <c r="SEP102" s="395"/>
      <c r="SEQ102" s="395"/>
      <c r="SER102" s="395"/>
      <c r="SES102" s="395"/>
      <c r="SET102" s="395"/>
      <c r="SEU102" s="395"/>
      <c r="SEV102" s="395"/>
      <c r="SEW102" s="395"/>
      <c r="SEX102" s="395"/>
      <c r="SEY102" s="395"/>
      <c r="SEZ102" s="395"/>
      <c r="SFA102" s="395"/>
      <c r="SFB102" s="395"/>
      <c r="SFC102" s="395"/>
      <c r="SFD102" s="395"/>
      <c r="SFE102" s="395"/>
      <c r="SFF102" s="395"/>
      <c r="SFG102" s="395"/>
      <c r="SFH102" s="395"/>
      <c r="SFI102" s="395"/>
      <c r="SFJ102" s="395"/>
      <c r="SFK102" s="395"/>
      <c r="SFL102" s="395"/>
      <c r="SFM102" s="395"/>
      <c r="SFN102" s="396"/>
      <c r="SFO102" s="394"/>
      <c r="SFP102" s="395"/>
      <c r="SFQ102" s="395"/>
      <c r="SFR102" s="395"/>
      <c r="SFS102" s="395"/>
      <c r="SFT102" s="395"/>
      <c r="SFU102" s="395"/>
      <c r="SFV102" s="395"/>
      <c r="SFW102" s="395"/>
      <c r="SFX102" s="395"/>
      <c r="SFY102" s="395"/>
      <c r="SFZ102" s="395"/>
      <c r="SGA102" s="395"/>
      <c r="SGB102" s="395"/>
      <c r="SGC102" s="395"/>
      <c r="SGD102" s="395"/>
      <c r="SGE102" s="395"/>
      <c r="SGF102" s="395"/>
      <c r="SGG102" s="395"/>
      <c r="SGH102" s="395"/>
      <c r="SGI102" s="395"/>
      <c r="SGJ102" s="395"/>
      <c r="SGK102" s="395"/>
      <c r="SGL102" s="395"/>
      <c r="SGM102" s="395"/>
      <c r="SGN102" s="395"/>
      <c r="SGO102" s="396"/>
      <c r="SGP102" s="394"/>
      <c r="SGQ102" s="395"/>
      <c r="SGR102" s="395"/>
      <c r="SGS102" s="395"/>
      <c r="SGT102" s="395"/>
      <c r="SGU102" s="395"/>
      <c r="SGV102" s="395"/>
      <c r="SGW102" s="395"/>
      <c r="SGX102" s="395"/>
      <c r="SGY102" s="395"/>
      <c r="SGZ102" s="395"/>
      <c r="SHA102" s="395"/>
      <c r="SHB102" s="395"/>
      <c r="SHC102" s="395"/>
      <c r="SHD102" s="395"/>
      <c r="SHE102" s="395"/>
      <c r="SHF102" s="395"/>
      <c r="SHG102" s="395"/>
      <c r="SHH102" s="395"/>
      <c r="SHI102" s="395"/>
      <c r="SHJ102" s="395"/>
      <c r="SHK102" s="395"/>
      <c r="SHL102" s="395"/>
      <c r="SHM102" s="395"/>
      <c r="SHN102" s="395"/>
      <c r="SHO102" s="395"/>
      <c r="SHP102" s="396"/>
      <c r="SHQ102" s="394"/>
      <c r="SHR102" s="395"/>
      <c r="SHS102" s="395"/>
      <c r="SHT102" s="395"/>
      <c r="SHU102" s="395"/>
      <c r="SHV102" s="395"/>
      <c r="SHW102" s="395"/>
      <c r="SHX102" s="395"/>
      <c r="SHY102" s="395"/>
      <c r="SHZ102" s="395"/>
      <c r="SIA102" s="395"/>
      <c r="SIB102" s="395"/>
      <c r="SIC102" s="395"/>
      <c r="SID102" s="395"/>
      <c r="SIE102" s="395"/>
      <c r="SIF102" s="395"/>
      <c r="SIG102" s="395"/>
      <c r="SIH102" s="395"/>
      <c r="SII102" s="395"/>
      <c r="SIJ102" s="395"/>
      <c r="SIK102" s="395"/>
      <c r="SIL102" s="395"/>
      <c r="SIM102" s="395"/>
      <c r="SIN102" s="395"/>
      <c r="SIO102" s="395"/>
      <c r="SIP102" s="395"/>
      <c r="SIQ102" s="396"/>
      <c r="SIR102" s="394"/>
      <c r="SIS102" s="395"/>
      <c r="SIT102" s="395"/>
      <c r="SIU102" s="395"/>
      <c r="SIV102" s="395"/>
      <c r="SIW102" s="395"/>
      <c r="SIX102" s="395"/>
      <c r="SIY102" s="395"/>
      <c r="SIZ102" s="395"/>
      <c r="SJA102" s="395"/>
      <c r="SJB102" s="395"/>
      <c r="SJC102" s="395"/>
      <c r="SJD102" s="395"/>
      <c r="SJE102" s="395"/>
      <c r="SJF102" s="395"/>
      <c r="SJG102" s="395"/>
      <c r="SJH102" s="395"/>
      <c r="SJI102" s="395"/>
      <c r="SJJ102" s="395"/>
      <c r="SJK102" s="395"/>
      <c r="SJL102" s="395"/>
      <c r="SJM102" s="395"/>
      <c r="SJN102" s="395"/>
      <c r="SJO102" s="395"/>
      <c r="SJP102" s="395"/>
      <c r="SJQ102" s="395"/>
      <c r="SJR102" s="396"/>
      <c r="SJS102" s="394"/>
      <c r="SJT102" s="395"/>
      <c r="SJU102" s="395"/>
      <c r="SJV102" s="395"/>
      <c r="SJW102" s="395"/>
      <c r="SJX102" s="395"/>
      <c r="SJY102" s="395"/>
      <c r="SJZ102" s="395"/>
      <c r="SKA102" s="395"/>
      <c r="SKB102" s="395"/>
      <c r="SKC102" s="395"/>
      <c r="SKD102" s="395"/>
      <c r="SKE102" s="395"/>
      <c r="SKF102" s="395"/>
      <c r="SKG102" s="395"/>
      <c r="SKH102" s="395"/>
      <c r="SKI102" s="395"/>
      <c r="SKJ102" s="395"/>
      <c r="SKK102" s="395"/>
      <c r="SKL102" s="395"/>
      <c r="SKM102" s="395"/>
      <c r="SKN102" s="395"/>
      <c r="SKO102" s="395"/>
      <c r="SKP102" s="395"/>
      <c r="SKQ102" s="395"/>
      <c r="SKR102" s="395"/>
      <c r="SKS102" s="396"/>
      <c r="SKT102" s="394"/>
      <c r="SKU102" s="395"/>
      <c r="SKV102" s="395"/>
      <c r="SKW102" s="395"/>
      <c r="SKX102" s="395"/>
      <c r="SKY102" s="395"/>
      <c r="SKZ102" s="395"/>
      <c r="SLA102" s="395"/>
      <c r="SLB102" s="395"/>
      <c r="SLC102" s="395"/>
      <c r="SLD102" s="395"/>
      <c r="SLE102" s="395"/>
      <c r="SLF102" s="395"/>
      <c r="SLG102" s="395"/>
      <c r="SLH102" s="395"/>
      <c r="SLI102" s="395"/>
      <c r="SLJ102" s="395"/>
      <c r="SLK102" s="395"/>
      <c r="SLL102" s="395"/>
      <c r="SLM102" s="395"/>
      <c r="SLN102" s="395"/>
      <c r="SLO102" s="395"/>
      <c r="SLP102" s="395"/>
      <c r="SLQ102" s="395"/>
      <c r="SLR102" s="395"/>
      <c r="SLS102" s="395"/>
      <c r="SLT102" s="396"/>
      <c r="SLU102" s="394"/>
      <c r="SLV102" s="395"/>
      <c r="SLW102" s="395"/>
      <c r="SLX102" s="395"/>
      <c r="SLY102" s="395"/>
      <c r="SLZ102" s="395"/>
      <c r="SMA102" s="395"/>
      <c r="SMB102" s="395"/>
      <c r="SMC102" s="395"/>
      <c r="SMD102" s="395"/>
      <c r="SME102" s="395"/>
      <c r="SMF102" s="395"/>
      <c r="SMG102" s="395"/>
      <c r="SMH102" s="395"/>
      <c r="SMI102" s="395"/>
      <c r="SMJ102" s="395"/>
      <c r="SMK102" s="395"/>
      <c r="SML102" s="395"/>
      <c r="SMM102" s="395"/>
      <c r="SMN102" s="395"/>
      <c r="SMO102" s="395"/>
      <c r="SMP102" s="395"/>
      <c r="SMQ102" s="395"/>
      <c r="SMR102" s="395"/>
      <c r="SMS102" s="395"/>
      <c r="SMT102" s="395"/>
      <c r="SMU102" s="396"/>
      <c r="SMV102" s="394"/>
      <c r="SMW102" s="395"/>
      <c r="SMX102" s="395"/>
      <c r="SMY102" s="395"/>
      <c r="SMZ102" s="395"/>
      <c r="SNA102" s="395"/>
      <c r="SNB102" s="395"/>
      <c r="SNC102" s="395"/>
      <c r="SND102" s="395"/>
      <c r="SNE102" s="395"/>
      <c r="SNF102" s="395"/>
      <c r="SNG102" s="395"/>
      <c r="SNH102" s="395"/>
      <c r="SNI102" s="395"/>
      <c r="SNJ102" s="395"/>
      <c r="SNK102" s="395"/>
      <c r="SNL102" s="395"/>
      <c r="SNM102" s="395"/>
      <c r="SNN102" s="395"/>
      <c r="SNO102" s="395"/>
      <c r="SNP102" s="395"/>
      <c r="SNQ102" s="395"/>
      <c r="SNR102" s="395"/>
      <c r="SNS102" s="395"/>
      <c r="SNT102" s="395"/>
      <c r="SNU102" s="395"/>
      <c r="SNV102" s="396"/>
      <c r="SNW102" s="394"/>
      <c r="SNX102" s="395"/>
      <c r="SNY102" s="395"/>
      <c r="SNZ102" s="395"/>
      <c r="SOA102" s="395"/>
      <c r="SOB102" s="395"/>
      <c r="SOC102" s="395"/>
      <c r="SOD102" s="395"/>
      <c r="SOE102" s="395"/>
      <c r="SOF102" s="395"/>
      <c r="SOG102" s="395"/>
      <c r="SOH102" s="395"/>
      <c r="SOI102" s="395"/>
      <c r="SOJ102" s="395"/>
      <c r="SOK102" s="395"/>
      <c r="SOL102" s="395"/>
      <c r="SOM102" s="395"/>
      <c r="SON102" s="395"/>
      <c r="SOO102" s="395"/>
      <c r="SOP102" s="395"/>
      <c r="SOQ102" s="395"/>
      <c r="SOR102" s="395"/>
      <c r="SOS102" s="395"/>
      <c r="SOT102" s="395"/>
      <c r="SOU102" s="395"/>
      <c r="SOV102" s="395"/>
      <c r="SOW102" s="396"/>
      <c r="SOX102" s="394"/>
      <c r="SOY102" s="395"/>
      <c r="SOZ102" s="395"/>
      <c r="SPA102" s="395"/>
      <c r="SPB102" s="395"/>
      <c r="SPC102" s="395"/>
      <c r="SPD102" s="395"/>
      <c r="SPE102" s="395"/>
      <c r="SPF102" s="395"/>
      <c r="SPG102" s="395"/>
      <c r="SPH102" s="395"/>
      <c r="SPI102" s="395"/>
      <c r="SPJ102" s="395"/>
      <c r="SPK102" s="395"/>
      <c r="SPL102" s="395"/>
      <c r="SPM102" s="395"/>
      <c r="SPN102" s="395"/>
      <c r="SPO102" s="395"/>
      <c r="SPP102" s="395"/>
      <c r="SPQ102" s="395"/>
      <c r="SPR102" s="395"/>
      <c r="SPS102" s="395"/>
      <c r="SPT102" s="395"/>
      <c r="SPU102" s="395"/>
      <c r="SPV102" s="395"/>
      <c r="SPW102" s="395"/>
      <c r="SPX102" s="396"/>
      <c r="SPY102" s="394"/>
      <c r="SPZ102" s="395"/>
      <c r="SQA102" s="395"/>
      <c r="SQB102" s="395"/>
      <c r="SQC102" s="395"/>
      <c r="SQD102" s="395"/>
      <c r="SQE102" s="395"/>
      <c r="SQF102" s="395"/>
      <c r="SQG102" s="395"/>
      <c r="SQH102" s="395"/>
      <c r="SQI102" s="395"/>
      <c r="SQJ102" s="395"/>
      <c r="SQK102" s="395"/>
      <c r="SQL102" s="395"/>
      <c r="SQM102" s="395"/>
      <c r="SQN102" s="395"/>
      <c r="SQO102" s="395"/>
      <c r="SQP102" s="395"/>
      <c r="SQQ102" s="395"/>
      <c r="SQR102" s="395"/>
      <c r="SQS102" s="395"/>
      <c r="SQT102" s="395"/>
      <c r="SQU102" s="395"/>
      <c r="SQV102" s="395"/>
      <c r="SQW102" s="395"/>
      <c r="SQX102" s="395"/>
      <c r="SQY102" s="396"/>
      <c r="SQZ102" s="394"/>
      <c r="SRA102" s="395"/>
      <c r="SRB102" s="395"/>
      <c r="SRC102" s="395"/>
      <c r="SRD102" s="395"/>
      <c r="SRE102" s="395"/>
      <c r="SRF102" s="395"/>
      <c r="SRG102" s="395"/>
      <c r="SRH102" s="395"/>
      <c r="SRI102" s="395"/>
      <c r="SRJ102" s="395"/>
      <c r="SRK102" s="395"/>
      <c r="SRL102" s="395"/>
      <c r="SRM102" s="395"/>
      <c r="SRN102" s="395"/>
      <c r="SRO102" s="395"/>
      <c r="SRP102" s="395"/>
      <c r="SRQ102" s="395"/>
      <c r="SRR102" s="395"/>
      <c r="SRS102" s="395"/>
      <c r="SRT102" s="395"/>
      <c r="SRU102" s="395"/>
      <c r="SRV102" s="395"/>
      <c r="SRW102" s="395"/>
      <c r="SRX102" s="395"/>
      <c r="SRY102" s="395"/>
      <c r="SRZ102" s="396"/>
      <c r="SSA102" s="394"/>
      <c r="SSB102" s="395"/>
      <c r="SSC102" s="395"/>
      <c r="SSD102" s="395"/>
      <c r="SSE102" s="395"/>
      <c r="SSF102" s="395"/>
      <c r="SSG102" s="395"/>
      <c r="SSH102" s="395"/>
      <c r="SSI102" s="395"/>
      <c r="SSJ102" s="395"/>
      <c r="SSK102" s="395"/>
      <c r="SSL102" s="395"/>
      <c r="SSM102" s="395"/>
      <c r="SSN102" s="395"/>
      <c r="SSO102" s="395"/>
      <c r="SSP102" s="395"/>
      <c r="SSQ102" s="395"/>
      <c r="SSR102" s="395"/>
      <c r="SSS102" s="395"/>
      <c r="SST102" s="395"/>
      <c r="SSU102" s="395"/>
      <c r="SSV102" s="395"/>
      <c r="SSW102" s="395"/>
      <c r="SSX102" s="395"/>
      <c r="SSY102" s="395"/>
      <c r="SSZ102" s="395"/>
      <c r="STA102" s="396"/>
      <c r="STB102" s="394"/>
      <c r="STC102" s="395"/>
      <c r="STD102" s="395"/>
      <c r="STE102" s="395"/>
      <c r="STF102" s="395"/>
      <c r="STG102" s="395"/>
      <c r="STH102" s="395"/>
      <c r="STI102" s="395"/>
      <c r="STJ102" s="395"/>
      <c r="STK102" s="395"/>
      <c r="STL102" s="395"/>
      <c r="STM102" s="395"/>
      <c r="STN102" s="395"/>
      <c r="STO102" s="395"/>
      <c r="STP102" s="395"/>
      <c r="STQ102" s="395"/>
      <c r="STR102" s="395"/>
      <c r="STS102" s="395"/>
      <c r="STT102" s="395"/>
      <c r="STU102" s="395"/>
      <c r="STV102" s="395"/>
      <c r="STW102" s="395"/>
      <c r="STX102" s="395"/>
      <c r="STY102" s="395"/>
      <c r="STZ102" s="395"/>
      <c r="SUA102" s="395"/>
      <c r="SUB102" s="396"/>
      <c r="SUC102" s="394"/>
      <c r="SUD102" s="395"/>
      <c r="SUE102" s="395"/>
      <c r="SUF102" s="395"/>
      <c r="SUG102" s="395"/>
      <c r="SUH102" s="395"/>
      <c r="SUI102" s="395"/>
      <c r="SUJ102" s="395"/>
      <c r="SUK102" s="395"/>
      <c r="SUL102" s="395"/>
      <c r="SUM102" s="395"/>
      <c r="SUN102" s="395"/>
      <c r="SUO102" s="395"/>
      <c r="SUP102" s="395"/>
      <c r="SUQ102" s="395"/>
      <c r="SUR102" s="395"/>
      <c r="SUS102" s="395"/>
      <c r="SUT102" s="395"/>
      <c r="SUU102" s="395"/>
      <c r="SUV102" s="395"/>
      <c r="SUW102" s="395"/>
      <c r="SUX102" s="395"/>
      <c r="SUY102" s="395"/>
      <c r="SUZ102" s="395"/>
      <c r="SVA102" s="395"/>
      <c r="SVB102" s="395"/>
      <c r="SVC102" s="396"/>
      <c r="SVD102" s="394"/>
      <c r="SVE102" s="395"/>
      <c r="SVF102" s="395"/>
      <c r="SVG102" s="395"/>
      <c r="SVH102" s="395"/>
      <c r="SVI102" s="395"/>
      <c r="SVJ102" s="395"/>
      <c r="SVK102" s="395"/>
      <c r="SVL102" s="395"/>
      <c r="SVM102" s="395"/>
      <c r="SVN102" s="395"/>
      <c r="SVO102" s="395"/>
      <c r="SVP102" s="395"/>
      <c r="SVQ102" s="395"/>
      <c r="SVR102" s="395"/>
      <c r="SVS102" s="395"/>
      <c r="SVT102" s="395"/>
      <c r="SVU102" s="395"/>
      <c r="SVV102" s="395"/>
      <c r="SVW102" s="395"/>
      <c r="SVX102" s="395"/>
      <c r="SVY102" s="395"/>
      <c r="SVZ102" s="395"/>
      <c r="SWA102" s="395"/>
      <c r="SWB102" s="395"/>
      <c r="SWC102" s="395"/>
      <c r="SWD102" s="396"/>
      <c r="SWE102" s="394"/>
      <c r="SWF102" s="395"/>
      <c r="SWG102" s="395"/>
      <c r="SWH102" s="395"/>
      <c r="SWI102" s="395"/>
      <c r="SWJ102" s="395"/>
      <c r="SWK102" s="395"/>
      <c r="SWL102" s="395"/>
      <c r="SWM102" s="395"/>
      <c r="SWN102" s="395"/>
      <c r="SWO102" s="395"/>
      <c r="SWP102" s="395"/>
      <c r="SWQ102" s="395"/>
      <c r="SWR102" s="395"/>
      <c r="SWS102" s="395"/>
      <c r="SWT102" s="395"/>
      <c r="SWU102" s="395"/>
      <c r="SWV102" s="395"/>
      <c r="SWW102" s="395"/>
      <c r="SWX102" s="395"/>
      <c r="SWY102" s="395"/>
      <c r="SWZ102" s="395"/>
      <c r="SXA102" s="395"/>
      <c r="SXB102" s="395"/>
      <c r="SXC102" s="395"/>
      <c r="SXD102" s="395"/>
      <c r="SXE102" s="396"/>
      <c r="SXF102" s="394"/>
      <c r="SXG102" s="395"/>
      <c r="SXH102" s="395"/>
      <c r="SXI102" s="395"/>
      <c r="SXJ102" s="395"/>
      <c r="SXK102" s="395"/>
      <c r="SXL102" s="395"/>
      <c r="SXM102" s="395"/>
      <c r="SXN102" s="395"/>
      <c r="SXO102" s="395"/>
      <c r="SXP102" s="395"/>
      <c r="SXQ102" s="395"/>
      <c r="SXR102" s="395"/>
      <c r="SXS102" s="395"/>
      <c r="SXT102" s="395"/>
      <c r="SXU102" s="395"/>
      <c r="SXV102" s="395"/>
      <c r="SXW102" s="395"/>
      <c r="SXX102" s="395"/>
      <c r="SXY102" s="395"/>
      <c r="SXZ102" s="395"/>
      <c r="SYA102" s="395"/>
      <c r="SYB102" s="395"/>
      <c r="SYC102" s="395"/>
      <c r="SYD102" s="395"/>
      <c r="SYE102" s="395"/>
      <c r="SYF102" s="396"/>
      <c r="SYG102" s="394"/>
      <c r="SYH102" s="395"/>
      <c r="SYI102" s="395"/>
      <c r="SYJ102" s="395"/>
      <c r="SYK102" s="395"/>
      <c r="SYL102" s="395"/>
      <c r="SYM102" s="395"/>
      <c r="SYN102" s="395"/>
      <c r="SYO102" s="395"/>
      <c r="SYP102" s="395"/>
      <c r="SYQ102" s="395"/>
      <c r="SYR102" s="395"/>
      <c r="SYS102" s="395"/>
      <c r="SYT102" s="395"/>
      <c r="SYU102" s="395"/>
      <c r="SYV102" s="395"/>
      <c r="SYW102" s="395"/>
      <c r="SYX102" s="395"/>
      <c r="SYY102" s="395"/>
      <c r="SYZ102" s="395"/>
      <c r="SZA102" s="395"/>
      <c r="SZB102" s="395"/>
      <c r="SZC102" s="395"/>
      <c r="SZD102" s="395"/>
      <c r="SZE102" s="395"/>
      <c r="SZF102" s="395"/>
      <c r="SZG102" s="396"/>
      <c r="SZH102" s="394"/>
      <c r="SZI102" s="395"/>
      <c r="SZJ102" s="395"/>
      <c r="SZK102" s="395"/>
      <c r="SZL102" s="395"/>
      <c r="SZM102" s="395"/>
      <c r="SZN102" s="395"/>
      <c r="SZO102" s="395"/>
      <c r="SZP102" s="395"/>
      <c r="SZQ102" s="395"/>
      <c r="SZR102" s="395"/>
      <c r="SZS102" s="395"/>
      <c r="SZT102" s="395"/>
      <c r="SZU102" s="395"/>
      <c r="SZV102" s="395"/>
      <c r="SZW102" s="395"/>
      <c r="SZX102" s="395"/>
      <c r="SZY102" s="395"/>
      <c r="SZZ102" s="395"/>
      <c r="TAA102" s="395"/>
      <c r="TAB102" s="395"/>
      <c r="TAC102" s="395"/>
      <c r="TAD102" s="395"/>
      <c r="TAE102" s="395"/>
      <c r="TAF102" s="395"/>
      <c r="TAG102" s="395"/>
      <c r="TAH102" s="396"/>
      <c r="TAI102" s="394"/>
      <c r="TAJ102" s="395"/>
      <c r="TAK102" s="395"/>
      <c r="TAL102" s="395"/>
      <c r="TAM102" s="395"/>
      <c r="TAN102" s="395"/>
      <c r="TAO102" s="395"/>
      <c r="TAP102" s="395"/>
      <c r="TAQ102" s="395"/>
      <c r="TAR102" s="395"/>
      <c r="TAS102" s="395"/>
      <c r="TAT102" s="395"/>
      <c r="TAU102" s="395"/>
      <c r="TAV102" s="395"/>
      <c r="TAW102" s="395"/>
      <c r="TAX102" s="395"/>
      <c r="TAY102" s="395"/>
      <c r="TAZ102" s="395"/>
      <c r="TBA102" s="395"/>
      <c r="TBB102" s="395"/>
      <c r="TBC102" s="395"/>
      <c r="TBD102" s="395"/>
      <c r="TBE102" s="395"/>
      <c r="TBF102" s="395"/>
      <c r="TBG102" s="395"/>
      <c r="TBH102" s="395"/>
      <c r="TBI102" s="396"/>
      <c r="TBJ102" s="394"/>
      <c r="TBK102" s="395"/>
      <c r="TBL102" s="395"/>
      <c r="TBM102" s="395"/>
      <c r="TBN102" s="395"/>
      <c r="TBO102" s="395"/>
      <c r="TBP102" s="395"/>
      <c r="TBQ102" s="395"/>
      <c r="TBR102" s="395"/>
      <c r="TBS102" s="395"/>
      <c r="TBT102" s="395"/>
      <c r="TBU102" s="395"/>
      <c r="TBV102" s="395"/>
      <c r="TBW102" s="395"/>
      <c r="TBX102" s="395"/>
      <c r="TBY102" s="395"/>
      <c r="TBZ102" s="395"/>
      <c r="TCA102" s="395"/>
      <c r="TCB102" s="395"/>
      <c r="TCC102" s="395"/>
      <c r="TCD102" s="395"/>
      <c r="TCE102" s="395"/>
      <c r="TCF102" s="395"/>
      <c r="TCG102" s="395"/>
      <c r="TCH102" s="395"/>
      <c r="TCI102" s="395"/>
      <c r="TCJ102" s="396"/>
      <c r="TCK102" s="394"/>
      <c r="TCL102" s="395"/>
      <c r="TCM102" s="395"/>
      <c r="TCN102" s="395"/>
      <c r="TCO102" s="395"/>
      <c r="TCP102" s="395"/>
      <c r="TCQ102" s="395"/>
      <c r="TCR102" s="395"/>
      <c r="TCS102" s="395"/>
      <c r="TCT102" s="395"/>
      <c r="TCU102" s="395"/>
      <c r="TCV102" s="395"/>
      <c r="TCW102" s="395"/>
      <c r="TCX102" s="395"/>
      <c r="TCY102" s="395"/>
      <c r="TCZ102" s="395"/>
      <c r="TDA102" s="395"/>
      <c r="TDB102" s="395"/>
      <c r="TDC102" s="395"/>
      <c r="TDD102" s="395"/>
      <c r="TDE102" s="395"/>
      <c r="TDF102" s="395"/>
      <c r="TDG102" s="395"/>
      <c r="TDH102" s="395"/>
      <c r="TDI102" s="395"/>
      <c r="TDJ102" s="395"/>
      <c r="TDK102" s="396"/>
      <c r="TDL102" s="394"/>
      <c r="TDM102" s="395"/>
      <c r="TDN102" s="395"/>
      <c r="TDO102" s="395"/>
      <c r="TDP102" s="395"/>
      <c r="TDQ102" s="395"/>
      <c r="TDR102" s="395"/>
      <c r="TDS102" s="395"/>
      <c r="TDT102" s="395"/>
      <c r="TDU102" s="395"/>
      <c r="TDV102" s="395"/>
      <c r="TDW102" s="395"/>
      <c r="TDX102" s="395"/>
      <c r="TDY102" s="395"/>
      <c r="TDZ102" s="395"/>
      <c r="TEA102" s="395"/>
      <c r="TEB102" s="395"/>
      <c r="TEC102" s="395"/>
      <c r="TED102" s="395"/>
      <c r="TEE102" s="395"/>
      <c r="TEF102" s="395"/>
      <c r="TEG102" s="395"/>
      <c r="TEH102" s="395"/>
      <c r="TEI102" s="395"/>
      <c r="TEJ102" s="395"/>
      <c r="TEK102" s="395"/>
      <c r="TEL102" s="396"/>
      <c r="TEM102" s="394"/>
      <c r="TEN102" s="395"/>
      <c r="TEO102" s="395"/>
      <c r="TEP102" s="395"/>
      <c r="TEQ102" s="395"/>
      <c r="TER102" s="395"/>
      <c r="TES102" s="395"/>
      <c r="TET102" s="395"/>
      <c r="TEU102" s="395"/>
      <c r="TEV102" s="395"/>
      <c r="TEW102" s="395"/>
      <c r="TEX102" s="395"/>
      <c r="TEY102" s="395"/>
      <c r="TEZ102" s="395"/>
      <c r="TFA102" s="395"/>
      <c r="TFB102" s="395"/>
      <c r="TFC102" s="395"/>
      <c r="TFD102" s="395"/>
      <c r="TFE102" s="395"/>
      <c r="TFF102" s="395"/>
      <c r="TFG102" s="395"/>
      <c r="TFH102" s="395"/>
      <c r="TFI102" s="395"/>
      <c r="TFJ102" s="395"/>
      <c r="TFK102" s="395"/>
      <c r="TFL102" s="395"/>
      <c r="TFM102" s="396"/>
      <c r="TFN102" s="394"/>
      <c r="TFO102" s="395"/>
      <c r="TFP102" s="395"/>
      <c r="TFQ102" s="395"/>
      <c r="TFR102" s="395"/>
      <c r="TFS102" s="395"/>
      <c r="TFT102" s="395"/>
      <c r="TFU102" s="395"/>
      <c r="TFV102" s="395"/>
      <c r="TFW102" s="395"/>
      <c r="TFX102" s="395"/>
      <c r="TFY102" s="395"/>
      <c r="TFZ102" s="395"/>
      <c r="TGA102" s="395"/>
      <c r="TGB102" s="395"/>
      <c r="TGC102" s="395"/>
      <c r="TGD102" s="395"/>
      <c r="TGE102" s="395"/>
      <c r="TGF102" s="395"/>
      <c r="TGG102" s="395"/>
      <c r="TGH102" s="395"/>
      <c r="TGI102" s="395"/>
      <c r="TGJ102" s="395"/>
      <c r="TGK102" s="395"/>
      <c r="TGL102" s="395"/>
      <c r="TGM102" s="395"/>
      <c r="TGN102" s="396"/>
      <c r="TGO102" s="394"/>
      <c r="TGP102" s="395"/>
      <c r="TGQ102" s="395"/>
      <c r="TGR102" s="395"/>
      <c r="TGS102" s="395"/>
      <c r="TGT102" s="395"/>
      <c r="TGU102" s="395"/>
      <c r="TGV102" s="395"/>
      <c r="TGW102" s="395"/>
      <c r="TGX102" s="395"/>
      <c r="TGY102" s="395"/>
      <c r="TGZ102" s="395"/>
      <c r="THA102" s="395"/>
      <c r="THB102" s="395"/>
      <c r="THC102" s="395"/>
      <c r="THD102" s="395"/>
      <c r="THE102" s="395"/>
      <c r="THF102" s="395"/>
      <c r="THG102" s="395"/>
      <c r="THH102" s="395"/>
      <c r="THI102" s="395"/>
      <c r="THJ102" s="395"/>
      <c r="THK102" s="395"/>
      <c r="THL102" s="395"/>
      <c r="THM102" s="395"/>
      <c r="THN102" s="395"/>
      <c r="THO102" s="396"/>
      <c r="THP102" s="394"/>
      <c r="THQ102" s="395"/>
      <c r="THR102" s="395"/>
      <c r="THS102" s="395"/>
      <c r="THT102" s="395"/>
      <c r="THU102" s="395"/>
      <c r="THV102" s="395"/>
      <c r="THW102" s="395"/>
      <c r="THX102" s="395"/>
      <c r="THY102" s="395"/>
      <c r="THZ102" s="395"/>
      <c r="TIA102" s="395"/>
      <c r="TIB102" s="395"/>
      <c r="TIC102" s="395"/>
      <c r="TID102" s="395"/>
      <c r="TIE102" s="395"/>
      <c r="TIF102" s="395"/>
      <c r="TIG102" s="395"/>
      <c r="TIH102" s="395"/>
      <c r="TII102" s="395"/>
      <c r="TIJ102" s="395"/>
      <c r="TIK102" s="395"/>
      <c r="TIL102" s="395"/>
      <c r="TIM102" s="395"/>
      <c r="TIN102" s="395"/>
      <c r="TIO102" s="395"/>
      <c r="TIP102" s="396"/>
      <c r="TIQ102" s="394"/>
      <c r="TIR102" s="395"/>
      <c r="TIS102" s="395"/>
      <c r="TIT102" s="395"/>
      <c r="TIU102" s="395"/>
      <c r="TIV102" s="395"/>
      <c r="TIW102" s="395"/>
      <c r="TIX102" s="395"/>
      <c r="TIY102" s="395"/>
      <c r="TIZ102" s="395"/>
      <c r="TJA102" s="395"/>
      <c r="TJB102" s="395"/>
      <c r="TJC102" s="395"/>
      <c r="TJD102" s="395"/>
      <c r="TJE102" s="395"/>
      <c r="TJF102" s="395"/>
      <c r="TJG102" s="395"/>
      <c r="TJH102" s="395"/>
      <c r="TJI102" s="395"/>
      <c r="TJJ102" s="395"/>
      <c r="TJK102" s="395"/>
      <c r="TJL102" s="395"/>
      <c r="TJM102" s="395"/>
      <c r="TJN102" s="395"/>
      <c r="TJO102" s="395"/>
      <c r="TJP102" s="395"/>
      <c r="TJQ102" s="396"/>
      <c r="TJR102" s="394"/>
      <c r="TJS102" s="395"/>
      <c r="TJT102" s="395"/>
      <c r="TJU102" s="395"/>
      <c r="TJV102" s="395"/>
      <c r="TJW102" s="395"/>
      <c r="TJX102" s="395"/>
      <c r="TJY102" s="395"/>
      <c r="TJZ102" s="395"/>
      <c r="TKA102" s="395"/>
      <c r="TKB102" s="395"/>
      <c r="TKC102" s="395"/>
      <c r="TKD102" s="395"/>
      <c r="TKE102" s="395"/>
      <c r="TKF102" s="395"/>
      <c r="TKG102" s="395"/>
      <c r="TKH102" s="395"/>
      <c r="TKI102" s="395"/>
      <c r="TKJ102" s="395"/>
      <c r="TKK102" s="395"/>
      <c r="TKL102" s="395"/>
      <c r="TKM102" s="395"/>
      <c r="TKN102" s="395"/>
      <c r="TKO102" s="395"/>
      <c r="TKP102" s="395"/>
      <c r="TKQ102" s="395"/>
      <c r="TKR102" s="396"/>
      <c r="TKS102" s="394"/>
      <c r="TKT102" s="395"/>
      <c r="TKU102" s="395"/>
      <c r="TKV102" s="395"/>
      <c r="TKW102" s="395"/>
      <c r="TKX102" s="395"/>
      <c r="TKY102" s="395"/>
      <c r="TKZ102" s="395"/>
      <c r="TLA102" s="395"/>
      <c r="TLB102" s="395"/>
      <c r="TLC102" s="395"/>
      <c r="TLD102" s="395"/>
      <c r="TLE102" s="395"/>
      <c r="TLF102" s="395"/>
      <c r="TLG102" s="395"/>
      <c r="TLH102" s="395"/>
      <c r="TLI102" s="395"/>
      <c r="TLJ102" s="395"/>
      <c r="TLK102" s="395"/>
      <c r="TLL102" s="395"/>
      <c r="TLM102" s="395"/>
      <c r="TLN102" s="395"/>
      <c r="TLO102" s="395"/>
      <c r="TLP102" s="395"/>
      <c r="TLQ102" s="395"/>
      <c r="TLR102" s="395"/>
      <c r="TLS102" s="396"/>
      <c r="TLT102" s="394"/>
      <c r="TLU102" s="395"/>
      <c r="TLV102" s="395"/>
      <c r="TLW102" s="395"/>
      <c r="TLX102" s="395"/>
      <c r="TLY102" s="395"/>
      <c r="TLZ102" s="395"/>
      <c r="TMA102" s="395"/>
      <c r="TMB102" s="395"/>
      <c r="TMC102" s="395"/>
      <c r="TMD102" s="395"/>
      <c r="TME102" s="395"/>
      <c r="TMF102" s="395"/>
      <c r="TMG102" s="395"/>
      <c r="TMH102" s="395"/>
      <c r="TMI102" s="395"/>
      <c r="TMJ102" s="395"/>
      <c r="TMK102" s="395"/>
      <c r="TML102" s="395"/>
      <c r="TMM102" s="395"/>
      <c r="TMN102" s="395"/>
      <c r="TMO102" s="395"/>
      <c r="TMP102" s="395"/>
      <c r="TMQ102" s="395"/>
      <c r="TMR102" s="395"/>
      <c r="TMS102" s="395"/>
      <c r="TMT102" s="396"/>
      <c r="TMU102" s="394"/>
      <c r="TMV102" s="395"/>
      <c r="TMW102" s="395"/>
      <c r="TMX102" s="395"/>
      <c r="TMY102" s="395"/>
      <c r="TMZ102" s="395"/>
      <c r="TNA102" s="395"/>
      <c r="TNB102" s="395"/>
      <c r="TNC102" s="395"/>
      <c r="TND102" s="395"/>
      <c r="TNE102" s="395"/>
      <c r="TNF102" s="395"/>
      <c r="TNG102" s="395"/>
      <c r="TNH102" s="395"/>
      <c r="TNI102" s="395"/>
      <c r="TNJ102" s="395"/>
      <c r="TNK102" s="395"/>
      <c r="TNL102" s="395"/>
      <c r="TNM102" s="395"/>
      <c r="TNN102" s="395"/>
      <c r="TNO102" s="395"/>
      <c r="TNP102" s="395"/>
      <c r="TNQ102" s="395"/>
      <c r="TNR102" s="395"/>
      <c r="TNS102" s="395"/>
      <c r="TNT102" s="395"/>
      <c r="TNU102" s="396"/>
      <c r="TNV102" s="394"/>
      <c r="TNW102" s="395"/>
      <c r="TNX102" s="395"/>
      <c r="TNY102" s="395"/>
      <c r="TNZ102" s="395"/>
      <c r="TOA102" s="395"/>
      <c r="TOB102" s="395"/>
      <c r="TOC102" s="395"/>
      <c r="TOD102" s="395"/>
      <c r="TOE102" s="395"/>
      <c r="TOF102" s="395"/>
      <c r="TOG102" s="395"/>
      <c r="TOH102" s="395"/>
      <c r="TOI102" s="395"/>
      <c r="TOJ102" s="395"/>
      <c r="TOK102" s="395"/>
      <c r="TOL102" s="395"/>
      <c r="TOM102" s="395"/>
      <c r="TON102" s="395"/>
      <c r="TOO102" s="395"/>
      <c r="TOP102" s="395"/>
      <c r="TOQ102" s="395"/>
      <c r="TOR102" s="395"/>
      <c r="TOS102" s="395"/>
      <c r="TOT102" s="395"/>
      <c r="TOU102" s="395"/>
      <c r="TOV102" s="396"/>
      <c r="TOW102" s="394"/>
      <c r="TOX102" s="395"/>
      <c r="TOY102" s="395"/>
      <c r="TOZ102" s="395"/>
      <c r="TPA102" s="395"/>
      <c r="TPB102" s="395"/>
      <c r="TPC102" s="395"/>
      <c r="TPD102" s="395"/>
      <c r="TPE102" s="395"/>
      <c r="TPF102" s="395"/>
      <c r="TPG102" s="395"/>
      <c r="TPH102" s="395"/>
      <c r="TPI102" s="395"/>
      <c r="TPJ102" s="395"/>
      <c r="TPK102" s="395"/>
      <c r="TPL102" s="395"/>
      <c r="TPM102" s="395"/>
      <c r="TPN102" s="395"/>
      <c r="TPO102" s="395"/>
      <c r="TPP102" s="395"/>
      <c r="TPQ102" s="395"/>
      <c r="TPR102" s="395"/>
      <c r="TPS102" s="395"/>
      <c r="TPT102" s="395"/>
      <c r="TPU102" s="395"/>
      <c r="TPV102" s="395"/>
      <c r="TPW102" s="396"/>
      <c r="TPX102" s="394"/>
      <c r="TPY102" s="395"/>
      <c r="TPZ102" s="395"/>
      <c r="TQA102" s="395"/>
      <c r="TQB102" s="395"/>
      <c r="TQC102" s="395"/>
      <c r="TQD102" s="395"/>
      <c r="TQE102" s="395"/>
      <c r="TQF102" s="395"/>
      <c r="TQG102" s="395"/>
      <c r="TQH102" s="395"/>
      <c r="TQI102" s="395"/>
      <c r="TQJ102" s="395"/>
      <c r="TQK102" s="395"/>
      <c r="TQL102" s="395"/>
      <c r="TQM102" s="395"/>
      <c r="TQN102" s="395"/>
      <c r="TQO102" s="395"/>
      <c r="TQP102" s="395"/>
      <c r="TQQ102" s="395"/>
      <c r="TQR102" s="395"/>
      <c r="TQS102" s="395"/>
      <c r="TQT102" s="395"/>
      <c r="TQU102" s="395"/>
      <c r="TQV102" s="395"/>
      <c r="TQW102" s="395"/>
      <c r="TQX102" s="396"/>
      <c r="TQY102" s="394"/>
      <c r="TQZ102" s="395"/>
      <c r="TRA102" s="395"/>
      <c r="TRB102" s="395"/>
      <c r="TRC102" s="395"/>
      <c r="TRD102" s="395"/>
      <c r="TRE102" s="395"/>
      <c r="TRF102" s="395"/>
      <c r="TRG102" s="395"/>
      <c r="TRH102" s="395"/>
      <c r="TRI102" s="395"/>
      <c r="TRJ102" s="395"/>
      <c r="TRK102" s="395"/>
      <c r="TRL102" s="395"/>
      <c r="TRM102" s="395"/>
      <c r="TRN102" s="395"/>
      <c r="TRO102" s="395"/>
      <c r="TRP102" s="395"/>
      <c r="TRQ102" s="395"/>
      <c r="TRR102" s="395"/>
      <c r="TRS102" s="395"/>
      <c r="TRT102" s="395"/>
      <c r="TRU102" s="395"/>
      <c r="TRV102" s="395"/>
      <c r="TRW102" s="395"/>
      <c r="TRX102" s="395"/>
      <c r="TRY102" s="396"/>
      <c r="TRZ102" s="394"/>
      <c r="TSA102" s="395"/>
      <c r="TSB102" s="395"/>
      <c r="TSC102" s="395"/>
      <c r="TSD102" s="395"/>
      <c r="TSE102" s="395"/>
      <c r="TSF102" s="395"/>
      <c r="TSG102" s="395"/>
      <c r="TSH102" s="395"/>
      <c r="TSI102" s="395"/>
      <c r="TSJ102" s="395"/>
      <c r="TSK102" s="395"/>
      <c r="TSL102" s="395"/>
      <c r="TSM102" s="395"/>
      <c r="TSN102" s="395"/>
      <c r="TSO102" s="395"/>
      <c r="TSP102" s="395"/>
      <c r="TSQ102" s="395"/>
      <c r="TSR102" s="395"/>
      <c r="TSS102" s="395"/>
      <c r="TST102" s="395"/>
      <c r="TSU102" s="395"/>
      <c r="TSV102" s="395"/>
      <c r="TSW102" s="395"/>
      <c r="TSX102" s="395"/>
      <c r="TSY102" s="395"/>
      <c r="TSZ102" s="396"/>
      <c r="TTA102" s="394"/>
      <c r="TTB102" s="395"/>
      <c r="TTC102" s="395"/>
      <c r="TTD102" s="395"/>
      <c r="TTE102" s="395"/>
      <c r="TTF102" s="395"/>
      <c r="TTG102" s="395"/>
      <c r="TTH102" s="395"/>
      <c r="TTI102" s="395"/>
      <c r="TTJ102" s="395"/>
      <c r="TTK102" s="395"/>
      <c r="TTL102" s="395"/>
      <c r="TTM102" s="395"/>
      <c r="TTN102" s="395"/>
      <c r="TTO102" s="395"/>
      <c r="TTP102" s="395"/>
      <c r="TTQ102" s="395"/>
      <c r="TTR102" s="395"/>
      <c r="TTS102" s="395"/>
      <c r="TTT102" s="395"/>
      <c r="TTU102" s="395"/>
      <c r="TTV102" s="395"/>
      <c r="TTW102" s="395"/>
      <c r="TTX102" s="395"/>
      <c r="TTY102" s="395"/>
      <c r="TTZ102" s="395"/>
      <c r="TUA102" s="396"/>
      <c r="TUB102" s="394"/>
      <c r="TUC102" s="395"/>
      <c r="TUD102" s="395"/>
      <c r="TUE102" s="395"/>
      <c r="TUF102" s="395"/>
      <c r="TUG102" s="395"/>
      <c r="TUH102" s="395"/>
      <c r="TUI102" s="395"/>
      <c r="TUJ102" s="395"/>
      <c r="TUK102" s="395"/>
      <c r="TUL102" s="395"/>
      <c r="TUM102" s="395"/>
      <c r="TUN102" s="395"/>
      <c r="TUO102" s="395"/>
      <c r="TUP102" s="395"/>
      <c r="TUQ102" s="395"/>
      <c r="TUR102" s="395"/>
      <c r="TUS102" s="395"/>
      <c r="TUT102" s="395"/>
      <c r="TUU102" s="395"/>
      <c r="TUV102" s="395"/>
      <c r="TUW102" s="395"/>
      <c r="TUX102" s="395"/>
      <c r="TUY102" s="395"/>
      <c r="TUZ102" s="395"/>
      <c r="TVA102" s="395"/>
      <c r="TVB102" s="396"/>
      <c r="TVC102" s="394"/>
      <c r="TVD102" s="395"/>
      <c r="TVE102" s="395"/>
      <c r="TVF102" s="395"/>
      <c r="TVG102" s="395"/>
      <c r="TVH102" s="395"/>
      <c r="TVI102" s="395"/>
      <c r="TVJ102" s="395"/>
      <c r="TVK102" s="395"/>
      <c r="TVL102" s="395"/>
      <c r="TVM102" s="395"/>
      <c r="TVN102" s="395"/>
      <c r="TVO102" s="395"/>
      <c r="TVP102" s="395"/>
      <c r="TVQ102" s="395"/>
      <c r="TVR102" s="395"/>
      <c r="TVS102" s="395"/>
      <c r="TVT102" s="395"/>
      <c r="TVU102" s="395"/>
      <c r="TVV102" s="395"/>
      <c r="TVW102" s="395"/>
      <c r="TVX102" s="395"/>
      <c r="TVY102" s="395"/>
      <c r="TVZ102" s="395"/>
      <c r="TWA102" s="395"/>
      <c r="TWB102" s="395"/>
      <c r="TWC102" s="396"/>
      <c r="TWD102" s="394"/>
      <c r="TWE102" s="395"/>
      <c r="TWF102" s="395"/>
      <c r="TWG102" s="395"/>
      <c r="TWH102" s="395"/>
      <c r="TWI102" s="395"/>
      <c r="TWJ102" s="395"/>
      <c r="TWK102" s="395"/>
      <c r="TWL102" s="395"/>
      <c r="TWM102" s="395"/>
      <c r="TWN102" s="395"/>
      <c r="TWO102" s="395"/>
      <c r="TWP102" s="395"/>
      <c r="TWQ102" s="395"/>
      <c r="TWR102" s="395"/>
      <c r="TWS102" s="395"/>
      <c r="TWT102" s="395"/>
      <c r="TWU102" s="395"/>
      <c r="TWV102" s="395"/>
      <c r="TWW102" s="395"/>
      <c r="TWX102" s="395"/>
      <c r="TWY102" s="395"/>
      <c r="TWZ102" s="395"/>
      <c r="TXA102" s="395"/>
      <c r="TXB102" s="395"/>
      <c r="TXC102" s="395"/>
      <c r="TXD102" s="396"/>
      <c r="TXE102" s="394"/>
      <c r="TXF102" s="395"/>
      <c r="TXG102" s="395"/>
      <c r="TXH102" s="395"/>
      <c r="TXI102" s="395"/>
      <c r="TXJ102" s="395"/>
      <c r="TXK102" s="395"/>
      <c r="TXL102" s="395"/>
      <c r="TXM102" s="395"/>
      <c r="TXN102" s="395"/>
      <c r="TXO102" s="395"/>
      <c r="TXP102" s="395"/>
      <c r="TXQ102" s="395"/>
      <c r="TXR102" s="395"/>
      <c r="TXS102" s="395"/>
      <c r="TXT102" s="395"/>
      <c r="TXU102" s="395"/>
      <c r="TXV102" s="395"/>
      <c r="TXW102" s="395"/>
      <c r="TXX102" s="395"/>
      <c r="TXY102" s="395"/>
      <c r="TXZ102" s="395"/>
      <c r="TYA102" s="395"/>
      <c r="TYB102" s="395"/>
      <c r="TYC102" s="395"/>
      <c r="TYD102" s="395"/>
      <c r="TYE102" s="396"/>
      <c r="TYF102" s="394"/>
      <c r="TYG102" s="395"/>
      <c r="TYH102" s="395"/>
      <c r="TYI102" s="395"/>
      <c r="TYJ102" s="395"/>
      <c r="TYK102" s="395"/>
      <c r="TYL102" s="395"/>
      <c r="TYM102" s="395"/>
      <c r="TYN102" s="395"/>
      <c r="TYO102" s="395"/>
      <c r="TYP102" s="395"/>
      <c r="TYQ102" s="395"/>
      <c r="TYR102" s="395"/>
      <c r="TYS102" s="395"/>
      <c r="TYT102" s="395"/>
      <c r="TYU102" s="395"/>
      <c r="TYV102" s="395"/>
      <c r="TYW102" s="395"/>
      <c r="TYX102" s="395"/>
      <c r="TYY102" s="395"/>
      <c r="TYZ102" s="395"/>
      <c r="TZA102" s="395"/>
      <c r="TZB102" s="395"/>
      <c r="TZC102" s="395"/>
      <c r="TZD102" s="395"/>
      <c r="TZE102" s="395"/>
      <c r="TZF102" s="396"/>
      <c r="TZG102" s="394"/>
      <c r="TZH102" s="395"/>
      <c r="TZI102" s="395"/>
      <c r="TZJ102" s="395"/>
      <c r="TZK102" s="395"/>
      <c r="TZL102" s="395"/>
      <c r="TZM102" s="395"/>
      <c r="TZN102" s="395"/>
      <c r="TZO102" s="395"/>
      <c r="TZP102" s="395"/>
      <c r="TZQ102" s="395"/>
      <c r="TZR102" s="395"/>
      <c r="TZS102" s="395"/>
      <c r="TZT102" s="395"/>
      <c r="TZU102" s="395"/>
      <c r="TZV102" s="395"/>
      <c r="TZW102" s="395"/>
      <c r="TZX102" s="395"/>
      <c r="TZY102" s="395"/>
      <c r="TZZ102" s="395"/>
      <c r="UAA102" s="395"/>
      <c r="UAB102" s="395"/>
      <c r="UAC102" s="395"/>
      <c r="UAD102" s="395"/>
      <c r="UAE102" s="395"/>
      <c r="UAF102" s="395"/>
      <c r="UAG102" s="396"/>
      <c r="UAH102" s="394"/>
      <c r="UAI102" s="395"/>
      <c r="UAJ102" s="395"/>
      <c r="UAK102" s="395"/>
      <c r="UAL102" s="395"/>
      <c r="UAM102" s="395"/>
      <c r="UAN102" s="395"/>
      <c r="UAO102" s="395"/>
      <c r="UAP102" s="395"/>
      <c r="UAQ102" s="395"/>
      <c r="UAR102" s="395"/>
      <c r="UAS102" s="395"/>
      <c r="UAT102" s="395"/>
      <c r="UAU102" s="395"/>
      <c r="UAV102" s="395"/>
      <c r="UAW102" s="395"/>
      <c r="UAX102" s="395"/>
      <c r="UAY102" s="395"/>
      <c r="UAZ102" s="395"/>
      <c r="UBA102" s="395"/>
      <c r="UBB102" s="395"/>
      <c r="UBC102" s="395"/>
      <c r="UBD102" s="395"/>
      <c r="UBE102" s="395"/>
      <c r="UBF102" s="395"/>
      <c r="UBG102" s="395"/>
      <c r="UBH102" s="396"/>
      <c r="UBI102" s="394"/>
      <c r="UBJ102" s="395"/>
      <c r="UBK102" s="395"/>
      <c r="UBL102" s="395"/>
      <c r="UBM102" s="395"/>
      <c r="UBN102" s="395"/>
      <c r="UBO102" s="395"/>
      <c r="UBP102" s="395"/>
      <c r="UBQ102" s="395"/>
      <c r="UBR102" s="395"/>
      <c r="UBS102" s="395"/>
      <c r="UBT102" s="395"/>
      <c r="UBU102" s="395"/>
      <c r="UBV102" s="395"/>
      <c r="UBW102" s="395"/>
      <c r="UBX102" s="395"/>
      <c r="UBY102" s="395"/>
      <c r="UBZ102" s="395"/>
      <c r="UCA102" s="395"/>
      <c r="UCB102" s="395"/>
      <c r="UCC102" s="395"/>
      <c r="UCD102" s="395"/>
      <c r="UCE102" s="395"/>
      <c r="UCF102" s="395"/>
      <c r="UCG102" s="395"/>
      <c r="UCH102" s="395"/>
      <c r="UCI102" s="396"/>
      <c r="UCJ102" s="394"/>
      <c r="UCK102" s="395"/>
      <c r="UCL102" s="395"/>
      <c r="UCM102" s="395"/>
      <c r="UCN102" s="395"/>
      <c r="UCO102" s="395"/>
      <c r="UCP102" s="395"/>
      <c r="UCQ102" s="395"/>
      <c r="UCR102" s="395"/>
      <c r="UCS102" s="395"/>
      <c r="UCT102" s="395"/>
      <c r="UCU102" s="395"/>
      <c r="UCV102" s="395"/>
      <c r="UCW102" s="395"/>
      <c r="UCX102" s="395"/>
      <c r="UCY102" s="395"/>
      <c r="UCZ102" s="395"/>
      <c r="UDA102" s="395"/>
      <c r="UDB102" s="395"/>
      <c r="UDC102" s="395"/>
      <c r="UDD102" s="395"/>
      <c r="UDE102" s="395"/>
      <c r="UDF102" s="395"/>
      <c r="UDG102" s="395"/>
      <c r="UDH102" s="395"/>
      <c r="UDI102" s="395"/>
      <c r="UDJ102" s="396"/>
      <c r="UDK102" s="394"/>
      <c r="UDL102" s="395"/>
      <c r="UDM102" s="395"/>
      <c r="UDN102" s="395"/>
      <c r="UDO102" s="395"/>
      <c r="UDP102" s="395"/>
      <c r="UDQ102" s="395"/>
      <c r="UDR102" s="395"/>
      <c r="UDS102" s="395"/>
      <c r="UDT102" s="395"/>
      <c r="UDU102" s="395"/>
      <c r="UDV102" s="395"/>
      <c r="UDW102" s="395"/>
      <c r="UDX102" s="395"/>
      <c r="UDY102" s="395"/>
      <c r="UDZ102" s="395"/>
      <c r="UEA102" s="395"/>
      <c r="UEB102" s="395"/>
      <c r="UEC102" s="395"/>
      <c r="UED102" s="395"/>
      <c r="UEE102" s="395"/>
      <c r="UEF102" s="395"/>
      <c r="UEG102" s="395"/>
      <c r="UEH102" s="395"/>
      <c r="UEI102" s="395"/>
      <c r="UEJ102" s="395"/>
      <c r="UEK102" s="396"/>
      <c r="UEL102" s="394"/>
      <c r="UEM102" s="395"/>
      <c r="UEN102" s="395"/>
      <c r="UEO102" s="395"/>
      <c r="UEP102" s="395"/>
      <c r="UEQ102" s="395"/>
      <c r="UER102" s="395"/>
      <c r="UES102" s="395"/>
      <c r="UET102" s="395"/>
      <c r="UEU102" s="395"/>
      <c r="UEV102" s="395"/>
      <c r="UEW102" s="395"/>
      <c r="UEX102" s="395"/>
      <c r="UEY102" s="395"/>
      <c r="UEZ102" s="395"/>
      <c r="UFA102" s="395"/>
      <c r="UFB102" s="395"/>
      <c r="UFC102" s="395"/>
      <c r="UFD102" s="395"/>
      <c r="UFE102" s="395"/>
      <c r="UFF102" s="395"/>
      <c r="UFG102" s="395"/>
      <c r="UFH102" s="395"/>
      <c r="UFI102" s="395"/>
      <c r="UFJ102" s="395"/>
      <c r="UFK102" s="395"/>
      <c r="UFL102" s="396"/>
      <c r="UFM102" s="394"/>
      <c r="UFN102" s="395"/>
      <c r="UFO102" s="395"/>
      <c r="UFP102" s="395"/>
      <c r="UFQ102" s="395"/>
      <c r="UFR102" s="395"/>
      <c r="UFS102" s="395"/>
      <c r="UFT102" s="395"/>
      <c r="UFU102" s="395"/>
      <c r="UFV102" s="395"/>
      <c r="UFW102" s="395"/>
      <c r="UFX102" s="395"/>
      <c r="UFY102" s="395"/>
      <c r="UFZ102" s="395"/>
      <c r="UGA102" s="395"/>
      <c r="UGB102" s="395"/>
      <c r="UGC102" s="395"/>
      <c r="UGD102" s="395"/>
      <c r="UGE102" s="395"/>
      <c r="UGF102" s="395"/>
      <c r="UGG102" s="395"/>
      <c r="UGH102" s="395"/>
      <c r="UGI102" s="395"/>
      <c r="UGJ102" s="395"/>
      <c r="UGK102" s="395"/>
      <c r="UGL102" s="395"/>
      <c r="UGM102" s="396"/>
      <c r="UGN102" s="394"/>
      <c r="UGO102" s="395"/>
      <c r="UGP102" s="395"/>
      <c r="UGQ102" s="395"/>
      <c r="UGR102" s="395"/>
      <c r="UGS102" s="395"/>
      <c r="UGT102" s="395"/>
      <c r="UGU102" s="395"/>
      <c r="UGV102" s="395"/>
      <c r="UGW102" s="395"/>
      <c r="UGX102" s="395"/>
      <c r="UGY102" s="395"/>
      <c r="UGZ102" s="395"/>
      <c r="UHA102" s="395"/>
      <c r="UHB102" s="395"/>
      <c r="UHC102" s="395"/>
      <c r="UHD102" s="395"/>
      <c r="UHE102" s="395"/>
      <c r="UHF102" s="395"/>
      <c r="UHG102" s="395"/>
      <c r="UHH102" s="395"/>
      <c r="UHI102" s="395"/>
      <c r="UHJ102" s="395"/>
      <c r="UHK102" s="395"/>
      <c r="UHL102" s="395"/>
      <c r="UHM102" s="395"/>
      <c r="UHN102" s="396"/>
      <c r="UHO102" s="394"/>
      <c r="UHP102" s="395"/>
      <c r="UHQ102" s="395"/>
      <c r="UHR102" s="395"/>
      <c r="UHS102" s="395"/>
      <c r="UHT102" s="395"/>
      <c r="UHU102" s="395"/>
      <c r="UHV102" s="395"/>
      <c r="UHW102" s="395"/>
      <c r="UHX102" s="395"/>
      <c r="UHY102" s="395"/>
      <c r="UHZ102" s="395"/>
      <c r="UIA102" s="395"/>
      <c r="UIB102" s="395"/>
      <c r="UIC102" s="395"/>
      <c r="UID102" s="395"/>
      <c r="UIE102" s="395"/>
      <c r="UIF102" s="395"/>
      <c r="UIG102" s="395"/>
      <c r="UIH102" s="395"/>
      <c r="UII102" s="395"/>
      <c r="UIJ102" s="395"/>
      <c r="UIK102" s="395"/>
      <c r="UIL102" s="395"/>
      <c r="UIM102" s="395"/>
      <c r="UIN102" s="395"/>
      <c r="UIO102" s="396"/>
      <c r="UIP102" s="394"/>
      <c r="UIQ102" s="395"/>
      <c r="UIR102" s="395"/>
      <c r="UIS102" s="395"/>
      <c r="UIT102" s="395"/>
      <c r="UIU102" s="395"/>
      <c r="UIV102" s="395"/>
      <c r="UIW102" s="395"/>
      <c r="UIX102" s="395"/>
      <c r="UIY102" s="395"/>
      <c r="UIZ102" s="395"/>
      <c r="UJA102" s="395"/>
      <c r="UJB102" s="395"/>
      <c r="UJC102" s="395"/>
      <c r="UJD102" s="395"/>
      <c r="UJE102" s="395"/>
      <c r="UJF102" s="395"/>
      <c r="UJG102" s="395"/>
      <c r="UJH102" s="395"/>
      <c r="UJI102" s="395"/>
      <c r="UJJ102" s="395"/>
      <c r="UJK102" s="395"/>
      <c r="UJL102" s="395"/>
      <c r="UJM102" s="395"/>
      <c r="UJN102" s="395"/>
      <c r="UJO102" s="395"/>
      <c r="UJP102" s="396"/>
      <c r="UJQ102" s="394"/>
      <c r="UJR102" s="395"/>
      <c r="UJS102" s="395"/>
      <c r="UJT102" s="395"/>
      <c r="UJU102" s="395"/>
      <c r="UJV102" s="395"/>
      <c r="UJW102" s="395"/>
      <c r="UJX102" s="395"/>
      <c r="UJY102" s="395"/>
      <c r="UJZ102" s="395"/>
      <c r="UKA102" s="395"/>
      <c r="UKB102" s="395"/>
      <c r="UKC102" s="395"/>
      <c r="UKD102" s="395"/>
      <c r="UKE102" s="395"/>
      <c r="UKF102" s="395"/>
      <c r="UKG102" s="395"/>
      <c r="UKH102" s="395"/>
      <c r="UKI102" s="395"/>
      <c r="UKJ102" s="395"/>
      <c r="UKK102" s="395"/>
      <c r="UKL102" s="395"/>
      <c r="UKM102" s="395"/>
      <c r="UKN102" s="395"/>
      <c r="UKO102" s="395"/>
      <c r="UKP102" s="395"/>
      <c r="UKQ102" s="396"/>
      <c r="UKR102" s="394"/>
      <c r="UKS102" s="395"/>
      <c r="UKT102" s="395"/>
      <c r="UKU102" s="395"/>
      <c r="UKV102" s="395"/>
      <c r="UKW102" s="395"/>
      <c r="UKX102" s="395"/>
      <c r="UKY102" s="395"/>
      <c r="UKZ102" s="395"/>
      <c r="ULA102" s="395"/>
      <c r="ULB102" s="395"/>
      <c r="ULC102" s="395"/>
      <c r="ULD102" s="395"/>
      <c r="ULE102" s="395"/>
      <c r="ULF102" s="395"/>
      <c r="ULG102" s="395"/>
      <c r="ULH102" s="395"/>
      <c r="ULI102" s="395"/>
      <c r="ULJ102" s="395"/>
      <c r="ULK102" s="395"/>
      <c r="ULL102" s="395"/>
      <c r="ULM102" s="395"/>
      <c r="ULN102" s="395"/>
      <c r="ULO102" s="395"/>
      <c r="ULP102" s="395"/>
      <c r="ULQ102" s="395"/>
      <c r="ULR102" s="396"/>
      <c r="ULS102" s="394"/>
      <c r="ULT102" s="395"/>
      <c r="ULU102" s="395"/>
      <c r="ULV102" s="395"/>
      <c r="ULW102" s="395"/>
      <c r="ULX102" s="395"/>
      <c r="ULY102" s="395"/>
      <c r="ULZ102" s="395"/>
      <c r="UMA102" s="395"/>
      <c r="UMB102" s="395"/>
      <c r="UMC102" s="395"/>
      <c r="UMD102" s="395"/>
      <c r="UME102" s="395"/>
      <c r="UMF102" s="395"/>
      <c r="UMG102" s="395"/>
      <c r="UMH102" s="395"/>
      <c r="UMI102" s="395"/>
      <c r="UMJ102" s="395"/>
      <c r="UMK102" s="395"/>
      <c r="UML102" s="395"/>
      <c r="UMM102" s="395"/>
      <c r="UMN102" s="395"/>
      <c r="UMO102" s="395"/>
      <c r="UMP102" s="395"/>
      <c r="UMQ102" s="395"/>
      <c r="UMR102" s="395"/>
      <c r="UMS102" s="396"/>
      <c r="UMT102" s="394"/>
      <c r="UMU102" s="395"/>
      <c r="UMV102" s="395"/>
      <c r="UMW102" s="395"/>
      <c r="UMX102" s="395"/>
      <c r="UMY102" s="395"/>
      <c r="UMZ102" s="395"/>
      <c r="UNA102" s="395"/>
      <c r="UNB102" s="395"/>
      <c r="UNC102" s="395"/>
      <c r="UND102" s="395"/>
      <c r="UNE102" s="395"/>
      <c r="UNF102" s="395"/>
      <c r="UNG102" s="395"/>
      <c r="UNH102" s="395"/>
      <c r="UNI102" s="395"/>
      <c r="UNJ102" s="395"/>
      <c r="UNK102" s="395"/>
      <c r="UNL102" s="395"/>
      <c r="UNM102" s="395"/>
      <c r="UNN102" s="395"/>
      <c r="UNO102" s="395"/>
      <c r="UNP102" s="395"/>
      <c r="UNQ102" s="395"/>
      <c r="UNR102" s="395"/>
      <c r="UNS102" s="395"/>
      <c r="UNT102" s="396"/>
      <c r="UNU102" s="394"/>
      <c r="UNV102" s="395"/>
      <c r="UNW102" s="395"/>
      <c r="UNX102" s="395"/>
      <c r="UNY102" s="395"/>
      <c r="UNZ102" s="395"/>
      <c r="UOA102" s="395"/>
      <c r="UOB102" s="395"/>
      <c r="UOC102" s="395"/>
      <c r="UOD102" s="395"/>
      <c r="UOE102" s="395"/>
      <c r="UOF102" s="395"/>
      <c r="UOG102" s="395"/>
      <c r="UOH102" s="395"/>
      <c r="UOI102" s="395"/>
      <c r="UOJ102" s="395"/>
      <c r="UOK102" s="395"/>
      <c r="UOL102" s="395"/>
      <c r="UOM102" s="395"/>
      <c r="UON102" s="395"/>
      <c r="UOO102" s="395"/>
      <c r="UOP102" s="395"/>
      <c r="UOQ102" s="395"/>
      <c r="UOR102" s="395"/>
      <c r="UOS102" s="395"/>
      <c r="UOT102" s="395"/>
      <c r="UOU102" s="396"/>
      <c r="UOV102" s="394"/>
      <c r="UOW102" s="395"/>
      <c r="UOX102" s="395"/>
      <c r="UOY102" s="395"/>
      <c r="UOZ102" s="395"/>
      <c r="UPA102" s="395"/>
      <c r="UPB102" s="395"/>
      <c r="UPC102" s="395"/>
      <c r="UPD102" s="395"/>
      <c r="UPE102" s="395"/>
      <c r="UPF102" s="395"/>
      <c r="UPG102" s="395"/>
      <c r="UPH102" s="395"/>
      <c r="UPI102" s="395"/>
      <c r="UPJ102" s="395"/>
      <c r="UPK102" s="395"/>
      <c r="UPL102" s="395"/>
      <c r="UPM102" s="395"/>
      <c r="UPN102" s="395"/>
      <c r="UPO102" s="395"/>
      <c r="UPP102" s="395"/>
      <c r="UPQ102" s="395"/>
      <c r="UPR102" s="395"/>
      <c r="UPS102" s="395"/>
      <c r="UPT102" s="395"/>
      <c r="UPU102" s="395"/>
      <c r="UPV102" s="396"/>
      <c r="UPW102" s="394"/>
      <c r="UPX102" s="395"/>
      <c r="UPY102" s="395"/>
      <c r="UPZ102" s="395"/>
      <c r="UQA102" s="395"/>
      <c r="UQB102" s="395"/>
      <c r="UQC102" s="395"/>
      <c r="UQD102" s="395"/>
      <c r="UQE102" s="395"/>
      <c r="UQF102" s="395"/>
      <c r="UQG102" s="395"/>
      <c r="UQH102" s="395"/>
      <c r="UQI102" s="395"/>
      <c r="UQJ102" s="395"/>
      <c r="UQK102" s="395"/>
      <c r="UQL102" s="395"/>
      <c r="UQM102" s="395"/>
      <c r="UQN102" s="395"/>
      <c r="UQO102" s="395"/>
      <c r="UQP102" s="395"/>
      <c r="UQQ102" s="395"/>
      <c r="UQR102" s="395"/>
      <c r="UQS102" s="395"/>
      <c r="UQT102" s="395"/>
      <c r="UQU102" s="395"/>
      <c r="UQV102" s="395"/>
      <c r="UQW102" s="396"/>
      <c r="UQX102" s="394"/>
      <c r="UQY102" s="395"/>
      <c r="UQZ102" s="395"/>
      <c r="URA102" s="395"/>
      <c r="URB102" s="395"/>
      <c r="URC102" s="395"/>
      <c r="URD102" s="395"/>
      <c r="URE102" s="395"/>
      <c r="URF102" s="395"/>
      <c r="URG102" s="395"/>
      <c r="URH102" s="395"/>
      <c r="URI102" s="395"/>
      <c r="URJ102" s="395"/>
      <c r="URK102" s="395"/>
      <c r="URL102" s="395"/>
      <c r="URM102" s="395"/>
      <c r="URN102" s="395"/>
      <c r="URO102" s="395"/>
      <c r="URP102" s="395"/>
      <c r="URQ102" s="395"/>
      <c r="URR102" s="395"/>
      <c r="URS102" s="395"/>
      <c r="URT102" s="395"/>
      <c r="URU102" s="395"/>
      <c r="URV102" s="395"/>
      <c r="URW102" s="395"/>
      <c r="URX102" s="396"/>
      <c r="URY102" s="394"/>
      <c r="URZ102" s="395"/>
      <c r="USA102" s="395"/>
      <c r="USB102" s="395"/>
      <c r="USC102" s="395"/>
      <c r="USD102" s="395"/>
      <c r="USE102" s="395"/>
      <c r="USF102" s="395"/>
      <c r="USG102" s="395"/>
      <c r="USH102" s="395"/>
      <c r="USI102" s="395"/>
      <c r="USJ102" s="395"/>
      <c r="USK102" s="395"/>
      <c r="USL102" s="395"/>
      <c r="USM102" s="395"/>
      <c r="USN102" s="395"/>
      <c r="USO102" s="395"/>
      <c r="USP102" s="395"/>
      <c r="USQ102" s="395"/>
      <c r="USR102" s="395"/>
      <c r="USS102" s="395"/>
      <c r="UST102" s="395"/>
      <c r="USU102" s="395"/>
      <c r="USV102" s="395"/>
      <c r="USW102" s="395"/>
      <c r="USX102" s="395"/>
      <c r="USY102" s="396"/>
      <c r="USZ102" s="394"/>
      <c r="UTA102" s="395"/>
      <c r="UTB102" s="395"/>
      <c r="UTC102" s="395"/>
      <c r="UTD102" s="395"/>
      <c r="UTE102" s="395"/>
      <c r="UTF102" s="395"/>
      <c r="UTG102" s="395"/>
      <c r="UTH102" s="395"/>
      <c r="UTI102" s="395"/>
      <c r="UTJ102" s="395"/>
      <c r="UTK102" s="395"/>
      <c r="UTL102" s="395"/>
      <c r="UTM102" s="395"/>
      <c r="UTN102" s="395"/>
      <c r="UTO102" s="395"/>
      <c r="UTP102" s="395"/>
      <c r="UTQ102" s="395"/>
      <c r="UTR102" s="395"/>
      <c r="UTS102" s="395"/>
      <c r="UTT102" s="395"/>
      <c r="UTU102" s="395"/>
      <c r="UTV102" s="395"/>
      <c r="UTW102" s="395"/>
      <c r="UTX102" s="395"/>
      <c r="UTY102" s="395"/>
      <c r="UTZ102" s="396"/>
      <c r="UUA102" s="394"/>
      <c r="UUB102" s="395"/>
      <c r="UUC102" s="395"/>
      <c r="UUD102" s="395"/>
      <c r="UUE102" s="395"/>
      <c r="UUF102" s="395"/>
      <c r="UUG102" s="395"/>
      <c r="UUH102" s="395"/>
      <c r="UUI102" s="395"/>
      <c r="UUJ102" s="395"/>
      <c r="UUK102" s="395"/>
      <c r="UUL102" s="395"/>
      <c r="UUM102" s="395"/>
      <c r="UUN102" s="395"/>
      <c r="UUO102" s="395"/>
      <c r="UUP102" s="395"/>
      <c r="UUQ102" s="395"/>
      <c r="UUR102" s="395"/>
      <c r="UUS102" s="395"/>
      <c r="UUT102" s="395"/>
      <c r="UUU102" s="395"/>
      <c r="UUV102" s="395"/>
      <c r="UUW102" s="395"/>
      <c r="UUX102" s="395"/>
      <c r="UUY102" s="395"/>
      <c r="UUZ102" s="395"/>
      <c r="UVA102" s="396"/>
      <c r="UVB102" s="394"/>
      <c r="UVC102" s="395"/>
      <c r="UVD102" s="395"/>
      <c r="UVE102" s="395"/>
      <c r="UVF102" s="395"/>
      <c r="UVG102" s="395"/>
      <c r="UVH102" s="395"/>
      <c r="UVI102" s="395"/>
      <c r="UVJ102" s="395"/>
      <c r="UVK102" s="395"/>
      <c r="UVL102" s="395"/>
      <c r="UVM102" s="395"/>
      <c r="UVN102" s="395"/>
      <c r="UVO102" s="395"/>
      <c r="UVP102" s="395"/>
      <c r="UVQ102" s="395"/>
      <c r="UVR102" s="395"/>
      <c r="UVS102" s="395"/>
      <c r="UVT102" s="395"/>
      <c r="UVU102" s="395"/>
      <c r="UVV102" s="395"/>
      <c r="UVW102" s="395"/>
      <c r="UVX102" s="395"/>
      <c r="UVY102" s="395"/>
      <c r="UVZ102" s="395"/>
      <c r="UWA102" s="395"/>
      <c r="UWB102" s="396"/>
      <c r="UWC102" s="394"/>
      <c r="UWD102" s="395"/>
      <c r="UWE102" s="395"/>
      <c r="UWF102" s="395"/>
      <c r="UWG102" s="395"/>
      <c r="UWH102" s="395"/>
      <c r="UWI102" s="395"/>
      <c r="UWJ102" s="395"/>
      <c r="UWK102" s="395"/>
      <c r="UWL102" s="395"/>
      <c r="UWM102" s="395"/>
      <c r="UWN102" s="395"/>
      <c r="UWO102" s="395"/>
      <c r="UWP102" s="395"/>
      <c r="UWQ102" s="395"/>
      <c r="UWR102" s="395"/>
      <c r="UWS102" s="395"/>
      <c r="UWT102" s="395"/>
      <c r="UWU102" s="395"/>
      <c r="UWV102" s="395"/>
      <c r="UWW102" s="395"/>
      <c r="UWX102" s="395"/>
      <c r="UWY102" s="395"/>
      <c r="UWZ102" s="395"/>
      <c r="UXA102" s="395"/>
      <c r="UXB102" s="395"/>
      <c r="UXC102" s="396"/>
      <c r="UXD102" s="394"/>
      <c r="UXE102" s="395"/>
      <c r="UXF102" s="395"/>
      <c r="UXG102" s="395"/>
      <c r="UXH102" s="395"/>
      <c r="UXI102" s="395"/>
      <c r="UXJ102" s="395"/>
      <c r="UXK102" s="395"/>
      <c r="UXL102" s="395"/>
      <c r="UXM102" s="395"/>
      <c r="UXN102" s="395"/>
      <c r="UXO102" s="395"/>
      <c r="UXP102" s="395"/>
      <c r="UXQ102" s="395"/>
      <c r="UXR102" s="395"/>
      <c r="UXS102" s="395"/>
      <c r="UXT102" s="395"/>
      <c r="UXU102" s="395"/>
      <c r="UXV102" s="395"/>
      <c r="UXW102" s="395"/>
      <c r="UXX102" s="395"/>
      <c r="UXY102" s="395"/>
      <c r="UXZ102" s="395"/>
      <c r="UYA102" s="395"/>
      <c r="UYB102" s="395"/>
      <c r="UYC102" s="395"/>
      <c r="UYD102" s="396"/>
      <c r="UYE102" s="394"/>
      <c r="UYF102" s="395"/>
      <c r="UYG102" s="395"/>
      <c r="UYH102" s="395"/>
      <c r="UYI102" s="395"/>
      <c r="UYJ102" s="395"/>
      <c r="UYK102" s="395"/>
      <c r="UYL102" s="395"/>
      <c r="UYM102" s="395"/>
      <c r="UYN102" s="395"/>
      <c r="UYO102" s="395"/>
      <c r="UYP102" s="395"/>
      <c r="UYQ102" s="395"/>
      <c r="UYR102" s="395"/>
      <c r="UYS102" s="395"/>
      <c r="UYT102" s="395"/>
      <c r="UYU102" s="395"/>
      <c r="UYV102" s="395"/>
      <c r="UYW102" s="395"/>
      <c r="UYX102" s="395"/>
      <c r="UYY102" s="395"/>
      <c r="UYZ102" s="395"/>
      <c r="UZA102" s="395"/>
      <c r="UZB102" s="395"/>
      <c r="UZC102" s="395"/>
      <c r="UZD102" s="395"/>
      <c r="UZE102" s="396"/>
      <c r="UZF102" s="394"/>
      <c r="UZG102" s="395"/>
      <c r="UZH102" s="395"/>
      <c r="UZI102" s="395"/>
      <c r="UZJ102" s="395"/>
      <c r="UZK102" s="395"/>
      <c r="UZL102" s="395"/>
      <c r="UZM102" s="395"/>
      <c r="UZN102" s="395"/>
      <c r="UZO102" s="395"/>
      <c r="UZP102" s="395"/>
      <c r="UZQ102" s="395"/>
      <c r="UZR102" s="395"/>
      <c r="UZS102" s="395"/>
      <c r="UZT102" s="395"/>
      <c r="UZU102" s="395"/>
      <c r="UZV102" s="395"/>
      <c r="UZW102" s="395"/>
      <c r="UZX102" s="395"/>
      <c r="UZY102" s="395"/>
      <c r="UZZ102" s="395"/>
      <c r="VAA102" s="395"/>
      <c r="VAB102" s="395"/>
      <c r="VAC102" s="395"/>
      <c r="VAD102" s="395"/>
      <c r="VAE102" s="395"/>
      <c r="VAF102" s="396"/>
      <c r="VAG102" s="394"/>
      <c r="VAH102" s="395"/>
      <c r="VAI102" s="395"/>
      <c r="VAJ102" s="395"/>
      <c r="VAK102" s="395"/>
      <c r="VAL102" s="395"/>
      <c r="VAM102" s="395"/>
      <c r="VAN102" s="395"/>
      <c r="VAO102" s="395"/>
      <c r="VAP102" s="395"/>
      <c r="VAQ102" s="395"/>
      <c r="VAR102" s="395"/>
      <c r="VAS102" s="395"/>
      <c r="VAT102" s="395"/>
      <c r="VAU102" s="395"/>
      <c r="VAV102" s="395"/>
      <c r="VAW102" s="395"/>
      <c r="VAX102" s="395"/>
      <c r="VAY102" s="395"/>
      <c r="VAZ102" s="395"/>
      <c r="VBA102" s="395"/>
      <c r="VBB102" s="395"/>
      <c r="VBC102" s="395"/>
      <c r="VBD102" s="395"/>
      <c r="VBE102" s="395"/>
      <c r="VBF102" s="395"/>
      <c r="VBG102" s="396"/>
      <c r="VBH102" s="394"/>
      <c r="VBI102" s="395"/>
      <c r="VBJ102" s="395"/>
      <c r="VBK102" s="395"/>
      <c r="VBL102" s="395"/>
      <c r="VBM102" s="395"/>
      <c r="VBN102" s="395"/>
      <c r="VBO102" s="395"/>
      <c r="VBP102" s="395"/>
      <c r="VBQ102" s="395"/>
      <c r="VBR102" s="395"/>
      <c r="VBS102" s="395"/>
      <c r="VBT102" s="395"/>
      <c r="VBU102" s="395"/>
      <c r="VBV102" s="395"/>
      <c r="VBW102" s="395"/>
      <c r="VBX102" s="395"/>
      <c r="VBY102" s="395"/>
      <c r="VBZ102" s="395"/>
      <c r="VCA102" s="395"/>
      <c r="VCB102" s="395"/>
      <c r="VCC102" s="395"/>
      <c r="VCD102" s="395"/>
      <c r="VCE102" s="395"/>
      <c r="VCF102" s="395"/>
      <c r="VCG102" s="395"/>
      <c r="VCH102" s="396"/>
      <c r="VCI102" s="394"/>
      <c r="VCJ102" s="395"/>
      <c r="VCK102" s="395"/>
      <c r="VCL102" s="395"/>
      <c r="VCM102" s="395"/>
      <c r="VCN102" s="395"/>
      <c r="VCO102" s="395"/>
      <c r="VCP102" s="395"/>
      <c r="VCQ102" s="395"/>
      <c r="VCR102" s="395"/>
      <c r="VCS102" s="395"/>
      <c r="VCT102" s="395"/>
      <c r="VCU102" s="395"/>
      <c r="VCV102" s="395"/>
      <c r="VCW102" s="395"/>
      <c r="VCX102" s="395"/>
      <c r="VCY102" s="395"/>
      <c r="VCZ102" s="395"/>
      <c r="VDA102" s="395"/>
      <c r="VDB102" s="395"/>
      <c r="VDC102" s="395"/>
      <c r="VDD102" s="395"/>
      <c r="VDE102" s="395"/>
      <c r="VDF102" s="395"/>
      <c r="VDG102" s="395"/>
      <c r="VDH102" s="395"/>
      <c r="VDI102" s="396"/>
      <c r="VDJ102" s="394"/>
      <c r="VDK102" s="395"/>
      <c r="VDL102" s="395"/>
      <c r="VDM102" s="395"/>
      <c r="VDN102" s="395"/>
      <c r="VDO102" s="395"/>
      <c r="VDP102" s="395"/>
      <c r="VDQ102" s="395"/>
      <c r="VDR102" s="395"/>
      <c r="VDS102" s="395"/>
      <c r="VDT102" s="395"/>
      <c r="VDU102" s="395"/>
      <c r="VDV102" s="395"/>
      <c r="VDW102" s="395"/>
      <c r="VDX102" s="395"/>
      <c r="VDY102" s="395"/>
      <c r="VDZ102" s="395"/>
      <c r="VEA102" s="395"/>
      <c r="VEB102" s="395"/>
      <c r="VEC102" s="395"/>
      <c r="VED102" s="395"/>
      <c r="VEE102" s="395"/>
      <c r="VEF102" s="395"/>
      <c r="VEG102" s="395"/>
      <c r="VEH102" s="395"/>
      <c r="VEI102" s="395"/>
      <c r="VEJ102" s="396"/>
      <c r="VEK102" s="394"/>
      <c r="VEL102" s="395"/>
      <c r="VEM102" s="395"/>
      <c r="VEN102" s="395"/>
      <c r="VEO102" s="395"/>
      <c r="VEP102" s="395"/>
      <c r="VEQ102" s="395"/>
      <c r="VER102" s="395"/>
      <c r="VES102" s="395"/>
      <c r="VET102" s="395"/>
      <c r="VEU102" s="395"/>
      <c r="VEV102" s="395"/>
      <c r="VEW102" s="395"/>
      <c r="VEX102" s="395"/>
      <c r="VEY102" s="395"/>
      <c r="VEZ102" s="395"/>
      <c r="VFA102" s="395"/>
      <c r="VFB102" s="395"/>
      <c r="VFC102" s="395"/>
      <c r="VFD102" s="395"/>
      <c r="VFE102" s="395"/>
      <c r="VFF102" s="395"/>
      <c r="VFG102" s="395"/>
      <c r="VFH102" s="395"/>
      <c r="VFI102" s="395"/>
      <c r="VFJ102" s="395"/>
      <c r="VFK102" s="396"/>
      <c r="VFL102" s="394"/>
      <c r="VFM102" s="395"/>
      <c r="VFN102" s="395"/>
      <c r="VFO102" s="395"/>
      <c r="VFP102" s="395"/>
      <c r="VFQ102" s="395"/>
      <c r="VFR102" s="395"/>
      <c r="VFS102" s="395"/>
      <c r="VFT102" s="395"/>
      <c r="VFU102" s="395"/>
      <c r="VFV102" s="395"/>
      <c r="VFW102" s="395"/>
      <c r="VFX102" s="395"/>
      <c r="VFY102" s="395"/>
      <c r="VFZ102" s="395"/>
      <c r="VGA102" s="395"/>
      <c r="VGB102" s="395"/>
      <c r="VGC102" s="395"/>
      <c r="VGD102" s="395"/>
      <c r="VGE102" s="395"/>
      <c r="VGF102" s="395"/>
      <c r="VGG102" s="395"/>
      <c r="VGH102" s="395"/>
      <c r="VGI102" s="395"/>
      <c r="VGJ102" s="395"/>
      <c r="VGK102" s="395"/>
      <c r="VGL102" s="396"/>
      <c r="VGM102" s="394"/>
      <c r="VGN102" s="395"/>
      <c r="VGO102" s="395"/>
      <c r="VGP102" s="395"/>
      <c r="VGQ102" s="395"/>
      <c r="VGR102" s="395"/>
      <c r="VGS102" s="395"/>
      <c r="VGT102" s="395"/>
      <c r="VGU102" s="395"/>
      <c r="VGV102" s="395"/>
      <c r="VGW102" s="395"/>
      <c r="VGX102" s="395"/>
      <c r="VGY102" s="395"/>
      <c r="VGZ102" s="395"/>
      <c r="VHA102" s="395"/>
      <c r="VHB102" s="395"/>
      <c r="VHC102" s="395"/>
      <c r="VHD102" s="395"/>
      <c r="VHE102" s="395"/>
      <c r="VHF102" s="395"/>
      <c r="VHG102" s="395"/>
      <c r="VHH102" s="395"/>
      <c r="VHI102" s="395"/>
      <c r="VHJ102" s="395"/>
      <c r="VHK102" s="395"/>
      <c r="VHL102" s="395"/>
      <c r="VHM102" s="396"/>
      <c r="VHN102" s="394"/>
      <c r="VHO102" s="395"/>
      <c r="VHP102" s="395"/>
      <c r="VHQ102" s="395"/>
      <c r="VHR102" s="395"/>
      <c r="VHS102" s="395"/>
      <c r="VHT102" s="395"/>
      <c r="VHU102" s="395"/>
      <c r="VHV102" s="395"/>
      <c r="VHW102" s="395"/>
      <c r="VHX102" s="395"/>
      <c r="VHY102" s="395"/>
      <c r="VHZ102" s="395"/>
      <c r="VIA102" s="395"/>
      <c r="VIB102" s="395"/>
      <c r="VIC102" s="395"/>
      <c r="VID102" s="395"/>
      <c r="VIE102" s="395"/>
      <c r="VIF102" s="395"/>
      <c r="VIG102" s="395"/>
      <c r="VIH102" s="395"/>
      <c r="VII102" s="395"/>
      <c r="VIJ102" s="395"/>
      <c r="VIK102" s="395"/>
      <c r="VIL102" s="395"/>
      <c r="VIM102" s="395"/>
      <c r="VIN102" s="396"/>
      <c r="VIO102" s="394"/>
      <c r="VIP102" s="395"/>
      <c r="VIQ102" s="395"/>
      <c r="VIR102" s="395"/>
      <c r="VIS102" s="395"/>
      <c r="VIT102" s="395"/>
      <c r="VIU102" s="395"/>
      <c r="VIV102" s="395"/>
      <c r="VIW102" s="395"/>
      <c r="VIX102" s="395"/>
      <c r="VIY102" s="395"/>
      <c r="VIZ102" s="395"/>
      <c r="VJA102" s="395"/>
      <c r="VJB102" s="395"/>
      <c r="VJC102" s="395"/>
      <c r="VJD102" s="395"/>
      <c r="VJE102" s="395"/>
      <c r="VJF102" s="395"/>
      <c r="VJG102" s="395"/>
      <c r="VJH102" s="395"/>
      <c r="VJI102" s="395"/>
      <c r="VJJ102" s="395"/>
      <c r="VJK102" s="395"/>
      <c r="VJL102" s="395"/>
      <c r="VJM102" s="395"/>
      <c r="VJN102" s="395"/>
      <c r="VJO102" s="396"/>
      <c r="VJP102" s="394"/>
      <c r="VJQ102" s="395"/>
      <c r="VJR102" s="395"/>
      <c r="VJS102" s="395"/>
      <c r="VJT102" s="395"/>
      <c r="VJU102" s="395"/>
      <c r="VJV102" s="395"/>
      <c r="VJW102" s="395"/>
      <c r="VJX102" s="395"/>
      <c r="VJY102" s="395"/>
      <c r="VJZ102" s="395"/>
      <c r="VKA102" s="395"/>
      <c r="VKB102" s="395"/>
      <c r="VKC102" s="395"/>
      <c r="VKD102" s="395"/>
      <c r="VKE102" s="395"/>
      <c r="VKF102" s="395"/>
      <c r="VKG102" s="395"/>
      <c r="VKH102" s="395"/>
      <c r="VKI102" s="395"/>
      <c r="VKJ102" s="395"/>
      <c r="VKK102" s="395"/>
      <c r="VKL102" s="395"/>
      <c r="VKM102" s="395"/>
      <c r="VKN102" s="395"/>
      <c r="VKO102" s="395"/>
      <c r="VKP102" s="396"/>
      <c r="VKQ102" s="394"/>
      <c r="VKR102" s="395"/>
      <c r="VKS102" s="395"/>
      <c r="VKT102" s="395"/>
      <c r="VKU102" s="395"/>
      <c r="VKV102" s="395"/>
      <c r="VKW102" s="395"/>
      <c r="VKX102" s="395"/>
      <c r="VKY102" s="395"/>
      <c r="VKZ102" s="395"/>
      <c r="VLA102" s="395"/>
      <c r="VLB102" s="395"/>
      <c r="VLC102" s="395"/>
      <c r="VLD102" s="395"/>
      <c r="VLE102" s="395"/>
      <c r="VLF102" s="395"/>
      <c r="VLG102" s="395"/>
      <c r="VLH102" s="395"/>
      <c r="VLI102" s="395"/>
      <c r="VLJ102" s="395"/>
      <c r="VLK102" s="395"/>
      <c r="VLL102" s="395"/>
      <c r="VLM102" s="395"/>
      <c r="VLN102" s="395"/>
      <c r="VLO102" s="395"/>
      <c r="VLP102" s="395"/>
      <c r="VLQ102" s="396"/>
      <c r="VLR102" s="394"/>
      <c r="VLS102" s="395"/>
      <c r="VLT102" s="395"/>
      <c r="VLU102" s="395"/>
      <c r="VLV102" s="395"/>
      <c r="VLW102" s="395"/>
      <c r="VLX102" s="395"/>
      <c r="VLY102" s="395"/>
      <c r="VLZ102" s="395"/>
      <c r="VMA102" s="395"/>
      <c r="VMB102" s="395"/>
      <c r="VMC102" s="395"/>
      <c r="VMD102" s="395"/>
      <c r="VME102" s="395"/>
      <c r="VMF102" s="395"/>
      <c r="VMG102" s="395"/>
      <c r="VMH102" s="395"/>
      <c r="VMI102" s="395"/>
      <c r="VMJ102" s="395"/>
      <c r="VMK102" s="395"/>
      <c r="VML102" s="395"/>
      <c r="VMM102" s="395"/>
      <c r="VMN102" s="395"/>
      <c r="VMO102" s="395"/>
      <c r="VMP102" s="395"/>
      <c r="VMQ102" s="395"/>
      <c r="VMR102" s="396"/>
      <c r="VMS102" s="394"/>
      <c r="VMT102" s="395"/>
      <c r="VMU102" s="395"/>
      <c r="VMV102" s="395"/>
      <c r="VMW102" s="395"/>
      <c r="VMX102" s="395"/>
      <c r="VMY102" s="395"/>
      <c r="VMZ102" s="395"/>
      <c r="VNA102" s="395"/>
      <c r="VNB102" s="395"/>
      <c r="VNC102" s="395"/>
      <c r="VND102" s="395"/>
      <c r="VNE102" s="395"/>
      <c r="VNF102" s="395"/>
      <c r="VNG102" s="395"/>
      <c r="VNH102" s="395"/>
      <c r="VNI102" s="395"/>
      <c r="VNJ102" s="395"/>
      <c r="VNK102" s="395"/>
      <c r="VNL102" s="395"/>
      <c r="VNM102" s="395"/>
      <c r="VNN102" s="395"/>
      <c r="VNO102" s="395"/>
      <c r="VNP102" s="395"/>
      <c r="VNQ102" s="395"/>
      <c r="VNR102" s="395"/>
      <c r="VNS102" s="396"/>
      <c r="VNT102" s="394"/>
      <c r="VNU102" s="395"/>
      <c r="VNV102" s="395"/>
      <c r="VNW102" s="395"/>
      <c r="VNX102" s="395"/>
      <c r="VNY102" s="395"/>
      <c r="VNZ102" s="395"/>
      <c r="VOA102" s="395"/>
      <c r="VOB102" s="395"/>
      <c r="VOC102" s="395"/>
      <c r="VOD102" s="395"/>
      <c r="VOE102" s="395"/>
      <c r="VOF102" s="395"/>
      <c r="VOG102" s="395"/>
      <c r="VOH102" s="395"/>
      <c r="VOI102" s="395"/>
      <c r="VOJ102" s="395"/>
      <c r="VOK102" s="395"/>
      <c r="VOL102" s="395"/>
      <c r="VOM102" s="395"/>
      <c r="VON102" s="395"/>
      <c r="VOO102" s="395"/>
      <c r="VOP102" s="395"/>
      <c r="VOQ102" s="395"/>
      <c r="VOR102" s="395"/>
      <c r="VOS102" s="395"/>
      <c r="VOT102" s="396"/>
      <c r="VOU102" s="394"/>
      <c r="VOV102" s="395"/>
      <c r="VOW102" s="395"/>
      <c r="VOX102" s="395"/>
      <c r="VOY102" s="395"/>
      <c r="VOZ102" s="395"/>
      <c r="VPA102" s="395"/>
      <c r="VPB102" s="395"/>
      <c r="VPC102" s="395"/>
      <c r="VPD102" s="395"/>
      <c r="VPE102" s="395"/>
      <c r="VPF102" s="395"/>
      <c r="VPG102" s="395"/>
      <c r="VPH102" s="395"/>
      <c r="VPI102" s="395"/>
      <c r="VPJ102" s="395"/>
      <c r="VPK102" s="395"/>
      <c r="VPL102" s="395"/>
      <c r="VPM102" s="395"/>
      <c r="VPN102" s="395"/>
      <c r="VPO102" s="395"/>
      <c r="VPP102" s="395"/>
      <c r="VPQ102" s="395"/>
      <c r="VPR102" s="395"/>
      <c r="VPS102" s="395"/>
      <c r="VPT102" s="395"/>
      <c r="VPU102" s="396"/>
      <c r="VPV102" s="394"/>
      <c r="VPW102" s="395"/>
      <c r="VPX102" s="395"/>
      <c r="VPY102" s="395"/>
      <c r="VPZ102" s="395"/>
      <c r="VQA102" s="395"/>
      <c r="VQB102" s="395"/>
      <c r="VQC102" s="395"/>
      <c r="VQD102" s="395"/>
      <c r="VQE102" s="395"/>
      <c r="VQF102" s="395"/>
      <c r="VQG102" s="395"/>
      <c r="VQH102" s="395"/>
      <c r="VQI102" s="395"/>
      <c r="VQJ102" s="395"/>
      <c r="VQK102" s="395"/>
      <c r="VQL102" s="395"/>
      <c r="VQM102" s="395"/>
      <c r="VQN102" s="395"/>
      <c r="VQO102" s="395"/>
      <c r="VQP102" s="395"/>
      <c r="VQQ102" s="395"/>
      <c r="VQR102" s="395"/>
      <c r="VQS102" s="395"/>
      <c r="VQT102" s="395"/>
      <c r="VQU102" s="395"/>
      <c r="VQV102" s="396"/>
      <c r="VQW102" s="394"/>
      <c r="VQX102" s="395"/>
      <c r="VQY102" s="395"/>
      <c r="VQZ102" s="395"/>
      <c r="VRA102" s="395"/>
      <c r="VRB102" s="395"/>
      <c r="VRC102" s="395"/>
      <c r="VRD102" s="395"/>
      <c r="VRE102" s="395"/>
      <c r="VRF102" s="395"/>
      <c r="VRG102" s="395"/>
      <c r="VRH102" s="395"/>
      <c r="VRI102" s="395"/>
      <c r="VRJ102" s="395"/>
      <c r="VRK102" s="395"/>
      <c r="VRL102" s="395"/>
      <c r="VRM102" s="395"/>
      <c r="VRN102" s="395"/>
      <c r="VRO102" s="395"/>
      <c r="VRP102" s="395"/>
      <c r="VRQ102" s="395"/>
      <c r="VRR102" s="395"/>
      <c r="VRS102" s="395"/>
      <c r="VRT102" s="395"/>
      <c r="VRU102" s="395"/>
      <c r="VRV102" s="395"/>
      <c r="VRW102" s="396"/>
      <c r="VRX102" s="394"/>
      <c r="VRY102" s="395"/>
      <c r="VRZ102" s="395"/>
      <c r="VSA102" s="395"/>
      <c r="VSB102" s="395"/>
      <c r="VSC102" s="395"/>
      <c r="VSD102" s="395"/>
      <c r="VSE102" s="395"/>
      <c r="VSF102" s="395"/>
      <c r="VSG102" s="395"/>
      <c r="VSH102" s="395"/>
      <c r="VSI102" s="395"/>
      <c r="VSJ102" s="395"/>
      <c r="VSK102" s="395"/>
      <c r="VSL102" s="395"/>
      <c r="VSM102" s="395"/>
      <c r="VSN102" s="395"/>
      <c r="VSO102" s="395"/>
      <c r="VSP102" s="395"/>
      <c r="VSQ102" s="395"/>
      <c r="VSR102" s="395"/>
      <c r="VSS102" s="395"/>
      <c r="VST102" s="395"/>
      <c r="VSU102" s="395"/>
      <c r="VSV102" s="395"/>
      <c r="VSW102" s="395"/>
      <c r="VSX102" s="396"/>
      <c r="VSY102" s="394"/>
      <c r="VSZ102" s="395"/>
      <c r="VTA102" s="395"/>
      <c r="VTB102" s="395"/>
      <c r="VTC102" s="395"/>
      <c r="VTD102" s="395"/>
      <c r="VTE102" s="395"/>
      <c r="VTF102" s="395"/>
      <c r="VTG102" s="395"/>
      <c r="VTH102" s="395"/>
      <c r="VTI102" s="395"/>
      <c r="VTJ102" s="395"/>
      <c r="VTK102" s="395"/>
      <c r="VTL102" s="395"/>
      <c r="VTM102" s="395"/>
      <c r="VTN102" s="395"/>
      <c r="VTO102" s="395"/>
      <c r="VTP102" s="395"/>
      <c r="VTQ102" s="395"/>
      <c r="VTR102" s="395"/>
      <c r="VTS102" s="395"/>
      <c r="VTT102" s="395"/>
      <c r="VTU102" s="395"/>
      <c r="VTV102" s="395"/>
      <c r="VTW102" s="395"/>
      <c r="VTX102" s="395"/>
      <c r="VTY102" s="396"/>
      <c r="VTZ102" s="394"/>
      <c r="VUA102" s="395"/>
      <c r="VUB102" s="395"/>
      <c r="VUC102" s="395"/>
      <c r="VUD102" s="395"/>
      <c r="VUE102" s="395"/>
      <c r="VUF102" s="395"/>
      <c r="VUG102" s="395"/>
      <c r="VUH102" s="395"/>
      <c r="VUI102" s="395"/>
      <c r="VUJ102" s="395"/>
      <c r="VUK102" s="395"/>
      <c r="VUL102" s="395"/>
      <c r="VUM102" s="395"/>
      <c r="VUN102" s="395"/>
      <c r="VUO102" s="395"/>
      <c r="VUP102" s="395"/>
      <c r="VUQ102" s="395"/>
      <c r="VUR102" s="395"/>
      <c r="VUS102" s="395"/>
      <c r="VUT102" s="395"/>
      <c r="VUU102" s="395"/>
      <c r="VUV102" s="395"/>
      <c r="VUW102" s="395"/>
      <c r="VUX102" s="395"/>
      <c r="VUY102" s="395"/>
      <c r="VUZ102" s="396"/>
      <c r="VVA102" s="394"/>
      <c r="VVB102" s="395"/>
      <c r="VVC102" s="395"/>
      <c r="VVD102" s="395"/>
      <c r="VVE102" s="395"/>
      <c r="VVF102" s="395"/>
      <c r="VVG102" s="395"/>
      <c r="VVH102" s="395"/>
      <c r="VVI102" s="395"/>
      <c r="VVJ102" s="395"/>
      <c r="VVK102" s="395"/>
      <c r="VVL102" s="395"/>
      <c r="VVM102" s="395"/>
      <c r="VVN102" s="395"/>
      <c r="VVO102" s="395"/>
      <c r="VVP102" s="395"/>
      <c r="VVQ102" s="395"/>
      <c r="VVR102" s="395"/>
      <c r="VVS102" s="395"/>
      <c r="VVT102" s="395"/>
      <c r="VVU102" s="395"/>
      <c r="VVV102" s="395"/>
      <c r="VVW102" s="395"/>
      <c r="VVX102" s="395"/>
      <c r="VVY102" s="395"/>
      <c r="VVZ102" s="395"/>
      <c r="VWA102" s="396"/>
      <c r="VWB102" s="394"/>
      <c r="VWC102" s="395"/>
      <c r="VWD102" s="395"/>
      <c r="VWE102" s="395"/>
      <c r="VWF102" s="395"/>
      <c r="VWG102" s="395"/>
      <c r="VWH102" s="395"/>
      <c r="VWI102" s="395"/>
      <c r="VWJ102" s="395"/>
      <c r="VWK102" s="395"/>
      <c r="VWL102" s="395"/>
      <c r="VWM102" s="395"/>
      <c r="VWN102" s="395"/>
      <c r="VWO102" s="395"/>
      <c r="VWP102" s="395"/>
      <c r="VWQ102" s="395"/>
      <c r="VWR102" s="395"/>
      <c r="VWS102" s="395"/>
      <c r="VWT102" s="395"/>
      <c r="VWU102" s="395"/>
      <c r="VWV102" s="395"/>
      <c r="VWW102" s="395"/>
      <c r="VWX102" s="395"/>
      <c r="VWY102" s="395"/>
      <c r="VWZ102" s="395"/>
      <c r="VXA102" s="395"/>
      <c r="VXB102" s="396"/>
      <c r="VXC102" s="394"/>
      <c r="VXD102" s="395"/>
      <c r="VXE102" s="395"/>
      <c r="VXF102" s="395"/>
      <c r="VXG102" s="395"/>
      <c r="VXH102" s="395"/>
      <c r="VXI102" s="395"/>
      <c r="VXJ102" s="395"/>
      <c r="VXK102" s="395"/>
      <c r="VXL102" s="395"/>
      <c r="VXM102" s="395"/>
      <c r="VXN102" s="395"/>
      <c r="VXO102" s="395"/>
      <c r="VXP102" s="395"/>
      <c r="VXQ102" s="395"/>
      <c r="VXR102" s="395"/>
      <c r="VXS102" s="395"/>
      <c r="VXT102" s="395"/>
      <c r="VXU102" s="395"/>
      <c r="VXV102" s="395"/>
      <c r="VXW102" s="395"/>
      <c r="VXX102" s="395"/>
      <c r="VXY102" s="395"/>
      <c r="VXZ102" s="395"/>
      <c r="VYA102" s="395"/>
      <c r="VYB102" s="395"/>
      <c r="VYC102" s="396"/>
      <c r="VYD102" s="394"/>
      <c r="VYE102" s="395"/>
      <c r="VYF102" s="395"/>
      <c r="VYG102" s="395"/>
      <c r="VYH102" s="395"/>
      <c r="VYI102" s="395"/>
      <c r="VYJ102" s="395"/>
      <c r="VYK102" s="395"/>
      <c r="VYL102" s="395"/>
      <c r="VYM102" s="395"/>
      <c r="VYN102" s="395"/>
      <c r="VYO102" s="395"/>
      <c r="VYP102" s="395"/>
      <c r="VYQ102" s="395"/>
      <c r="VYR102" s="395"/>
      <c r="VYS102" s="395"/>
      <c r="VYT102" s="395"/>
      <c r="VYU102" s="395"/>
      <c r="VYV102" s="395"/>
      <c r="VYW102" s="395"/>
      <c r="VYX102" s="395"/>
      <c r="VYY102" s="395"/>
      <c r="VYZ102" s="395"/>
      <c r="VZA102" s="395"/>
      <c r="VZB102" s="395"/>
      <c r="VZC102" s="395"/>
      <c r="VZD102" s="396"/>
      <c r="VZE102" s="394"/>
      <c r="VZF102" s="395"/>
      <c r="VZG102" s="395"/>
      <c r="VZH102" s="395"/>
      <c r="VZI102" s="395"/>
      <c r="VZJ102" s="395"/>
      <c r="VZK102" s="395"/>
      <c r="VZL102" s="395"/>
      <c r="VZM102" s="395"/>
      <c r="VZN102" s="395"/>
      <c r="VZO102" s="395"/>
      <c r="VZP102" s="395"/>
      <c r="VZQ102" s="395"/>
      <c r="VZR102" s="395"/>
      <c r="VZS102" s="395"/>
      <c r="VZT102" s="395"/>
      <c r="VZU102" s="395"/>
      <c r="VZV102" s="395"/>
      <c r="VZW102" s="395"/>
      <c r="VZX102" s="395"/>
      <c r="VZY102" s="395"/>
      <c r="VZZ102" s="395"/>
      <c r="WAA102" s="395"/>
      <c r="WAB102" s="395"/>
      <c r="WAC102" s="395"/>
      <c r="WAD102" s="395"/>
      <c r="WAE102" s="396"/>
      <c r="WAF102" s="394"/>
      <c r="WAG102" s="395"/>
      <c r="WAH102" s="395"/>
      <c r="WAI102" s="395"/>
      <c r="WAJ102" s="395"/>
      <c r="WAK102" s="395"/>
      <c r="WAL102" s="395"/>
      <c r="WAM102" s="395"/>
      <c r="WAN102" s="395"/>
      <c r="WAO102" s="395"/>
      <c r="WAP102" s="395"/>
      <c r="WAQ102" s="395"/>
      <c r="WAR102" s="395"/>
      <c r="WAS102" s="395"/>
      <c r="WAT102" s="395"/>
      <c r="WAU102" s="395"/>
      <c r="WAV102" s="395"/>
      <c r="WAW102" s="395"/>
      <c r="WAX102" s="395"/>
      <c r="WAY102" s="395"/>
      <c r="WAZ102" s="395"/>
      <c r="WBA102" s="395"/>
      <c r="WBB102" s="395"/>
      <c r="WBC102" s="395"/>
      <c r="WBD102" s="395"/>
      <c r="WBE102" s="395"/>
      <c r="WBF102" s="396"/>
      <c r="WBG102" s="394"/>
      <c r="WBH102" s="395"/>
      <c r="WBI102" s="395"/>
      <c r="WBJ102" s="395"/>
      <c r="WBK102" s="395"/>
      <c r="WBL102" s="395"/>
      <c r="WBM102" s="395"/>
      <c r="WBN102" s="395"/>
      <c r="WBO102" s="395"/>
      <c r="WBP102" s="395"/>
      <c r="WBQ102" s="395"/>
      <c r="WBR102" s="395"/>
      <c r="WBS102" s="395"/>
      <c r="WBT102" s="395"/>
      <c r="WBU102" s="395"/>
      <c r="WBV102" s="395"/>
      <c r="WBW102" s="395"/>
      <c r="WBX102" s="395"/>
      <c r="WBY102" s="395"/>
      <c r="WBZ102" s="395"/>
      <c r="WCA102" s="395"/>
      <c r="WCB102" s="395"/>
      <c r="WCC102" s="395"/>
      <c r="WCD102" s="395"/>
      <c r="WCE102" s="395"/>
      <c r="WCF102" s="395"/>
      <c r="WCG102" s="396"/>
      <c r="WCH102" s="394"/>
      <c r="WCI102" s="395"/>
      <c r="WCJ102" s="395"/>
      <c r="WCK102" s="395"/>
      <c r="WCL102" s="395"/>
      <c r="WCM102" s="395"/>
      <c r="WCN102" s="395"/>
      <c r="WCO102" s="395"/>
      <c r="WCP102" s="395"/>
      <c r="WCQ102" s="395"/>
      <c r="WCR102" s="395"/>
      <c r="WCS102" s="395"/>
      <c r="WCT102" s="395"/>
      <c r="WCU102" s="395"/>
      <c r="WCV102" s="395"/>
      <c r="WCW102" s="395"/>
      <c r="WCX102" s="395"/>
      <c r="WCY102" s="395"/>
      <c r="WCZ102" s="395"/>
      <c r="WDA102" s="395"/>
      <c r="WDB102" s="395"/>
      <c r="WDC102" s="395"/>
      <c r="WDD102" s="395"/>
      <c r="WDE102" s="395"/>
      <c r="WDF102" s="395"/>
      <c r="WDG102" s="395"/>
      <c r="WDH102" s="396"/>
      <c r="WDI102" s="394"/>
      <c r="WDJ102" s="395"/>
      <c r="WDK102" s="395"/>
      <c r="WDL102" s="395"/>
      <c r="WDM102" s="395"/>
      <c r="WDN102" s="395"/>
      <c r="WDO102" s="395"/>
      <c r="WDP102" s="395"/>
      <c r="WDQ102" s="395"/>
      <c r="WDR102" s="395"/>
      <c r="WDS102" s="395"/>
      <c r="WDT102" s="395"/>
      <c r="WDU102" s="395"/>
      <c r="WDV102" s="395"/>
      <c r="WDW102" s="395"/>
      <c r="WDX102" s="395"/>
      <c r="WDY102" s="395"/>
      <c r="WDZ102" s="395"/>
      <c r="WEA102" s="395"/>
      <c r="WEB102" s="395"/>
      <c r="WEC102" s="395"/>
      <c r="WED102" s="395"/>
      <c r="WEE102" s="395"/>
      <c r="WEF102" s="395"/>
      <c r="WEG102" s="395"/>
      <c r="WEH102" s="395"/>
      <c r="WEI102" s="396"/>
      <c r="WEJ102" s="394"/>
      <c r="WEK102" s="395"/>
      <c r="WEL102" s="395"/>
      <c r="WEM102" s="395"/>
      <c r="WEN102" s="395"/>
      <c r="WEO102" s="395"/>
      <c r="WEP102" s="395"/>
      <c r="WEQ102" s="395"/>
      <c r="WER102" s="395"/>
      <c r="WES102" s="395"/>
      <c r="WET102" s="395"/>
      <c r="WEU102" s="395"/>
      <c r="WEV102" s="395"/>
      <c r="WEW102" s="395"/>
      <c r="WEX102" s="395"/>
      <c r="WEY102" s="395"/>
      <c r="WEZ102" s="395"/>
      <c r="WFA102" s="395"/>
      <c r="WFB102" s="395"/>
      <c r="WFC102" s="395"/>
      <c r="WFD102" s="395"/>
      <c r="WFE102" s="395"/>
      <c r="WFF102" s="395"/>
      <c r="WFG102" s="395"/>
      <c r="WFH102" s="395"/>
      <c r="WFI102" s="395"/>
      <c r="WFJ102" s="396"/>
      <c r="WFK102" s="394"/>
      <c r="WFL102" s="395"/>
      <c r="WFM102" s="395"/>
      <c r="WFN102" s="395"/>
      <c r="WFO102" s="395"/>
      <c r="WFP102" s="395"/>
      <c r="WFQ102" s="395"/>
      <c r="WFR102" s="395"/>
      <c r="WFS102" s="395"/>
      <c r="WFT102" s="395"/>
      <c r="WFU102" s="395"/>
      <c r="WFV102" s="395"/>
      <c r="WFW102" s="395"/>
      <c r="WFX102" s="395"/>
      <c r="WFY102" s="395"/>
      <c r="WFZ102" s="395"/>
      <c r="WGA102" s="395"/>
      <c r="WGB102" s="395"/>
      <c r="WGC102" s="395"/>
      <c r="WGD102" s="395"/>
      <c r="WGE102" s="395"/>
      <c r="WGF102" s="395"/>
      <c r="WGG102" s="395"/>
      <c r="WGH102" s="395"/>
      <c r="WGI102" s="395"/>
      <c r="WGJ102" s="395"/>
      <c r="WGK102" s="396"/>
      <c r="WGL102" s="394"/>
      <c r="WGM102" s="395"/>
      <c r="WGN102" s="395"/>
      <c r="WGO102" s="395"/>
      <c r="WGP102" s="395"/>
      <c r="WGQ102" s="395"/>
      <c r="WGR102" s="395"/>
      <c r="WGS102" s="395"/>
      <c r="WGT102" s="395"/>
      <c r="WGU102" s="395"/>
      <c r="WGV102" s="395"/>
      <c r="WGW102" s="395"/>
      <c r="WGX102" s="395"/>
      <c r="WGY102" s="395"/>
      <c r="WGZ102" s="395"/>
      <c r="WHA102" s="395"/>
      <c r="WHB102" s="395"/>
      <c r="WHC102" s="395"/>
      <c r="WHD102" s="395"/>
      <c r="WHE102" s="395"/>
      <c r="WHF102" s="395"/>
      <c r="WHG102" s="395"/>
      <c r="WHH102" s="395"/>
      <c r="WHI102" s="395"/>
      <c r="WHJ102" s="395"/>
      <c r="WHK102" s="395"/>
      <c r="WHL102" s="396"/>
      <c r="WHM102" s="394"/>
      <c r="WHN102" s="395"/>
      <c r="WHO102" s="395"/>
      <c r="WHP102" s="395"/>
      <c r="WHQ102" s="395"/>
      <c r="WHR102" s="395"/>
      <c r="WHS102" s="395"/>
      <c r="WHT102" s="395"/>
      <c r="WHU102" s="395"/>
      <c r="WHV102" s="395"/>
      <c r="WHW102" s="395"/>
      <c r="WHX102" s="395"/>
      <c r="WHY102" s="395"/>
      <c r="WHZ102" s="395"/>
      <c r="WIA102" s="395"/>
      <c r="WIB102" s="395"/>
      <c r="WIC102" s="395"/>
      <c r="WID102" s="395"/>
      <c r="WIE102" s="395"/>
      <c r="WIF102" s="395"/>
      <c r="WIG102" s="395"/>
      <c r="WIH102" s="395"/>
      <c r="WII102" s="395"/>
      <c r="WIJ102" s="395"/>
      <c r="WIK102" s="395"/>
      <c r="WIL102" s="395"/>
      <c r="WIM102" s="396"/>
      <c r="WIN102" s="394"/>
      <c r="WIO102" s="395"/>
      <c r="WIP102" s="395"/>
      <c r="WIQ102" s="395"/>
      <c r="WIR102" s="395"/>
      <c r="WIS102" s="395"/>
      <c r="WIT102" s="395"/>
      <c r="WIU102" s="395"/>
      <c r="WIV102" s="395"/>
      <c r="WIW102" s="395"/>
      <c r="WIX102" s="395"/>
      <c r="WIY102" s="395"/>
      <c r="WIZ102" s="395"/>
      <c r="WJA102" s="395"/>
      <c r="WJB102" s="395"/>
      <c r="WJC102" s="395"/>
      <c r="WJD102" s="395"/>
      <c r="WJE102" s="395"/>
      <c r="WJF102" s="395"/>
      <c r="WJG102" s="395"/>
      <c r="WJH102" s="395"/>
      <c r="WJI102" s="395"/>
      <c r="WJJ102" s="395"/>
      <c r="WJK102" s="395"/>
      <c r="WJL102" s="395"/>
      <c r="WJM102" s="395"/>
      <c r="WJN102" s="396"/>
      <c r="WJO102" s="394"/>
      <c r="WJP102" s="395"/>
      <c r="WJQ102" s="395"/>
      <c r="WJR102" s="395"/>
      <c r="WJS102" s="395"/>
      <c r="WJT102" s="395"/>
      <c r="WJU102" s="395"/>
      <c r="WJV102" s="395"/>
      <c r="WJW102" s="395"/>
      <c r="WJX102" s="395"/>
      <c r="WJY102" s="395"/>
      <c r="WJZ102" s="395"/>
      <c r="WKA102" s="395"/>
      <c r="WKB102" s="395"/>
      <c r="WKC102" s="395"/>
      <c r="WKD102" s="395"/>
      <c r="WKE102" s="395"/>
      <c r="WKF102" s="395"/>
      <c r="WKG102" s="395"/>
      <c r="WKH102" s="395"/>
      <c r="WKI102" s="395"/>
      <c r="WKJ102" s="395"/>
      <c r="WKK102" s="395"/>
      <c r="WKL102" s="395"/>
      <c r="WKM102" s="395"/>
      <c r="WKN102" s="395"/>
      <c r="WKO102" s="396"/>
      <c r="WKP102" s="394"/>
      <c r="WKQ102" s="395"/>
      <c r="WKR102" s="395"/>
      <c r="WKS102" s="395"/>
      <c r="WKT102" s="395"/>
      <c r="WKU102" s="395"/>
      <c r="WKV102" s="395"/>
      <c r="WKW102" s="395"/>
      <c r="WKX102" s="395"/>
      <c r="WKY102" s="395"/>
      <c r="WKZ102" s="395"/>
      <c r="WLA102" s="395"/>
      <c r="WLB102" s="395"/>
      <c r="WLC102" s="395"/>
      <c r="WLD102" s="395"/>
      <c r="WLE102" s="395"/>
      <c r="WLF102" s="395"/>
      <c r="WLG102" s="395"/>
      <c r="WLH102" s="395"/>
      <c r="WLI102" s="395"/>
      <c r="WLJ102" s="395"/>
      <c r="WLK102" s="395"/>
      <c r="WLL102" s="395"/>
      <c r="WLM102" s="395"/>
      <c r="WLN102" s="395"/>
      <c r="WLO102" s="395"/>
      <c r="WLP102" s="396"/>
      <c r="WLQ102" s="394"/>
      <c r="WLR102" s="395"/>
      <c r="WLS102" s="395"/>
      <c r="WLT102" s="395"/>
      <c r="WLU102" s="395"/>
      <c r="WLV102" s="395"/>
      <c r="WLW102" s="395"/>
      <c r="WLX102" s="395"/>
      <c r="WLY102" s="395"/>
      <c r="WLZ102" s="395"/>
      <c r="WMA102" s="395"/>
      <c r="WMB102" s="395"/>
      <c r="WMC102" s="395"/>
      <c r="WMD102" s="395"/>
      <c r="WME102" s="395"/>
      <c r="WMF102" s="395"/>
      <c r="WMG102" s="395"/>
      <c r="WMH102" s="395"/>
      <c r="WMI102" s="395"/>
      <c r="WMJ102" s="395"/>
      <c r="WMK102" s="395"/>
      <c r="WML102" s="395"/>
      <c r="WMM102" s="395"/>
      <c r="WMN102" s="395"/>
      <c r="WMO102" s="395"/>
      <c r="WMP102" s="395"/>
      <c r="WMQ102" s="396"/>
      <c r="WMR102" s="394"/>
      <c r="WMS102" s="395"/>
      <c r="WMT102" s="395"/>
      <c r="WMU102" s="395"/>
      <c r="WMV102" s="395"/>
      <c r="WMW102" s="395"/>
      <c r="WMX102" s="395"/>
      <c r="WMY102" s="395"/>
      <c r="WMZ102" s="395"/>
      <c r="WNA102" s="395"/>
      <c r="WNB102" s="395"/>
      <c r="WNC102" s="395"/>
      <c r="WND102" s="395"/>
      <c r="WNE102" s="395"/>
      <c r="WNF102" s="395"/>
      <c r="WNG102" s="395"/>
      <c r="WNH102" s="395"/>
      <c r="WNI102" s="395"/>
      <c r="WNJ102" s="395"/>
      <c r="WNK102" s="395"/>
      <c r="WNL102" s="395"/>
      <c r="WNM102" s="395"/>
      <c r="WNN102" s="395"/>
      <c r="WNO102" s="395"/>
      <c r="WNP102" s="395"/>
      <c r="WNQ102" s="395"/>
      <c r="WNR102" s="396"/>
      <c r="WNS102" s="394"/>
      <c r="WNT102" s="395"/>
      <c r="WNU102" s="395"/>
      <c r="WNV102" s="395"/>
      <c r="WNW102" s="395"/>
      <c r="WNX102" s="395"/>
      <c r="WNY102" s="395"/>
      <c r="WNZ102" s="395"/>
      <c r="WOA102" s="395"/>
      <c r="WOB102" s="395"/>
      <c r="WOC102" s="395"/>
      <c r="WOD102" s="395"/>
      <c r="WOE102" s="395"/>
      <c r="WOF102" s="395"/>
      <c r="WOG102" s="395"/>
      <c r="WOH102" s="395"/>
      <c r="WOI102" s="395"/>
      <c r="WOJ102" s="395"/>
      <c r="WOK102" s="395"/>
      <c r="WOL102" s="395"/>
      <c r="WOM102" s="395"/>
      <c r="WON102" s="395"/>
      <c r="WOO102" s="395"/>
      <c r="WOP102" s="395"/>
      <c r="WOQ102" s="395"/>
      <c r="WOR102" s="395"/>
      <c r="WOS102" s="396"/>
      <c r="WOT102" s="394"/>
      <c r="WOU102" s="395"/>
      <c r="WOV102" s="395"/>
      <c r="WOW102" s="395"/>
      <c r="WOX102" s="395"/>
      <c r="WOY102" s="395"/>
      <c r="WOZ102" s="395"/>
      <c r="WPA102" s="395"/>
      <c r="WPB102" s="395"/>
      <c r="WPC102" s="395"/>
      <c r="WPD102" s="395"/>
      <c r="WPE102" s="395"/>
      <c r="WPF102" s="395"/>
      <c r="WPG102" s="395"/>
      <c r="WPH102" s="395"/>
      <c r="WPI102" s="395"/>
      <c r="WPJ102" s="395"/>
      <c r="WPK102" s="395"/>
      <c r="WPL102" s="395"/>
      <c r="WPM102" s="395"/>
      <c r="WPN102" s="395"/>
      <c r="WPO102" s="395"/>
      <c r="WPP102" s="395"/>
      <c r="WPQ102" s="395"/>
      <c r="WPR102" s="395"/>
      <c r="WPS102" s="395"/>
      <c r="WPT102" s="396"/>
      <c r="WPU102" s="394"/>
      <c r="WPV102" s="395"/>
      <c r="WPW102" s="395"/>
      <c r="WPX102" s="395"/>
      <c r="WPY102" s="395"/>
      <c r="WPZ102" s="395"/>
      <c r="WQA102" s="395"/>
      <c r="WQB102" s="395"/>
      <c r="WQC102" s="395"/>
      <c r="WQD102" s="395"/>
      <c r="WQE102" s="395"/>
      <c r="WQF102" s="395"/>
      <c r="WQG102" s="395"/>
      <c r="WQH102" s="395"/>
      <c r="WQI102" s="395"/>
      <c r="WQJ102" s="395"/>
      <c r="WQK102" s="395"/>
      <c r="WQL102" s="395"/>
      <c r="WQM102" s="395"/>
      <c r="WQN102" s="395"/>
      <c r="WQO102" s="395"/>
      <c r="WQP102" s="395"/>
      <c r="WQQ102" s="395"/>
      <c r="WQR102" s="395"/>
      <c r="WQS102" s="395"/>
      <c r="WQT102" s="395"/>
      <c r="WQU102" s="396"/>
      <c r="WQV102" s="394"/>
      <c r="WQW102" s="395"/>
      <c r="WQX102" s="395"/>
      <c r="WQY102" s="395"/>
      <c r="WQZ102" s="395"/>
      <c r="WRA102" s="395"/>
      <c r="WRB102" s="395"/>
      <c r="WRC102" s="395"/>
      <c r="WRD102" s="395"/>
      <c r="WRE102" s="395"/>
      <c r="WRF102" s="395"/>
      <c r="WRG102" s="395"/>
      <c r="WRH102" s="395"/>
      <c r="WRI102" s="395"/>
      <c r="WRJ102" s="395"/>
      <c r="WRK102" s="395"/>
      <c r="WRL102" s="395"/>
      <c r="WRM102" s="395"/>
      <c r="WRN102" s="395"/>
      <c r="WRO102" s="395"/>
      <c r="WRP102" s="395"/>
      <c r="WRQ102" s="395"/>
      <c r="WRR102" s="395"/>
      <c r="WRS102" s="395"/>
      <c r="WRT102" s="395"/>
      <c r="WRU102" s="395"/>
      <c r="WRV102" s="396"/>
      <c r="WRW102" s="394"/>
      <c r="WRX102" s="395"/>
      <c r="WRY102" s="395"/>
      <c r="WRZ102" s="395"/>
      <c r="WSA102" s="395"/>
      <c r="WSB102" s="395"/>
      <c r="WSC102" s="395"/>
      <c r="WSD102" s="395"/>
      <c r="WSE102" s="395"/>
      <c r="WSF102" s="395"/>
      <c r="WSG102" s="395"/>
      <c r="WSH102" s="395"/>
      <c r="WSI102" s="395"/>
      <c r="WSJ102" s="395"/>
      <c r="WSK102" s="395"/>
      <c r="WSL102" s="395"/>
      <c r="WSM102" s="395"/>
      <c r="WSN102" s="395"/>
      <c r="WSO102" s="395"/>
      <c r="WSP102" s="395"/>
      <c r="WSQ102" s="395"/>
      <c r="WSR102" s="395"/>
      <c r="WSS102" s="395"/>
      <c r="WST102" s="395"/>
      <c r="WSU102" s="395"/>
      <c r="WSV102" s="395"/>
      <c r="WSW102" s="396"/>
      <c r="WSX102" s="394"/>
      <c r="WSY102" s="395"/>
      <c r="WSZ102" s="395"/>
      <c r="WTA102" s="395"/>
      <c r="WTB102" s="395"/>
      <c r="WTC102" s="395"/>
      <c r="WTD102" s="395"/>
      <c r="WTE102" s="395"/>
      <c r="WTF102" s="395"/>
      <c r="WTG102" s="395"/>
      <c r="WTH102" s="395"/>
      <c r="WTI102" s="395"/>
      <c r="WTJ102" s="395"/>
      <c r="WTK102" s="395"/>
      <c r="WTL102" s="395"/>
      <c r="WTM102" s="395"/>
      <c r="WTN102" s="395"/>
      <c r="WTO102" s="395"/>
      <c r="WTP102" s="395"/>
      <c r="WTQ102" s="395"/>
      <c r="WTR102" s="395"/>
      <c r="WTS102" s="395"/>
      <c r="WTT102" s="395"/>
      <c r="WTU102" s="395"/>
      <c r="WTV102" s="395"/>
      <c r="WTW102" s="395"/>
      <c r="WTX102" s="396"/>
      <c r="WTY102" s="394"/>
      <c r="WTZ102" s="395"/>
      <c r="WUA102" s="395"/>
      <c r="WUB102" s="395"/>
      <c r="WUC102" s="395"/>
      <c r="WUD102" s="395"/>
      <c r="WUE102" s="395"/>
      <c r="WUF102" s="395"/>
      <c r="WUG102" s="395"/>
      <c r="WUH102" s="395"/>
      <c r="WUI102" s="395"/>
      <c r="WUJ102" s="395"/>
      <c r="WUK102" s="395"/>
      <c r="WUL102" s="395"/>
      <c r="WUM102" s="395"/>
      <c r="WUN102" s="395"/>
      <c r="WUO102" s="395"/>
      <c r="WUP102" s="395"/>
      <c r="WUQ102" s="395"/>
      <c r="WUR102" s="395"/>
      <c r="WUS102" s="395"/>
      <c r="WUT102" s="395"/>
      <c r="WUU102" s="395"/>
      <c r="WUV102" s="395"/>
      <c r="WUW102" s="395"/>
      <c r="WUX102" s="395"/>
      <c r="WUY102" s="396"/>
      <c r="WUZ102" s="394"/>
      <c r="WVA102" s="395"/>
      <c r="WVB102" s="395"/>
      <c r="WVC102" s="395"/>
      <c r="WVD102" s="395"/>
      <c r="WVE102" s="395"/>
      <c r="WVF102" s="395"/>
      <c r="WVG102" s="395"/>
      <c r="WVH102" s="395"/>
      <c r="WVI102" s="395"/>
      <c r="WVJ102" s="395"/>
      <c r="WVK102" s="395"/>
      <c r="WVL102" s="395"/>
      <c r="WVM102" s="395"/>
      <c r="WVN102" s="395"/>
      <c r="WVO102" s="395"/>
      <c r="WVP102" s="395"/>
      <c r="WVQ102" s="395"/>
      <c r="WVR102" s="395"/>
      <c r="WVS102" s="395"/>
      <c r="WVT102" s="395"/>
      <c r="WVU102" s="395"/>
      <c r="WVV102" s="395"/>
      <c r="WVW102" s="395"/>
      <c r="WVX102" s="395"/>
      <c r="WVY102" s="395"/>
      <c r="WVZ102" s="396"/>
      <c r="WWA102" s="394"/>
      <c r="WWB102" s="395"/>
      <c r="WWC102" s="395"/>
      <c r="WWD102" s="395"/>
      <c r="WWE102" s="395"/>
      <c r="WWF102" s="395"/>
      <c r="WWG102" s="395"/>
      <c r="WWH102" s="395"/>
      <c r="WWI102" s="395"/>
      <c r="WWJ102" s="395"/>
      <c r="WWK102" s="395"/>
      <c r="WWL102" s="395"/>
      <c r="WWM102" s="395"/>
      <c r="WWN102" s="395"/>
      <c r="WWO102" s="395"/>
      <c r="WWP102" s="395"/>
      <c r="WWQ102" s="395"/>
      <c r="WWR102" s="395"/>
      <c r="WWS102" s="395"/>
      <c r="WWT102" s="395"/>
      <c r="WWU102" s="395"/>
      <c r="WWV102" s="395"/>
      <c r="WWW102" s="395"/>
      <c r="WWX102" s="395"/>
      <c r="WWY102" s="395"/>
      <c r="WWZ102" s="395"/>
      <c r="WXA102" s="396"/>
      <c r="WXB102" s="394"/>
      <c r="WXC102" s="395"/>
      <c r="WXD102" s="395"/>
      <c r="WXE102" s="395"/>
      <c r="WXF102" s="395"/>
      <c r="WXG102" s="395"/>
      <c r="WXH102" s="395"/>
      <c r="WXI102" s="395"/>
      <c r="WXJ102" s="395"/>
      <c r="WXK102" s="395"/>
      <c r="WXL102" s="395"/>
      <c r="WXM102" s="395"/>
      <c r="WXN102" s="395"/>
      <c r="WXO102" s="395"/>
      <c r="WXP102" s="395"/>
      <c r="WXQ102" s="395"/>
      <c r="WXR102" s="395"/>
      <c r="WXS102" s="395"/>
      <c r="WXT102" s="395"/>
      <c r="WXU102" s="395"/>
      <c r="WXV102" s="395"/>
      <c r="WXW102" s="395"/>
      <c r="WXX102" s="395"/>
      <c r="WXY102" s="395"/>
      <c r="WXZ102" s="395"/>
      <c r="WYA102" s="395"/>
      <c r="WYB102" s="396"/>
      <c r="WYC102" s="394"/>
      <c r="WYD102" s="395"/>
      <c r="WYE102" s="395"/>
      <c r="WYF102" s="395"/>
      <c r="WYG102" s="395"/>
      <c r="WYH102" s="395"/>
      <c r="WYI102" s="395"/>
      <c r="WYJ102" s="395"/>
      <c r="WYK102" s="395"/>
      <c r="WYL102" s="395"/>
      <c r="WYM102" s="395"/>
      <c r="WYN102" s="395"/>
      <c r="WYO102" s="395"/>
      <c r="WYP102" s="395"/>
      <c r="WYQ102" s="395"/>
      <c r="WYR102" s="395"/>
      <c r="WYS102" s="395"/>
      <c r="WYT102" s="395"/>
      <c r="WYU102" s="395"/>
      <c r="WYV102" s="395"/>
      <c r="WYW102" s="395"/>
      <c r="WYX102" s="395"/>
      <c r="WYY102" s="395"/>
      <c r="WYZ102" s="395"/>
      <c r="WZA102" s="395"/>
      <c r="WZB102" s="395"/>
      <c r="WZC102" s="396"/>
      <c r="WZD102" s="394"/>
      <c r="WZE102" s="395"/>
      <c r="WZF102" s="395"/>
      <c r="WZG102" s="395"/>
      <c r="WZH102" s="395"/>
      <c r="WZI102" s="395"/>
      <c r="WZJ102" s="395"/>
      <c r="WZK102" s="395"/>
      <c r="WZL102" s="395"/>
      <c r="WZM102" s="395"/>
      <c r="WZN102" s="395"/>
      <c r="WZO102" s="395"/>
      <c r="WZP102" s="395"/>
      <c r="WZQ102" s="395"/>
      <c r="WZR102" s="395"/>
      <c r="WZS102" s="395"/>
      <c r="WZT102" s="395"/>
      <c r="WZU102" s="395"/>
      <c r="WZV102" s="395"/>
      <c r="WZW102" s="395"/>
      <c r="WZX102" s="395"/>
      <c r="WZY102" s="395"/>
      <c r="WZZ102" s="395"/>
      <c r="XAA102" s="395"/>
      <c r="XAB102" s="395"/>
      <c r="XAC102" s="395"/>
      <c r="XAD102" s="396"/>
      <c r="XAE102" s="394"/>
      <c r="XAF102" s="395"/>
      <c r="XAG102" s="395"/>
      <c r="XAH102" s="395"/>
      <c r="XAI102" s="395"/>
      <c r="XAJ102" s="395"/>
      <c r="XAK102" s="395"/>
      <c r="XAL102" s="395"/>
      <c r="XAM102" s="395"/>
      <c r="XAN102" s="395"/>
      <c r="XAO102" s="395"/>
      <c r="XAP102" s="395"/>
      <c r="XAQ102" s="395"/>
      <c r="XAR102" s="395"/>
      <c r="XAS102" s="395"/>
      <c r="XAT102" s="395"/>
      <c r="XAU102" s="395"/>
      <c r="XAV102" s="395"/>
      <c r="XAW102" s="395"/>
      <c r="XAX102" s="395"/>
      <c r="XAY102" s="395"/>
      <c r="XAZ102" s="395"/>
      <c r="XBA102" s="395"/>
      <c r="XBB102" s="395"/>
      <c r="XBC102" s="395"/>
      <c r="XBD102" s="395"/>
      <c r="XBE102" s="396"/>
      <c r="XBF102" s="394"/>
      <c r="XBG102" s="395"/>
      <c r="XBH102" s="395"/>
      <c r="XBI102" s="395"/>
      <c r="XBJ102" s="395"/>
      <c r="XBK102" s="395"/>
      <c r="XBL102" s="395"/>
      <c r="XBM102" s="395"/>
      <c r="XBN102" s="395"/>
      <c r="XBO102" s="395"/>
      <c r="XBP102" s="395"/>
      <c r="XBQ102" s="395"/>
      <c r="XBR102" s="395"/>
      <c r="XBS102" s="395"/>
      <c r="XBT102" s="395"/>
      <c r="XBU102" s="395"/>
      <c r="XBV102" s="395"/>
      <c r="XBW102" s="395"/>
      <c r="XBX102" s="395"/>
      <c r="XBY102" s="395"/>
      <c r="XBZ102" s="395"/>
      <c r="XCA102" s="395"/>
      <c r="XCB102" s="395"/>
      <c r="XCC102" s="395"/>
      <c r="XCD102" s="395"/>
      <c r="XCE102" s="395"/>
      <c r="XCF102" s="396"/>
      <c r="XCG102" s="394"/>
      <c r="XCH102" s="395"/>
      <c r="XCI102" s="395"/>
      <c r="XCJ102" s="395"/>
      <c r="XCK102" s="395"/>
      <c r="XCL102" s="395"/>
      <c r="XCM102" s="395"/>
      <c r="XCN102" s="395"/>
      <c r="XCO102" s="395"/>
      <c r="XCP102" s="395"/>
      <c r="XCQ102" s="395"/>
      <c r="XCR102" s="395"/>
      <c r="XCS102" s="395"/>
      <c r="XCT102" s="395"/>
      <c r="XCU102" s="395"/>
      <c r="XCV102" s="395"/>
      <c r="XCW102" s="395"/>
      <c r="XCX102" s="395"/>
      <c r="XCY102" s="395"/>
      <c r="XCZ102" s="395"/>
      <c r="XDA102" s="395"/>
      <c r="XDB102" s="395"/>
      <c r="XDC102" s="395"/>
      <c r="XDD102" s="395"/>
      <c r="XDE102" s="395"/>
      <c r="XDF102" s="395"/>
      <c r="XDG102" s="396"/>
      <c r="XDH102" s="394"/>
      <c r="XDI102" s="395"/>
      <c r="XDJ102" s="395"/>
      <c r="XDK102" s="395"/>
      <c r="XDL102" s="395"/>
      <c r="XDM102" s="395"/>
      <c r="XDN102" s="395"/>
      <c r="XDO102" s="395"/>
      <c r="XDP102" s="395"/>
      <c r="XDQ102" s="395"/>
      <c r="XDR102" s="395"/>
      <c r="XDS102" s="395"/>
      <c r="XDT102" s="395"/>
      <c r="XDU102" s="395"/>
      <c r="XDV102" s="395"/>
      <c r="XDW102" s="395"/>
      <c r="XDX102" s="395"/>
      <c r="XDY102" s="395"/>
      <c r="XDZ102" s="395"/>
      <c r="XEA102" s="395"/>
      <c r="XEB102" s="395"/>
      <c r="XEC102" s="395"/>
      <c r="XED102" s="395"/>
      <c r="XEE102" s="395"/>
      <c r="XEF102" s="395"/>
      <c r="XEG102" s="395"/>
      <c r="XEH102" s="396"/>
      <c r="XEI102" s="394"/>
      <c r="XEJ102" s="394"/>
      <c r="XEK102" s="394"/>
      <c r="XEL102" s="394"/>
      <c r="XEM102" s="394"/>
      <c r="XEN102" s="394"/>
      <c r="XEO102" s="394"/>
      <c r="XEP102" s="394"/>
      <c r="XEQ102" s="394"/>
      <c r="XER102" s="394"/>
      <c r="XES102" s="394"/>
      <c r="XET102" s="394"/>
      <c r="XEU102" s="394"/>
      <c r="XEV102" s="394"/>
      <c r="XEW102" s="394"/>
      <c r="XEX102" s="394"/>
      <c r="XEY102" s="394"/>
      <c r="XEZ102" s="394"/>
      <c r="XFA102" s="394"/>
      <c r="XFB102" s="394"/>
      <c r="XFC102" s="394"/>
      <c r="XFD102" s="394"/>
    </row>
    <row r="103" spans="1:16384">
      <c r="A103" s="302" t="s">
        <v>361</v>
      </c>
      <c r="B103" s="303"/>
      <c r="C103" s="303"/>
      <c r="D103" s="304"/>
      <c r="E103" s="307" t="s">
        <v>362</v>
      </c>
      <c r="F103" s="308"/>
      <c r="G103" s="302" t="s">
        <v>363</v>
      </c>
      <c r="H103" s="303"/>
      <c r="I103" s="303"/>
      <c r="J103" s="303"/>
      <c r="K103" s="304"/>
      <c r="L103" s="112">
        <v>30</v>
      </c>
      <c r="M103" s="112">
        <v>45</v>
      </c>
      <c r="N103" s="112">
        <v>20</v>
      </c>
      <c r="O103" s="112">
        <v>60</v>
      </c>
      <c r="P103" s="307">
        <f t="shared" si="2"/>
        <v>40</v>
      </c>
      <c r="Q103" s="308"/>
      <c r="R103" s="270">
        <v>6.5000000000000002E-2</v>
      </c>
      <c r="S103" s="271"/>
      <c r="T103" s="302" t="s">
        <v>364</v>
      </c>
      <c r="U103" s="303"/>
      <c r="V103" s="303"/>
      <c r="W103" s="303"/>
      <c r="X103" s="303"/>
      <c r="Y103" s="303"/>
      <c r="Z103" s="303"/>
      <c r="AA103" s="304"/>
    </row>
    <row r="104" spans="1:16384">
      <c r="A104" s="302" t="s">
        <v>365</v>
      </c>
      <c r="B104" s="303"/>
      <c r="C104" s="303"/>
      <c r="D104" s="304"/>
      <c r="E104" s="307" t="s">
        <v>354</v>
      </c>
      <c r="F104" s="308"/>
      <c r="G104" s="302" t="s">
        <v>366</v>
      </c>
      <c r="H104" s="303"/>
      <c r="I104" s="303"/>
      <c r="J104" s="303"/>
      <c r="K104" s="304"/>
      <c r="L104" s="112">
        <v>30</v>
      </c>
      <c r="M104" s="112">
        <v>60</v>
      </c>
      <c r="N104" s="112">
        <v>20</v>
      </c>
      <c r="O104" s="112">
        <v>75</v>
      </c>
      <c r="P104" s="307">
        <f t="shared" si="2"/>
        <v>47.5</v>
      </c>
      <c r="Q104" s="308"/>
      <c r="R104" s="270">
        <v>2.5000000000000001E-2</v>
      </c>
      <c r="S104" s="271"/>
      <c r="T104" s="302" t="s">
        <v>367</v>
      </c>
      <c r="U104" s="303"/>
      <c r="V104" s="303"/>
      <c r="W104" s="303"/>
      <c r="X104" s="303"/>
      <c r="Y104" s="303"/>
      <c r="Z104" s="303"/>
      <c r="AA104" s="304"/>
    </row>
    <row r="105" spans="1:16384">
      <c r="A105" s="302" t="s">
        <v>368</v>
      </c>
      <c r="B105" s="303"/>
      <c r="C105" s="303"/>
      <c r="D105" s="304"/>
      <c r="E105" s="307" t="s">
        <v>369</v>
      </c>
      <c r="F105" s="308"/>
      <c r="G105" s="302" t="s">
        <v>370</v>
      </c>
      <c r="H105" s="303"/>
      <c r="I105" s="303"/>
      <c r="J105" s="303"/>
      <c r="K105" s="304"/>
      <c r="L105" s="112">
        <v>30</v>
      </c>
      <c r="M105" s="112">
        <v>60</v>
      </c>
      <c r="N105" s="112">
        <v>20</v>
      </c>
      <c r="O105" s="112">
        <v>75</v>
      </c>
      <c r="P105" s="307">
        <f t="shared" si="2"/>
        <v>47.5</v>
      </c>
      <c r="Q105" s="308"/>
      <c r="R105" s="270">
        <v>1.4999999999999999E-2</v>
      </c>
      <c r="S105" s="271"/>
      <c r="T105" s="302" t="s">
        <v>371</v>
      </c>
      <c r="U105" s="303"/>
      <c r="V105" s="303"/>
      <c r="W105" s="303"/>
      <c r="X105" s="303"/>
      <c r="Y105" s="303"/>
      <c r="Z105" s="303"/>
      <c r="AA105" s="304"/>
    </row>
    <row r="106" spans="1:16384">
      <c r="A106" s="302" t="s">
        <v>372</v>
      </c>
      <c r="B106" s="303"/>
      <c r="C106" s="303"/>
      <c r="D106" s="304"/>
      <c r="E106" s="307" t="s">
        <v>373</v>
      </c>
      <c r="F106" s="308"/>
      <c r="G106" s="302" t="s">
        <v>374</v>
      </c>
      <c r="H106" s="303"/>
      <c r="I106" s="303"/>
      <c r="J106" s="303"/>
      <c r="K106" s="304"/>
      <c r="L106" s="112">
        <v>20</v>
      </c>
      <c r="M106" s="112">
        <v>45</v>
      </c>
      <c r="N106" s="112">
        <v>15</v>
      </c>
      <c r="O106" s="112">
        <v>60</v>
      </c>
      <c r="P106" s="307">
        <f t="shared" si="2"/>
        <v>37.5</v>
      </c>
      <c r="Q106" s="308"/>
      <c r="R106" s="270">
        <v>5.0000000000000001E-3</v>
      </c>
      <c r="S106" s="271"/>
      <c r="T106" s="302" t="s">
        <v>375</v>
      </c>
      <c r="U106" s="303"/>
      <c r="V106" s="303"/>
      <c r="W106" s="303"/>
      <c r="X106" s="303"/>
      <c r="Y106" s="303"/>
      <c r="Z106" s="303"/>
      <c r="AA106" s="304"/>
    </row>
    <row r="107" spans="1:16384">
      <c r="A107" s="397" t="s">
        <v>376</v>
      </c>
      <c r="B107" s="398"/>
      <c r="C107" s="398"/>
      <c r="D107" s="398"/>
      <c r="E107" s="398"/>
      <c r="F107" s="398"/>
      <c r="G107" s="398"/>
      <c r="H107" s="398"/>
      <c r="I107" s="398"/>
      <c r="J107" s="398"/>
      <c r="K107" s="398"/>
      <c r="L107" s="398"/>
      <c r="M107" s="398"/>
      <c r="N107" s="398"/>
      <c r="O107" s="398"/>
      <c r="P107" s="398"/>
      <c r="Q107" s="398"/>
      <c r="R107" s="398"/>
      <c r="S107" s="398"/>
      <c r="T107" s="398"/>
      <c r="U107" s="398"/>
      <c r="V107" s="398"/>
      <c r="W107" s="398"/>
      <c r="X107" s="398"/>
      <c r="Y107" s="398"/>
      <c r="Z107" s="398"/>
      <c r="AA107" s="399"/>
      <c r="AB107" s="394"/>
      <c r="AC107" s="395"/>
      <c r="AD107" s="395"/>
      <c r="AE107" s="395"/>
      <c r="AF107" s="395"/>
      <c r="AG107" s="395"/>
      <c r="AH107" s="395"/>
      <c r="AI107" s="395"/>
      <c r="AJ107" s="395"/>
      <c r="AK107" s="395"/>
      <c r="AL107" s="395"/>
      <c r="AM107" s="395"/>
      <c r="AN107" s="395"/>
      <c r="AO107" s="395"/>
      <c r="AP107" s="395"/>
      <c r="AQ107" s="395"/>
      <c r="AR107" s="395"/>
      <c r="AS107" s="395"/>
      <c r="AT107" s="395"/>
      <c r="AU107" s="395"/>
      <c r="AV107" s="395"/>
      <c r="AW107" s="395"/>
      <c r="AX107" s="395"/>
      <c r="AY107" s="395"/>
      <c r="AZ107" s="395"/>
      <c r="BA107" s="395"/>
      <c r="BB107" s="396"/>
      <c r="BC107" s="394"/>
      <c r="BD107" s="395"/>
      <c r="BE107" s="395"/>
      <c r="BF107" s="395"/>
      <c r="BG107" s="395"/>
      <c r="BH107" s="395"/>
      <c r="BI107" s="395"/>
      <c r="BJ107" s="395"/>
      <c r="BK107" s="395"/>
      <c r="BL107" s="395"/>
      <c r="BM107" s="395"/>
      <c r="BN107" s="395"/>
      <c r="BO107" s="395"/>
      <c r="BP107" s="395"/>
      <c r="BQ107" s="395"/>
      <c r="BR107" s="395"/>
      <c r="BS107" s="395"/>
      <c r="BT107" s="395"/>
      <c r="BU107" s="395"/>
      <c r="BV107" s="395"/>
      <c r="BW107" s="395"/>
      <c r="BX107" s="395"/>
      <c r="BY107" s="395"/>
      <c r="BZ107" s="395"/>
      <c r="CA107" s="395"/>
      <c r="CB107" s="395"/>
      <c r="CC107" s="396"/>
      <c r="CD107" s="394"/>
      <c r="CE107" s="395"/>
      <c r="CF107" s="395"/>
      <c r="CG107" s="395"/>
      <c r="CH107" s="395"/>
      <c r="CI107" s="395"/>
      <c r="CJ107" s="395"/>
      <c r="CK107" s="395"/>
      <c r="CL107" s="395"/>
      <c r="CM107" s="395"/>
      <c r="CN107" s="395"/>
      <c r="CO107" s="395"/>
      <c r="CP107" s="395"/>
      <c r="CQ107" s="395"/>
      <c r="CR107" s="395"/>
      <c r="CS107" s="395"/>
      <c r="CT107" s="395"/>
      <c r="CU107" s="395"/>
      <c r="CV107" s="395"/>
      <c r="CW107" s="395"/>
      <c r="CX107" s="395"/>
      <c r="CY107" s="395"/>
      <c r="CZ107" s="395"/>
      <c r="DA107" s="395"/>
      <c r="DB107" s="395"/>
      <c r="DC107" s="395"/>
      <c r="DD107" s="396"/>
      <c r="DE107" s="394"/>
      <c r="DF107" s="395"/>
      <c r="DG107" s="395"/>
      <c r="DH107" s="395"/>
      <c r="DI107" s="395"/>
      <c r="DJ107" s="395"/>
      <c r="DK107" s="395"/>
      <c r="DL107" s="395"/>
      <c r="DM107" s="395"/>
      <c r="DN107" s="395"/>
      <c r="DO107" s="395"/>
      <c r="DP107" s="395"/>
      <c r="DQ107" s="395"/>
      <c r="DR107" s="395"/>
      <c r="DS107" s="395"/>
      <c r="DT107" s="395"/>
      <c r="DU107" s="395"/>
      <c r="DV107" s="395"/>
      <c r="DW107" s="395"/>
      <c r="DX107" s="395"/>
      <c r="DY107" s="395"/>
      <c r="DZ107" s="395"/>
      <c r="EA107" s="395"/>
      <c r="EB107" s="395"/>
      <c r="EC107" s="395"/>
      <c r="ED107" s="395"/>
      <c r="EE107" s="396"/>
      <c r="EF107" s="394"/>
      <c r="EG107" s="395"/>
      <c r="EH107" s="395"/>
      <c r="EI107" s="395"/>
      <c r="EJ107" s="395"/>
      <c r="EK107" s="395"/>
      <c r="EL107" s="395"/>
      <c r="EM107" s="395"/>
      <c r="EN107" s="395"/>
      <c r="EO107" s="395"/>
      <c r="EP107" s="395"/>
      <c r="EQ107" s="395"/>
      <c r="ER107" s="395"/>
      <c r="ES107" s="395"/>
      <c r="ET107" s="395"/>
      <c r="EU107" s="395"/>
      <c r="EV107" s="395"/>
      <c r="EW107" s="395"/>
      <c r="EX107" s="395"/>
      <c r="EY107" s="395"/>
      <c r="EZ107" s="395"/>
      <c r="FA107" s="395"/>
      <c r="FB107" s="395"/>
      <c r="FC107" s="395"/>
      <c r="FD107" s="395"/>
      <c r="FE107" s="395"/>
      <c r="FF107" s="396"/>
      <c r="FG107" s="394"/>
      <c r="FH107" s="395"/>
      <c r="FI107" s="395"/>
      <c r="FJ107" s="395"/>
      <c r="FK107" s="395"/>
      <c r="FL107" s="395"/>
      <c r="FM107" s="395"/>
      <c r="FN107" s="395"/>
      <c r="FO107" s="395"/>
      <c r="FP107" s="395"/>
      <c r="FQ107" s="395"/>
      <c r="FR107" s="395"/>
      <c r="FS107" s="395"/>
      <c r="FT107" s="395"/>
      <c r="FU107" s="395"/>
      <c r="FV107" s="395"/>
      <c r="FW107" s="395"/>
      <c r="FX107" s="395"/>
      <c r="FY107" s="395"/>
      <c r="FZ107" s="395"/>
      <c r="GA107" s="395"/>
      <c r="GB107" s="395"/>
      <c r="GC107" s="395"/>
      <c r="GD107" s="395"/>
      <c r="GE107" s="395"/>
      <c r="GF107" s="395"/>
      <c r="GG107" s="396"/>
      <c r="GH107" s="394"/>
      <c r="GI107" s="395"/>
      <c r="GJ107" s="395"/>
      <c r="GK107" s="395"/>
      <c r="GL107" s="395"/>
      <c r="GM107" s="395"/>
      <c r="GN107" s="395"/>
      <c r="GO107" s="395"/>
      <c r="GP107" s="395"/>
      <c r="GQ107" s="395"/>
      <c r="GR107" s="395"/>
      <c r="GS107" s="395"/>
      <c r="GT107" s="395"/>
      <c r="GU107" s="395"/>
      <c r="GV107" s="395"/>
      <c r="GW107" s="395"/>
      <c r="GX107" s="395"/>
      <c r="GY107" s="395"/>
      <c r="GZ107" s="395"/>
      <c r="HA107" s="395"/>
      <c r="HB107" s="395"/>
      <c r="HC107" s="395"/>
      <c r="HD107" s="395"/>
      <c r="HE107" s="395"/>
      <c r="HF107" s="395"/>
      <c r="HG107" s="395"/>
      <c r="HH107" s="396"/>
      <c r="HI107" s="394"/>
      <c r="HJ107" s="395"/>
      <c r="HK107" s="395"/>
      <c r="HL107" s="395"/>
      <c r="HM107" s="395"/>
      <c r="HN107" s="395"/>
      <c r="HO107" s="395"/>
      <c r="HP107" s="395"/>
      <c r="HQ107" s="395"/>
      <c r="HR107" s="395"/>
      <c r="HS107" s="395"/>
      <c r="HT107" s="395"/>
      <c r="HU107" s="395"/>
      <c r="HV107" s="395"/>
      <c r="HW107" s="395"/>
      <c r="HX107" s="395"/>
      <c r="HY107" s="395"/>
      <c r="HZ107" s="395"/>
      <c r="IA107" s="395"/>
      <c r="IB107" s="395"/>
      <c r="IC107" s="395"/>
      <c r="ID107" s="395"/>
      <c r="IE107" s="395"/>
      <c r="IF107" s="395"/>
      <c r="IG107" s="395"/>
      <c r="IH107" s="395"/>
      <c r="II107" s="396"/>
      <c r="IJ107" s="394"/>
      <c r="IK107" s="395"/>
      <c r="IL107" s="395"/>
      <c r="IM107" s="395"/>
      <c r="IN107" s="395"/>
      <c r="IO107" s="395"/>
      <c r="IP107" s="395"/>
      <c r="IQ107" s="395"/>
      <c r="IR107" s="395"/>
      <c r="IS107" s="395"/>
      <c r="IT107" s="395"/>
      <c r="IU107" s="395"/>
      <c r="IV107" s="395"/>
      <c r="IW107" s="395"/>
      <c r="IX107" s="395"/>
      <c r="IY107" s="395"/>
      <c r="IZ107" s="395"/>
      <c r="JA107" s="395"/>
      <c r="JB107" s="395"/>
      <c r="JC107" s="395"/>
      <c r="JD107" s="395"/>
      <c r="JE107" s="395"/>
      <c r="JF107" s="395"/>
      <c r="JG107" s="395"/>
      <c r="JH107" s="395"/>
      <c r="JI107" s="395"/>
      <c r="JJ107" s="396"/>
      <c r="JK107" s="394"/>
      <c r="JL107" s="395"/>
      <c r="JM107" s="395"/>
      <c r="JN107" s="395"/>
      <c r="JO107" s="395"/>
      <c r="JP107" s="395"/>
      <c r="JQ107" s="395"/>
      <c r="JR107" s="395"/>
      <c r="JS107" s="395"/>
      <c r="JT107" s="395"/>
      <c r="JU107" s="395"/>
      <c r="JV107" s="395"/>
      <c r="JW107" s="395"/>
      <c r="JX107" s="395"/>
      <c r="JY107" s="395"/>
      <c r="JZ107" s="395"/>
      <c r="KA107" s="395"/>
      <c r="KB107" s="395"/>
      <c r="KC107" s="395"/>
      <c r="KD107" s="395"/>
      <c r="KE107" s="395"/>
      <c r="KF107" s="395"/>
      <c r="KG107" s="395"/>
      <c r="KH107" s="395"/>
      <c r="KI107" s="395"/>
      <c r="KJ107" s="395"/>
      <c r="KK107" s="396"/>
      <c r="KL107" s="394"/>
      <c r="KM107" s="395"/>
      <c r="KN107" s="395"/>
      <c r="KO107" s="395"/>
      <c r="KP107" s="395"/>
      <c r="KQ107" s="395"/>
      <c r="KR107" s="395"/>
      <c r="KS107" s="395"/>
      <c r="KT107" s="395"/>
      <c r="KU107" s="395"/>
      <c r="KV107" s="395"/>
      <c r="KW107" s="395"/>
      <c r="KX107" s="395"/>
      <c r="KY107" s="395"/>
      <c r="KZ107" s="395"/>
      <c r="LA107" s="395"/>
      <c r="LB107" s="395"/>
      <c r="LC107" s="395"/>
      <c r="LD107" s="395"/>
      <c r="LE107" s="395"/>
      <c r="LF107" s="395"/>
      <c r="LG107" s="395"/>
      <c r="LH107" s="395"/>
      <c r="LI107" s="395"/>
      <c r="LJ107" s="395"/>
      <c r="LK107" s="395"/>
      <c r="LL107" s="396"/>
      <c r="LM107" s="394"/>
      <c r="LN107" s="395"/>
      <c r="LO107" s="395"/>
      <c r="LP107" s="395"/>
      <c r="LQ107" s="395"/>
      <c r="LR107" s="395"/>
      <c r="LS107" s="395"/>
      <c r="LT107" s="395"/>
      <c r="LU107" s="395"/>
      <c r="LV107" s="395"/>
      <c r="LW107" s="395"/>
      <c r="LX107" s="395"/>
      <c r="LY107" s="395"/>
      <c r="LZ107" s="395"/>
      <c r="MA107" s="395"/>
      <c r="MB107" s="395"/>
      <c r="MC107" s="395"/>
      <c r="MD107" s="395"/>
      <c r="ME107" s="395"/>
      <c r="MF107" s="395"/>
      <c r="MG107" s="395"/>
      <c r="MH107" s="395"/>
      <c r="MI107" s="395"/>
      <c r="MJ107" s="395"/>
      <c r="MK107" s="395"/>
      <c r="ML107" s="395"/>
      <c r="MM107" s="396"/>
      <c r="MN107" s="394"/>
      <c r="MO107" s="395"/>
      <c r="MP107" s="395"/>
      <c r="MQ107" s="395"/>
      <c r="MR107" s="395"/>
      <c r="MS107" s="395"/>
      <c r="MT107" s="395"/>
      <c r="MU107" s="395"/>
      <c r="MV107" s="395"/>
      <c r="MW107" s="395"/>
      <c r="MX107" s="395"/>
      <c r="MY107" s="395"/>
      <c r="MZ107" s="395"/>
      <c r="NA107" s="395"/>
      <c r="NB107" s="395"/>
      <c r="NC107" s="395"/>
      <c r="ND107" s="395"/>
      <c r="NE107" s="395"/>
      <c r="NF107" s="395"/>
      <c r="NG107" s="395"/>
      <c r="NH107" s="395"/>
      <c r="NI107" s="395"/>
      <c r="NJ107" s="395"/>
      <c r="NK107" s="395"/>
      <c r="NL107" s="395"/>
      <c r="NM107" s="395"/>
      <c r="NN107" s="396"/>
      <c r="NO107" s="394"/>
      <c r="NP107" s="395"/>
      <c r="NQ107" s="395"/>
      <c r="NR107" s="395"/>
      <c r="NS107" s="395"/>
      <c r="NT107" s="395"/>
      <c r="NU107" s="395"/>
      <c r="NV107" s="395"/>
      <c r="NW107" s="395"/>
      <c r="NX107" s="395"/>
      <c r="NY107" s="395"/>
      <c r="NZ107" s="395"/>
      <c r="OA107" s="395"/>
      <c r="OB107" s="395"/>
      <c r="OC107" s="395"/>
      <c r="OD107" s="395"/>
      <c r="OE107" s="395"/>
      <c r="OF107" s="395"/>
      <c r="OG107" s="395"/>
      <c r="OH107" s="395"/>
      <c r="OI107" s="395"/>
      <c r="OJ107" s="395"/>
      <c r="OK107" s="395"/>
      <c r="OL107" s="395"/>
      <c r="OM107" s="395"/>
      <c r="ON107" s="395"/>
      <c r="OO107" s="396"/>
      <c r="OP107" s="394"/>
      <c r="OQ107" s="395"/>
      <c r="OR107" s="395"/>
      <c r="OS107" s="395"/>
      <c r="OT107" s="395"/>
      <c r="OU107" s="395"/>
      <c r="OV107" s="395"/>
      <c r="OW107" s="395"/>
      <c r="OX107" s="395"/>
      <c r="OY107" s="395"/>
      <c r="OZ107" s="395"/>
      <c r="PA107" s="395"/>
      <c r="PB107" s="395"/>
      <c r="PC107" s="395"/>
      <c r="PD107" s="395"/>
      <c r="PE107" s="395"/>
      <c r="PF107" s="395"/>
      <c r="PG107" s="395"/>
      <c r="PH107" s="395"/>
      <c r="PI107" s="395"/>
      <c r="PJ107" s="395"/>
      <c r="PK107" s="395"/>
      <c r="PL107" s="395"/>
      <c r="PM107" s="395"/>
      <c r="PN107" s="395"/>
      <c r="PO107" s="395"/>
      <c r="PP107" s="396"/>
      <c r="PQ107" s="394"/>
      <c r="PR107" s="395"/>
      <c r="PS107" s="395"/>
      <c r="PT107" s="395"/>
      <c r="PU107" s="395"/>
      <c r="PV107" s="395"/>
      <c r="PW107" s="395"/>
      <c r="PX107" s="395"/>
      <c r="PY107" s="395"/>
      <c r="PZ107" s="395"/>
      <c r="QA107" s="395"/>
      <c r="QB107" s="395"/>
      <c r="QC107" s="395"/>
      <c r="QD107" s="395"/>
      <c r="QE107" s="395"/>
      <c r="QF107" s="395"/>
      <c r="QG107" s="395"/>
      <c r="QH107" s="395"/>
      <c r="QI107" s="395"/>
      <c r="QJ107" s="395"/>
      <c r="QK107" s="395"/>
      <c r="QL107" s="395"/>
      <c r="QM107" s="395"/>
      <c r="QN107" s="395"/>
      <c r="QO107" s="395"/>
      <c r="QP107" s="395"/>
      <c r="QQ107" s="396"/>
      <c r="QR107" s="394"/>
      <c r="QS107" s="395"/>
      <c r="QT107" s="395"/>
      <c r="QU107" s="395"/>
      <c r="QV107" s="395"/>
      <c r="QW107" s="395"/>
      <c r="QX107" s="395"/>
      <c r="QY107" s="395"/>
      <c r="QZ107" s="395"/>
      <c r="RA107" s="395"/>
      <c r="RB107" s="395"/>
      <c r="RC107" s="395"/>
      <c r="RD107" s="395"/>
      <c r="RE107" s="395"/>
      <c r="RF107" s="395"/>
      <c r="RG107" s="395"/>
      <c r="RH107" s="395"/>
      <c r="RI107" s="395"/>
      <c r="RJ107" s="395"/>
      <c r="RK107" s="395"/>
      <c r="RL107" s="395"/>
      <c r="RM107" s="395"/>
      <c r="RN107" s="395"/>
      <c r="RO107" s="395"/>
      <c r="RP107" s="395"/>
      <c r="RQ107" s="395"/>
      <c r="RR107" s="396"/>
      <c r="RS107" s="394"/>
      <c r="RT107" s="395"/>
      <c r="RU107" s="395"/>
      <c r="RV107" s="395"/>
      <c r="RW107" s="395"/>
      <c r="RX107" s="395"/>
      <c r="RY107" s="395"/>
      <c r="RZ107" s="395"/>
      <c r="SA107" s="395"/>
      <c r="SB107" s="395"/>
      <c r="SC107" s="395"/>
      <c r="SD107" s="395"/>
      <c r="SE107" s="395"/>
      <c r="SF107" s="395"/>
      <c r="SG107" s="395"/>
      <c r="SH107" s="395"/>
      <c r="SI107" s="395"/>
      <c r="SJ107" s="395"/>
      <c r="SK107" s="395"/>
      <c r="SL107" s="395"/>
      <c r="SM107" s="395"/>
      <c r="SN107" s="395"/>
      <c r="SO107" s="395"/>
      <c r="SP107" s="395"/>
      <c r="SQ107" s="395"/>
      <c r="SR107" s="395"/>
      <c r="SS107" s="396"/>
      <c r="ST107" s="394"/>
      <c r="SU107" s="395"/>
      <c r="SV107" s="395"/>
      <c r="SW107" s="395"/>
      <c r="SX107" s="395"/>
      <c r="SY107" s="395"/>
      <c r="SZ107" s="395"/>
      <c r="TA107" s="395"/>
      <c r="TB107" s="395"/>
      <c r="TC107" s="395"/>
      <c r="TD107" s="395"/>
      <c r="TE107" s="395"/>
      <c r="TF107" s="395"/>
      <c r="TG107" s="395"/>
      <c r="TH107" s="395"/>
      <c r="TI107" s="395"/>
      <c r="TJ107" s="395"/>
      <c r="TK107" s="395"/>
      <c r="TL107" s="395"/>
      <c r="TM107" s="395"/>
      <c r="TN107" s="395"/>
      <c r="TO107" s="395"/>
      <c r="TP107" s="395"/>
      <c r="TQ107" s="395"/>
      <c r="TR107" s="395"/>
      <c r="TS107" s="395"/>
      <c r="TT107" s="396"/>
      <c r="TU107" s="394"/>
      <c r="TV107" s="395"/>
      <c r="TW107" s="395"/>
      <c r="TX107" s="395"/>
      <c r="TY107" s="395"/>
      <c r="TZ107" s="395"/>
      <c r="UA107" s="395"/>
      <c r="UB107" s="395"/>
      <c r="UC107" s="395"/>
      <c r="UD107" s="395"/>
      <c r="UE107" s="395"/>
      <c r="UF107" s="395"/>
      <c r="UG107" s="395"/>
      <c r="UH107" s="395"/>
      <c r="UI107" s="395"/>
      <c r="UJ107" s="395"/>
      <c r="UK107" s="395"/>
      <c r="UL107" s="395"/>
      <c r="UM107" s="395"/>
      <c r="UN107" s="395"/>
      <c r="UO107" s="395"/>
      <c r="UP107" s="395"/>
      <c r="UQ107" s="395"/>
      <c r="UR107" s="395"/>
      <c r="US107" s="395"/>
      <c r="UT107" s="395"/>
      <c r="UU107" s="396"/>
      <c r="UV107" s="394"/>
      <c r="UW107" s="395"/>
      <c r="UX107" s="395"/>
      <c r="UY107" s="395"/>
      <c r="UZ107" s="395"/>
      <c r="VA107" s="395"/>
      <c r="VB107" s="395"/>
      <c r="VC107" s="395"/>
      <c r="VD107" s="395"/>
      <c r="VE107" s="395"/>
      <c r="VF107" s="395"/>
      <c r="VG107" s="395"/>
      <c r="VH107" s="395"/>
      <c r="VI107" s="395"/>
      <c r="VJ107" s="395"/>
      <c r="VK107" s="395"/>
      <c r="VL107" s="395"/>
      <c r="VM107" s="395"/>
      <c r="VN107" s="395"/>
      <c r="VO107" s="395"/>
      <c r="VP107" s="395"/>
      <c r="VQ107" s="395"/>
      <c r="VR107" s="395"/>
      <c r="VS107" s="395"/>
      <c r="VT107" s="395"/>
      <c r="VU107" s="395"/>
      <c r="VV107" s="396"/>
      <c r="VW107" s="394"/>
      <c r="VX107" s="395"/>
      <c r="VY107" s="395"/>
      <c r="VZ107" s="395"/>
      <c r="WA107" s="395"/>
      <c r="WB107" s="395"/>
      <c r="WC107" s="395"/>
      <c r="WD107" s="395"/>
      <c r="WE107" s="395"/>
      <c r="WF107" s="395"/>
      <c r="WG107" s="395"/>
      <c r="WH107" s="395"/>
      <c r="WI107" s="395"/>
      <c r="WJ107" s="395"/>
      <c r="WK107" s="395"/>
      <c r="WL107" s="395"/>
      <c r="WM107" s="395"/>
      <c r="WN107" s="395"/>
      <c r="WO107" s="395"/>
      <c r="WP107" s="395"/>
      <c r="WQ107" s="395"/>
      <c r="WR107" s="395"/>
      <c r="WS107" s="395"/>
      <c r="WT107" s="395"/>
      <c r="WU107" s="395"/>
      <c r="WV107" s="395"/>
      <c r="WW107" s="396"/>
      <c r="WX107" s="394"/>
      <c r="WY107" s="395"/>
      <c r="WZ107" s="395"/>
      <c r="XA107" s="395"/>
      <c r="XB107" s="395"/>
      <c r="XC107" s="395"/>
      <c r="XD107" s="395"/>
      <c r="XE107" s="395"/>
      <c r="XF107" s="395"/>
      <c r="XG107" s="395"/>
      <c r="XH107" s="395"/>
      <c r="XI107" s="395"/>
      <c r="XJ107" s="395"/>
      <c r="XK107" s="395"/>
      <c r="XL107" s="395"/>
      <c r="XM107" s="395"/>
      <c r="XN107" s="395"/>
      <c r="XO107" s="395"/>
      <c r="XP107" s="395"/>
      <c r="XQ107" s="395"/>
      <c r="XR107" s="395"/>
      <c r="XS107" s="395"/>
      <c r="XT107" s="395"/>
      <c r="XU107" s="395"/>
      <c r="XV107" s="395"/>
      <c r="XW107" s="395"/>
      <c r="XX107" s="396"/>
      <c r="XY107" s="394"/>
      <c r="XZ107" s="395"/>
      <c r="YA107" s="395"/>
      <c r="YB107" s="395"/>
      <c r="YC107" s="395"/>
      <c r="YD107" s="395"/>
      <c r="YE107" s="395"/>
      <c r="YF107" s="395"/>
      <c r="YG107" s="395"/>
      <c r="YH107" s="395"/>
      <c r="YI107" s="395"/>
      <c r="YJ107" s="395"/>
      <c r="YK107" s="395"/>
      <c r="YL107" s="395"/>
      <c r="YM107" s="395"/>
      <c r="YN107" s="395"/>
      <c r="YO107" s="395"/>
      <c r="YP107" s="395"/>
      <c r="YQ107" s="395"/>
      <c r="YR107" s="395"/>
      <c r="YS107" s="395"/>
      <c r="YT107" s="395"/>
      <c r="YU107" s="395"/>
      <c r="YV107" s="395"/>
      <c r="YW107" s="395"/>
      <c r="YX107" s="395"/>
      <c r="YY107" s="396"/>
      <c r="YZ107" s="394"/>
      <c r="ZA107" s="395"/>
      <c r="ZB107" s="395"/>
      <c r="ZC107" s="395"/>
      <c r="ZD107" s="395"/>
      <c r="ZE107" s="395"/>
      <c r="ZF107" s="395"/>
      <c r="ZG107" s="395"/>
      <c r="ZH107" s="395"/>
      <c r="ZI107" s="395"/>
      <c r="ZJ107" s="395"/>
      <c r="ZK107" s="395"/>
      <c r="ZL107" s="395"/>
      <c r="ZM107" s="395"/>
      <c r="ZN107" s="395"/>
      <c r="ZO107" s="395"/>
      <c r="ZP107" s="395"/>
      <c r="ZQ107" s="395"/>
      <c r="ZR107" s="395"/>
      <c r="ZS107" s="395"/>
      <c r="ZT107" s="395"/>
      <c r="ZU107" s="395"/>
      <c r="ZV107" s="395"/>
      <c r="ZW107" s="395"/>
      <c r="ZX107" s="395"/>
      <c r="ZY107" s="395"/>
      <c r="ZZ107" s="396"/>
      <c r="AAA107" s="394"/>
      <c r="AAB107" s="395"/>
      <c r="AAC107" s="395"/>
      <c r="AAD107" s="395"/>
      <c r="AAE107" s="395"/>
      <c r="AAF107" s="395"/>
      <c r="AAG107" s="395"/>
      <c r="AAH107" s="395"/>
      <c r="AAI107" s="395"/>
      <c r="AAJ107" s="395"/>
      <c r="AAK107" s="395"/>
      <c r="AAL107" s="395"/>
      <c r="AAM107" s="395"/>
      <c r="AAN107" s="395"/>
      <c r="AAO107" s="395"/>
      <c r="AAP107" s="395"/>
      <c r="AAQ107" s="395"/>
      <c r="AAR107" s="395"/>
      <c r="AAS107" s="395"/>
      <c r="AAT107" s="395"/>
      <c r="AAU107" s="395"/>
      <c r="AAV107" s="395"/>
      <c r="AAW107" s="395"/>
      <c r="AAX107" s="395"/>
      <c r="AAY107" s="395"/>
      <c r="AAZ107" s="395"/>
      <c r="ABA107" s="396"/>
      <c r="ABB107" s="394"/>
      <c r="ABC107" s="395"/>
      <c r="ABD107" s="395"/>
      <c r="ABE107" s="395"/>
      <c r="ABF107" s="395"/>
      <c r="ABG107" s="395"/>
      <c r="ABH107" s="395"/>
      <c r="ABI107" s="395"/>
      <c r="ABJ107" s="395"/>
      <c r="ABK107" s="395"/>
      <c r="ABL107" s="395"/>
      <c r="ABM107" s="395"/>
      <c r="ABN107" s="395"/>
      <c r="ABO107" s="395"/>
      <c r="ABP107" s="395"/>
      <c r="ABQ107" s="395"/>
      <c r="ABR107" s="395"/>
      <c r="ABS107" s="395"/>
      <c r="ABT107" s="395"/>
      <c r="ABU107" s="395"/>
      <c r="ABV107" s="395"/>
      <c r="ABW107" s="395"/>
      <c r="ABX107" s="395"/>
      <c r="ABY107" s="395"/>
      <c r="ABZ107" s="395"/>
      <c r="ACA107" s="395"/>
      <c r="ACB107" s="396"/>
      <c r="ACC107" s="394"/>
      <c r="ACD107" s="395"/>
      <c r="ACE107" s="395"/>
      <c r="ACF107" s="395"/>
      <c r="ACG107" s="395"/>
      <c r="ACH107" s="395"/>
      <c r="ACI107" s="395"/>
      <c r="ACJ107" s="395"/>
      <c r="ACK107" s="395"/>
      <c r="ACL107" s="395"/>
      <c r="ACM107" s="395"/>
      <c r="ACN107" s="395"/>
      <c r="ACO107" s="395"/>
      <c r="ACP107" s="395"/>
      <c r="ACQ107" s="395"/>
      <c r="ACR107" s="395"/>
      <c r="ACS107" s="395"/>
      <c r="ACT107" s="395"/>
      <c r="ACU107" s="395"/>
      <c r="ACV107" s="395"/>
      <c r="ACW107" s="395"/>
      <c r="ACX107" s="395"/>
      <c r="ACY107" s="395"/>
      <c r="ACZ107" s="395"/>
      <c r="ADA107" s="395"/>
      <c r="ADB107" s="395"/>
      <c r="ADC107" s="396"/>
      <c r="ADD107" s="394"/>
      <c r="ADE107" s="395"/>
      <c r="ADF107" s="395"/>
      <c r="ADG107" s="395"/>
      <c r="ADH107" s="395"/>
      <c r="ADI107" s="395"/>
      <c r="ADJ107" s="395"/>
      <c r="ADK107" s="395"/>
      <c r="ADL107" s="395"/>
      <c r="ADM107" s="395"/>
      <c r="ADN107" s="395"/>
      <c r="ADO107" s="395"/>
      <c r="ADP107" s="395"/>
      <c r="ADQ107" s="395"/>
      <c r="ADR107" s="395"/>
      <c r="ADS107" s="395"/>
      <c r="ADT107" s="395"/>
      <c r="ADU107" s="395"/>
      <c r="ADV107" s="395"/>
      <c r="ADW107" s="395"/>
      <c r="ADX107" s="395"/>
      <c r="ADY107" s="395"/>
      <c r="ADZ107" s="395"/>
      <c r="AEA107" s="395"/>
      <c r="AEB107" s="395"/>
      <c r="AEC107" s="395"/>
      <c r="AED107" s="396"/>
      <c r="AEE107" s="394"/>
      <c r="AEF107" s="395"/>
      <c r="AEG107" s="395"/>
      <c r="AEH107" s="395"/>
      <c r="AEI107" s="395"/>
      <c r="AEJ107" s="395"/>
      <c r="AEK107" s="395"/>
      <c r="AEL107" s="395"/>
      <c r="AEM107" s="395"/>
      <c r="AEN107" s="395"/>
      <c r="AEO107" s="395"/>
      <c r="AEP107" s="395"/>
      <c r="AEQ107" s="395"/>
      <c r="AER107" s="395"/>
      <c r="AES107" s="395"/>
      <c r="AET107" s="395"/>
      <c r="AEU107" s="395"/>
      <c r="AEV107" s="395"/>
      <c r="AEW107" s="395"/>
      <c r="AEX107" s="395"/>
      <c r="AEY107" s="395"/>
      <c r="AEZ107" s="395"/>
      <c r="AFA107" s="395"/>
      <c r="AFB107" s="395"/>
      <c r="AFC107" s="395"/>
      <c r="AFD107" s="395"/>
      <c r="AFE107" s="396"/>
      <c r="AFF107" s="394"/>
      <c r="AFG107" s="395"/>
      <c r="AFH107" s="395"/>
      <c r="AFI107" s="395"/>
      <c r="AFJ107" s="395"/>
      <c r="AFK107" s="395"/>
      <c r="AFL107" s="395"/>
      <c r="AFM107" s="395"/>
      <c r="AFN107" s="395"/>
      <c r="AFO107" s="395"/>
      <c r="AFP107" s="395"/>
      <c r="AFQ107" s="395"/>
      <c r="AFR107" s="395"/>
      <c r="AFS107" s="395"/>
      <c r="AFT107" s="395"/>
      <c r="AFU107" s="395"/>
      <c r="AFV107" s="395"/>
      <c r="AFW107" s="395"/>
      <c r="AFX107" s="395"/>
      <c r="AFY107" s="395"/>
      <c r="AFZ107" s="395"/>
      <c r="AGA107" s="395"/>
      <c r="AGB107" s="395"/>
      <c r="AGC107" s="395"/>
      <c r="AGD107" s="395"/>
      <c r="AGE107" s="395"/>
      <c r="AGF107" s="396"/>
      <c r="AGG107" s="394"/>
      <c r="AGH107" s="395"/>
      <c r="AGI107" s="395"/>
      <c r="AGJ107" s="395"/>
      <c r="AGK107" s="395"/>
      <c r="AGL107" s="395"/>
      <c r="AGM107" s="395"/>
      <c r="AGN107" s="395"/>
      <c r="AGO107" s="395"/>
      <c r="AGP107" s="395"/>
      <c r="AGQ107" s="395"/>
      <c r="AGR107" s="395"/>
      <c r="AGS107" s="395"/>
      <c r="AGT107" s="395"/>
      <c r="AGU107" s="395"/>
      <c r="AGV107" s="395"/>
      <c r="AGW107" s="395"/>
      <c r="AGX107" s="395"/>
      <c r="AGY107" s="395"/>
      <c r="AGZ107" s="395"/>
      <c r="AHA107" s="395"/>
      <c r="AHB107" s="395"/>
      <c r="AHC107" s="395"/>
      <c r="AHD107" s="395"/>
      <c r="AHE107" s="395"/>
      <c r="AHF107" s="395"/>
      <c r="AHG107" s="396"/>
      <c r="AHH107" s="394"/>
      <c r="AHI107" s="395"/>
      <c r="AHJ107" s="395"/>
      <c r="AHK107" s="395"/>
      <c r="AHL107" s="395"/>
      <c r="AHM107" s="395"/>
      <c r="AHN107" s="395"/>
      <c r="AHO107" s="395"/>
      <c r="AHP107" s="395"/>
      <c r="AHQ107" s="395"/>
      <c r="AHR107" s="395"/>
      <c r="AHS107" s="395"/>
      <c r="AHT107" s="395"/>
      <c r="AHU107" s="395"/>
      <c r="AHV107" s="395"/>
      <c r="AHW107" s="395"/>
      <c r="AHX107" s="395"/>
      <c r="AHY107" s="395"/>
      <c r="AHZ107" s="395"/>
      <c r="AIA107" s="395"/>
      <c r="AIB107" s="395"/>
      <c r="AIC107" s="395"/>
      <c r="AID107" s="395"/>
      <c r="AIE107" s="395"/>
      <c r="AIF107" s="395"/>
      <c r="AIG107" s="395"/>
      <c r="AIH107" s="396"/>
      <c r="AII107" s="394"/>
      <c r="AIJ107" s="395"/>
      <c r="AIK107" s="395"/>
      <c r="AIL107" s="395"/>
      <c r="AIM107" s="395"/>
      <c r="AIN107" s="395"/>
      <c r="AIO107" s="395"/>
      <c r="AIP107" s="395"/>
      <c r="AIQ107" s="395"/>
      <c r="AIR107" s="395"/>
      <c r="AIS107" s="395"/>
      <c r="AIT107" s="395"/>
      <c r="AIU107" s="395"/>
      <c r="AIV107" s="395"/>
      <c r="AIW107" s="395"/>
      <c r="AIX107" s="395"/>
      <c r="AIY107" s="395"/>
      <c r="AIZ107" s="395"/>
      <c r="AJA107" s="395"/>
      <c r="AJB107" s="395"/>
      <c r="AJC107" s="395"/>
      <c r="AJD107" s="395"/>
      <c r="AJE107" s="395"/>
      <c r="AJF107" s="395"/>
      <c r="AJG107" s="395"/>
      <c r="AJH107" s="395"/>
      <c r="AJI107" s="396"/>
      <c r="AJJ107" s="394"/>
      <c r="AJK107" s="395"/>
      <c r="AJL107" s="395"/>
      <c r="AJM107" s="395"/>
      <c r="AJN107" s="395"/>
      <c r="AJO107" s="395"/>
      <c r="AJP107" s="395"/>
      <c r="AJQ107" s="395"/>
      <c r="AJR107" s="395"/>
      <c r="AJS107" s="395"/>
      <c r="AJT107" s="395"/>
      <c r="AJU107" s="395"/>
      <c r="AJV107" s="395"/>
      <c r="AJW107" s="395"/>
      <c r="AJX107" s="395"/>
      <c r="AJY107" s="395"/>
      <c r="AJZ107" s="395"/>
      <c r="AKA107" s="395"/>
      <c r="AKB107" s="395"/>
      <c r="AKC107" s="395"/>
      <c r="AKD107" s="395"/>
      <c r="AKE107" s="395"/>
      <c r="AKF107" s="395"/>
      <c r="AKG107" s="395"/>
      <c r="AKH107" s="395"/>
      <c r="AKI107" s="395"/>
      <c r="AKJ107" s="396"/>
      <c r="AKK107" s="394"/>
      <c r="AKL107" s="395"/>
      <c r="AKM107" s="395"/>
      <c r="AKN107" s="395"/>
      <c r="AKO107" s="395"/>
      <c r="AKP107" s="395"/>
      <c r="AKQ107" s="395"/>
      <c r="AKR107" s="395"/>
      <c r="AKS107" s="395"/>
      <c r="AKT107" s="395"/>
      <c r="AKU107" s="395"/>
      <c r="AKV107" s="395"/>
      <c r="AKW107" s="395"/>
      <c r="AKX107" s="395"/>
      <c r="AKY107" s="395"/>
      <c r="AKZ107" s="395"/>
      <c r="ALA107" s="395"/>
      <c r="ALB107" s="395"/>
      <c r="ALC107" s="395"/>
      <c r="ALD107" s="395"/>
      <c r="ALE107" s="395"/>
      <c r="ALF107" s="395"/>
      <c r="ALG107" s="395"/>
      <c r="ALH107" s="395"/>
      <c r="ALI107" s="395"/>
      <c r="ALJ107" s="395"/>
      <c r="ALK107" s="396"/>
      <c r="ALL107" s="394"/>
      <c r="ALM107" s="395"/>
      <c r="ALN107" s="395"/>
      <c r="ALO107" s="395"/>
      <c r="ALP107" s="395"/>
      <c r="ALQ107" s="395"/>
      <c r="ALR107" s="395"/>
      <c r="ALS107" s="395"/>
      <c r="ALT107" s="395"/>
      <c r="ALU107" s="395"/>
      <c r="ALV107" s="395"/>
      <c r="ALW107" s="395"/>
      <c r="ALX107" s="395"/>
      <c r="ALY107" s="395"/>
      <c r="ALZ107" s="395"/>
      <c r="AMA107" s="395"/>
      <c r="AMB107" s="395"/>
      <c r="AMC107" s="395"/>
      <c r="AMD107" s="395"/>
      <c r="AME107" s="395"/>
      <c r="AMF107" s="395"/>
      <c r="AMG107" s="395"/>
      <c r="AMH107" s="395"/>
      <c r="AMI107" s="395"/>
      <c r="AMJ107" s="395"/>
      <c r="AMK107" s="395"/>
      <c r="AML107" s="396"/>
      <c r="AMM107" s="394"/>
      <c r="AMN107" s="395"/>
      <c r="AMO107" s="395"/>
      <c r="AMP107" s="395"/>
      <c r="AMQ107" s="395"/>
      <c r="AMR107" s="395"/>
      <c r="AMS107" s="395"/>
      <c r="AMT107" s="395"/>
      <c r="AMU107" s="395"/>
      <c r="AMV107" s="395"/>
      <c r="AMW107" s="395"/>
      <c r="AMX107" s="395"/>
      <c r="AMY107" s="395"/>
      <c r="AMZ107" s="395"/>
      <c r="ANA107" s="395"/>
      <c r="ANB107" s="395"/>
      <c r="ANC107" s="395"/>
      <c r="AND107" s="395"/>
      <c r="ANE107" s="395"/>
      <c r="ANF107" s="395"/>
      <c r="ANG107" s="395"/>
      <c r="ANH107" s="395"/>
      <c r="ANI107" s="395"/>
      <c r="ANJ107" s="395"/>
      <c r="ANK107" s="395"/>
      <c r="ANL107" s="395"/>
      <c r="ANM107" s="396"/>
      <c r="ANN107" s="394"/>
      <c r="ANO107" s="395"/>
      <c r="ANP107" s="395"/>
      <c r="ANQ107" s="395"/>
      <c r="ANR107" s="395"/>
      <c r="ANS107" s="395"/>
      <c r="ANT107" s="395"/>
      <c r="ANU107" s="395"/>
      <c r="ANV107" s="395"/>
      <c r="ANW107" s="395"/>
      <c r="ANX107" s="395"/>
      <c r="ANY107" s="395"/>
      <c r="ANZ107" s="395"/>
      <c r="AOA107" s="395"/>
      <c r="AOB107" s="395"/>
      <c r="AOC107" s="395"/>
      <c r="AOD107" s="395"/>
      <c r="AOE107" s="395"/>
      <c r="AOF107" s="395"/>
      <c r="AOG107" s="395"/>
      <c r="AOH107" s="395"/>
      <c r="AOI107" s="395"/>
      <c r="AOJ107" s="395"/>
      <c r="AOK107" s="395"/>
      <c r="AOL107" s="395"/>
      <c r="AOM107" s="395"/>
      <c r="AON107" s="396"/>
      <c r="AOO107" s="394"/>
      <c r="AOP107" s="395"/>
      <c r="AOQ107" s="395"/>
      <c r="AOR107" s="395"/>
      <c r="AOS107" s="395"/>
      <c r="AOT107" s="395"/>
      <c r="AOU107" s="395"/>
      <c r="AOV107" s="395"/>
      <c r="AOW107" s="395"/>
      <c r="AOX107" s="395"/>
      <c r="AOY107" s="395"/>
      <c r="AOZ107" s="395"/>
      <c r="APA107" s="395"/>
      <c r="APB107" s="395"/>
      <c r="APC107" s="395"/>
      <c r="APD107" s="395"/>
      <c r="APE107" s="395"/>
      <c r="APF107" s="395"/>
      <c r="APG107" s="395"/>
      <c r="APH107" s="395"/>
      <c r="API107" s="395"/>
      <c r="APJ107" s="395"/>
      <c r="APK107" s="395"/>
      <c r="APL107" s="395"/>
      <c r="APM107" s="395"/>
      <c r="APN107" s="395"/>
      <c r="APO107" s="396"/>
      <c r="APP107" s="394"/>
      <c r="APQ107" s="395"/>
      <c r="APR107" s="395"/>
      <c r="APS107" s="395"/>
      <c r="APT107" s="395"/>
      <c r="APU107" s="395"/>
      <c r="APV107" s="395"/>
      <c r="APW107" s="395"/>
      <c r="APX107" s="395"/>
      <c r="APY107" s="395"/>
      <c r="APZ107" s="395"/>
      <c r="AQA107" s="395"/>
      <c r="AQB107" s="395"/>
      <c r="AQC107" s="395"/>
      <c r="AQD107" s="395"/>
      <c r="AQE107" s="395"/>
      <c r="AQF107" s="395"/>
      <c r="AQG107" s="395"/>
      <c r="AQH107" s="395"/>
      <c r="AQI107" s="395"/>
      <c r="AQJ107" s="395"/>
      <c r="AQK107" s="395"/>
      <c r="AQL107" s="395"/>
      <c r="AQM107" s="395"/>
      <c r="AQN107" s="395"/>
      <c r="AQO107" s="395"/>
      <c r="AQP107" s="396"/>
      <c r="AQQ107" s="394"/>
      <c r="AQR107" s="395"/>
      <c r="AQS107" s="395"/>
      <c r="AQT107" s="395"/>
      <c r="AQU107" s="395"/>
      <c r="AQV107" s="395"/>
      <c r="AQW107" s="395"/>
      <c r="AQX107" s="395"/>
      <c r="AQY107" s="395"/>
      <c r="AQZ107" s="395"/>
      <c r="ARA107" s="395"/>
      <c r="ARB107" s="395"/>
      <c r="ARC107" s="395"/>
      <c r="ARD107" s="395"/>
      <c r="ARE107" s="395"/>
      <c r="ARF107" s="395"/>
      <c r="ARG107" s="395"/>
      <c r="ARH107" s="395"/>
      <c r="ARI107" s="395"/>
      <c r="ARJ107" s="395"/>
      <c r="ARK107" s="395"/>
      <c r="ARL107" s="395"/>
      <c r="ARM107" s="395"/>
      <c r="ARN107" s="395"/>
      <c r="ARO107" s="395"/>
      <c r="ARP107" s="395"/>
      <c r="ARQ107" s="396"/>
      <c r="ARR107" s="394"/>
      <c r="ARS107" s="395"/>
      <c r="ART107" s="395"/>
      <c r="ARU107" s="395"/>
      <c r="ARV107" s="395"/>
      <c r="ARW107" s="395"/>
      <c r="ARX107" s="395"/>
      <c r="ARY107" s="395"/>
      <c r="ARZ107" s="395"/>
      <c r="ASA107" s="395"/>
      <c r="ASB107" s="395"/>
      <c r="ASC107" s="395"/>
      <c r="ASD107" s="395"/>
      <c r="ASE107" s="395"/>
      <c r="ASF107" s="395"/>
      <c r="ASG107" s="395"/>
      <c r="ASH107" s="395"/>
      <c r="ASI107" s="395"/>
      <c r="ASJ107" s="395"/>
      <c r="ASK107" s="395"/>
      <c r="ASL107" s="395"/>
      <c r="ASM107" s="395"/>
      <c r="ASN107" s="395"/>
      <c r="ASO107" s="395"/>
      <c r="ASP107" s="395"/>
      <c r="ASQ107" s="395"/>
      <c r="ASR107" s="396"/>
      <c r="ASS107" s="394"/>
      <c r="AST107" s="395"/>
      <c r="ASU107" s="395"/>
      <c r="ASV107" s="395"/>
      <c r="ASW107" s="395"/>
      <c r="ASX107" s="395"/>
      <c r="ASY107" s="395"/>
      <c r="ASZ107" s="395"/>
      <c r="ATA107" s="395"/>
      <c r="ATB107" s="395"/>
      <c r="ATC107" s="395"/>
      <c r="ATD107" s="395"/>
      <c r="ATE107" s="395"/>
      <c r="ATF107" s="395"/>
      <c r="ATG107" s="395"/>
      <c r="ATH107" s="395"/>
      <c r="ATI107" s="395"/>
      <c r="ATJ107" s="395"/>
      <c r="ATK107" s="395"/>
      <c r="ATL107" s="395"/>
      <c r="ATM107" s="395"/>
      <c r="ATN107" s="395"/>
      <c r="ATO107" s="395"/>
      <c r="ATP107" s="395"/>
      <c r="ATQ107" s="395"/>
      <c r="ATR107" s="395"/>
      <c r="ATS107" s="396"/>
      <c r="ATT107" s="394"/>
      <c r="ATU107" s="395"/>
      <c r="ATV107" s="395"/>
      <c r="ATW107" s="395"/>
      <c r="ATX107" s="395"/>
      <c r="ATY107" s="395"/>
      <c r="ATZ107" s="395"/>
      <c r="AUA107" s="395"/>
      <c r="AUB107" s="395"/>
      <c r="AUC107" s="395"/>
      <c r="AUD107" s="395"/>
      <c r="AUE107" s="395"/>
      <c r="AUF107" s="395"/>
      <c r="AUG107" s="395"/>
      <c r="AUH107" s="395"/>
      <c r="AUI107" s="395"/>
      <c r="AUJ107" s="395"/>
      <c r="AUK107" s="395"/>
      <c r="AUL107" s="395"/>
      <c r="AUM107" s="395"/>
      <c r="AUN107" s="395"/>
      <c r="AUO107" s="395"/>
      <c r="AUP107" s="395"/>
      <c r="AUQ107" s="395"/>
      <c r="AUR107" s="395"/>
      <c r="AUS107" s="395"/>
      <c r="AUT107" s="396"/>
      <c r="AUU107" s="394"/>
      <c r="AUV107" s="395"/>
      <c r="AUW107" s="395"/>
      <c r="AUX107" s="395"/>
      <c r="AUY107" s="395"/>
      <c r="AUZ107" s="395"/>
      <c r="AVA107" s="395"/>
      <c r="AVB107" s="395"/>
      <c r="AVC107" s="395"/>
      <c r="AVD107" s="395"/>
      <c r="AVE107" s="395"/>
      <c r="AVF107" s="395"/>
      <c r="AVG107" s="395"/>
      <c r="AVH107" s="395"/>
      <c r="AVI107" s="395"/>
      <c r="AVJ107" s="395"/>
      <c r="AVK107" s="395"/>
      <c r="AVL107" s="395"/>
      <c r="AVM107" s="395"/>
      <c r="AVN107" s="395"/>
      <c r="AVO107" s="395"/>
      <c r="AVP107" s="395"/>
      <c r="AVQ107" s="395"/>
      <c r="AVR107" s="395"/>
      <c r="AVS107" s="395"/>
      <c r="AVT107" s="395"/>
      <c r="AVU107" s="396"/>
      <c r="AVV107" s="394"/>
      <c r="AVW107" s="395"/>
      <c r="AVX107" s="395"/>
      <c r="AVY107" s="395"/>
      <c r="AVZ107" s="395"/>
      <c r="AWA107" s="395"/>
      <c r="AWB107" s="395"/>
      <c r="AWC107" s="395"/>
      <c r="AWD107" s="395"/>
      <c r="AWE107" s="395"/>
      <c r="AWF107" s="395"/>
      <c r="AWG107" s="395"/>
      <c r="AWH107" s="395"/>
      <c r="AWI107" s="395"/>
      <c r="AWJ107" s="395"/>
      <c r="AWK107" s="395"/>
      <c r="AWL107" s="395"/>
      <c r="AWM107" s="395"/>
      <c r="AWN107" s="395"/>
      <c r="AWO107" s="395"/>
      <c r="AWP107" s="395"/>
      <c r="AWQ107" s="395"/>
      <c r="AWR107" s="395"/>
      <c r="AWS107" s="395"/>
      <c r="AWT107" s="395"/>
      <c r="AWU107" s="395"/>
      <c r="AWV107" s="396"/>
      <c r="AWW107" s="394"/>
      <c r="AWX107" s="395"/>
      <c r="AWY107" s="395"/>
      <c r="AWZ107" s="395"/>
      <c r="AXA107" s="395"/>
      <c r="AXB107" s="395"/>
      <c r="AXC107" s="395"/>
      <c r="AXD107" s="395"/>
      <c r="AXE107" s="395"/>
      <c r="AXF107" s="395"/>
      <c r="AXG107" s="395"/>
      <c r="AXH107" s="395"/>
      <c r="AXI107" s="395"/>
      <c r="AXJ107" s="395"/>
      <c r="AXK107" s="395"/>
      <c r="AXL107" s="395"/>
      <c r="AXM107" s="395"/>
      <c r="AXN107" s="395"/>
      <c r="AXO107" s="395"/>
      <c r="AXP107" s="395"/>
      <c r="AXQ107" s="395"/>
      <c r="AXR107" s="395"/>
      <c r="AXS107" s="395"/>
      <c r="AXT107" s="395"/>
      <c r="AXU107" s="395"/>
      <c r="AXV107" s="395"/>
      <c r="AXW107" s="396"/>
      <c r="AXX107" s="394"/>
      <c r="AXY107" s="395"/>
      <c r="AXZ107" s="395"/>
      <c r="AYA107" s="395"/>
      <c r="AYB107" s="395"/>
      <c r="AYC107" s="395"/>
      <c r="AYD107" s="395"/>
      <c r="AYE107" s="395"/>
      <c r="AYF107" s="395"/>
      <c r="AYG107" s="395"/>
      <c r="AYH107" s="395"/>
      <c r="AYI107" s="395"/>
      <c r="AYJ107" s="395"/>
      <c r="AYK107" s="395"/>
      <c r="AYL107" s="395"/>
      <c r="AYM107" s="395"/>
      <c r="AYN107" s="395"/>
      <c r="AYO107" s="395"/>
      <c r="AYP107" s="395"/>
      <c r="AYQ107" s="395"/>
      <c r="AYR107" s="395"/>
      <c r="AYS107" s="395"/>
      <c r="AYT107" s="395"/>
      <c r="AYU107" s="395"/>
      <c r="AYV107" s="395"/>
      <c r="AYW107" s="395"/>
      <c r="AYX107" s="396"/>
      <c r="AYY107" s="394"/>
      <c r="AYZ107" s="395"/>
      <c r="AZA107" s="395"/>
      <c r="AZB107" s="395"/>
      <c r="AZC107" s="395"/>
      <c r="AZD107" s="395"/>
      <c r="AZE107" s="395"/>
      <c r="AZF107" s="395"/>
      <c r="AZG107" s="395"/>
      <c r="AZH107" s="395"/>
      <c r="AZI107" s="395"/>
      <c r="AZJ107" s="395"/>
      <c r="AZK107" s="395"/>
      <c r="AZL107" s="395"/>
      <c r="AZM107" s="395"/>
      <c r="AZN107" s="395"/>
      <c r="AZO107" s="395"/>
      <c r="AZP107" s="395"/>
      <c r="AZQ107" s="395"/>
      <c r="AZR107" s="395"/>
      <c r="AZS107" s="395"/>
      <c r="AZT107" s="395"/>
      <c r="AZU107" s="395"/>
      <c r="AZV107" s="395"/>
      <c r="AZW107" s="395"/>
      <c r="AZX107" s="395"/>
      <c r="AZY107" s="396"/>
      <c r="AZZ107" s="394"/>
      <c r="BAA107" s="395"/>
      <c r="BAB107" s="395"/>
      <c r="BAC107" s="395"/>
      <c r="BAD107" s="395"/>
      <c r="BAE107" s="395"/>
      <c r="BAF107" s="395"/>
      <c r="BAG107" s="395"/>
      <c r="BAH107" s="395"/>
      <c r="BAI107" s="395"/>
      <c r="BAJ107" s="395"/>
      <c r="BAK107" s="395"/>
      <c r="BAL107" s="395"/>
      <c r="BAM107" s="395"/>
      <c r="BAN107" s="395"/>
      <c r="BAO107" s="395"/>
      <c r="BAP107" s="395"/>
      <c r="BAQ107" s="395"/>
      <c r="BAR107" s="395"/>
      <c r="BAS107" s="395"/>
      <c r="BAT107" s="395"/>
      <c r="BAU107" s="395"/>
      <c r="BAV107" s="395"/>
      <c r="BAW107" s="395"/>
      <c r="BAX107" s="395"/>
      <c r="BAY107" s="395"/>
      <c r="BAZ107" s="396"/>
      <c r="BBA107" s="394"/>
      <c r="BBB107" s="395"/>
      <c r="BBC107" s="395"/>
      <c r="BBD107" s="395"/>
      <c r="BBE107" s="395"/>
      <c r="BBF107" s="395"/>
      <c r="BBG107" s="395"/>
      <c r="BBH107" s="395"/>
      <c r="BBI107" s="395"/>
      <c r="BBJ107" s="395"/>
      <c r="BBK107" s="395"/>
      <c r="BBL107" s="395"/>
      <c r="BBM107" s="395"/>
      <c r="BBN107" s="395"/>
      <c r="BBO107" s="395"/>
      <c r="BBP107" s="395"/>
      <c r="BBQ107" s="395"/>
      <c r="BBR107" s="395"/>
      <c r="BBS107" s="395"/>
      <c r="BBT107" s="395"/>
      <c r="BBU107" s="395"/>
      <c r="BBV107" s="395"/>
      <c r="BBW107" s="395"/>
      <c r="BBX107" s="395"/>
      <c r="BBY107" s="395"/>
      <c r="BBZ107" s="395"/>
      <c r="BCA107" s="396"/>
      <c r="BCB107" s="394"/>
      <c r="BCC107" s="395"/>
      <c r="BCD107" s="395"/>
      <c r="BCE107" s="395"/>
      <c r="BCF107" s="395"/>
      <c r="BCG107" s="395"/>
      <c r="BCH107" s="395"/>
      <c r="BCI107" s="395"/>
      <c r="BCJ107" s="395"/>
      <c r="BCK107" s="395"/>
      <c r="BCL107" s="395"/>
      <c r="BCM107" s="395"/>
      <c r="BCN107" s="395"/>
      <c r="BCO107" s="395"/>
      <c r="BCP107" s="395"/>
      <c r="BCQ107" s="395"/>
      <c r="BCR107" s="395"/>
      <c r="BCS107" s="395"/>
      <c r="BCT107" s="395"/>
      <c r="BCU107" s="395"/>
      <c r="BCV107" s="395"/>
      <c r="BCW107" s="395"/>
      <c r="BCX107" s="395"/>
      <c r="BCY107" s="395"/>
      <c r="BCZ107" s="395"/>
      <c r="BDA107" s="395"/>
      <c r="BDB107" s="396"/>
      <c r="BDC107" s="394"/>
      <c r="BDD107" s="395"/>
      <c r="BDE107" s="395"/>
      <c r="BDF107" s="395"/>
      <c r="BDG107" s="395"/>
      <c r="BDH107" s="395"/>
      <c r="BDI107" s="395"/>
      <c r="BDJ107" s="395"/>
      <c r="BDK107" s="395"/>
      <c r="BDL107" s="395"/>
      <c r="BDM107" s="395"/>
      <c r="BDN107" s="395"/>
      <c r="BDO107" s="395"/>
      <c r="BDP107" s="395"/>
      <c r="BDQ107" s="395"/>
      <c r="BDR107" s="395"/>
      <c r="BDS107" s="395"/>
      <c r="BDT107" s="395"/>
      <c r="BDU107" s="395"/>
      <c r="BDV107" s="395"/>
      <c r="BDW107" s="395"/>
      <c r="BDX107" s="395"/>
      <c r="BDY107" s="395"/>
      <c r="BDZ107" s="395"/>
      <c r="BEA107" s="395"/>
      <c r="BEB107" s="395"/>
      <c r="BEC107" s="396"/>
      <c r="BED107" s="394"/>
      <c r="BEE107" s="395"/>
      <c r="BEF107" s="395"/>
      <c r="BEG107" s="395"/>
      <c r="BEH107" s="395"/>
      <c r="BEI107" s="395"/>
      <c r="BEJ107" s="395"/>
      <c r="BEK107" s="395"/>
      <c r="BEL107" s="395"/>
      <c r="BEM107" s="395"/>
      <c r="BEN107" s="395"/>
      <c r="BEO107" s="395"/>
      <c r="BEP107" s="395"/>
      <c r="BEQ107" s="395"/>
      <c r="BER107" s="395"/>
      <c r="BES107" s="395"/>
      <c r="BET107" s="395"/>
      <c r="BEU107" s="395"/>
      <c r="BEV107" s="395"/>
      <c r="BEW107" s="395"/>
      <c r="BEX107" s="395"/>
      <c r="BEY107" s="395"/>
      <c r="BEZ107" s="395"/>
      <c r="BFA107" s="395"/>
      <c r="BFB107" s="395"/>
      <c r="BFC107" s="395"/>
      <c r="BFD107" s="396"/>
      <c r="BFE107" s="394"/>
      <c r="BFF107" s="395"/>
      <c r="BFG107" s="395"/>
      <c r="BFH107" s="395"/>
      <c r="BFI107" s="395"/>
      <c r="BFJ107" s="395"/>
      <c r="BFK107" s="395"/>
      <c r="BFL107" s="395"/>
      <c r="BFM107" s="395"/>
      <c r="BFN107" s="395"/>
      <c r="BFO107" s="395"/>
      <c r="BFP107" s="395"/>
      <c r="BFQ107" s="395"/>
      <c r="BFR107" s="395"/>
      <c r="BFS107" s="395"/>
      <c r="BFT107" s="395"/>
      <c r="BFU107" s="395"/>
      <c r="BFV107" s="395"/>
      <c r="BFW107" s="395"/>
      <c r="BFX107" s="395"/>
      <c r="BFY107" s="395"/>
      <c r="BFZ107" s="395"/>
      <c r="BGA107" s="395"/>
      <c r="BGB107" s="395"/>
      <c r="BGC107" s="395"/>
      <c r="BGD107" s="395"/>
      <c r="BGE107" s="396"/>
      <c r="BGF107" s="394"/>
      <c r="BGG107" s="395"/>
      <c r="BGH107" s="395"/>
      <c r="BGI107" s="395"/>
      <c r="BGJ107" s="395"/>
      <c r="BGK107" s="395"/>
      <c r="BGL107" s="395"/>
      <c r="BGM107" s="395"/>
      <c r="BGN107" s="395"/>
      <c r="BGO107" s="395"/>
      <c r="BGP107" s="395"/>
      <c r="BGQ107" s="395"/>
      <c r="BGR107" s="395"/>
      <c r="BGS107" s="395"/>
      <c r="BGT107" s="395"/>
      <c r="BGU107" s="395"/>
      <c r="BGV107" s="395"/>
      <c r="BGW107" s="395"/>
      <c r="BGX107" s="395"/>
      <c r="BGY107" s="395"/>
      <c r="BGZ107" s="395"/>
      <c r="BHA107" s="395"/>
      <c r="BHB107" s="395"/>
      <c r="BHC107" s="395"/>
      <c r="BHD107" s="395"/>
      <c r="BHE107" s="395"/>
      <c r="BHF107" s="396"/>
      <c r="BHG107" s="394"/>
      <c r="BHH107" s="395"/>
      <c r="BHI107" s="395"/>
      <c r="BHJ107" s="395"/>
      <c r="BHK107" s="395"/>
      <c r="BHL107" s="395"/>
      <c r="BHM107" s="395"/>
      <c r="BHN107" s="395"/>
      <c r="BHO107" s="395"/>
      <c r="BHP107" s="395"/>
      <c r="BHQ107" s="395"/>
      <c r="BHR107" s="395"/>
      <c r="BHS107" s="395"/>
      <c r="BHT107" s="395"/>
      <c r="BHU107" s="395"/>
      <c r="BHV107" s="395"/>
      <c r="BHW107" s="395"/>
      <c r="BHX107" s="395"/>
      <c r="BHY107" s="395"/>
      <c r="BHZ107" s="395"/>
      <c r="BIA107" s="395"/>
      <c r="BIB107" s="395"/>
      <c r="BIC107" s="395"/>
      <c r="BID107" s="395"/>
      <c r="BIE107" s="395"/>
      <c r="BIF107" s="395"/>
      <c r="BIG107" s="396"/>
      <c r="BIH107" s="394"/>
      <c r="BII107" s="395"/>
      <c r="BIJ107" s="395"/>
      <c r="BIK107" s="395"/>
      <c r="BIL107" s="395"/>
      <c r="BIM107" s="395"/>
      <c r="BIN107" s="395"/>
      <c r="BIO107" s="395"/>
      <c r="BIP107" s="395"/>
      <c r="BIQ107" s="395"/>
      <c r="BIR107" s="395"/>
      <c r="BIS107" s="395"/>
      <c r="BIT107" s="395"/>
      <c r="BIU107" s="395"/>
      <c r="BIV107" s="395"/>
      <c r="BIW107" s="395"/>
      <c r="BIX107" s="395"/>
      <c r="BIY107" s="395"/>
      <c r="BIZ107" s="395"/>
      <c r="BJA107" s="395"/>
      <c r="BJB107" s="395"/>
      <c r="BJC107" s="395"/>
      <c r="BJD107" s="395"/>
      <c r="BJE107" s="395"/>
      <c r="BJF107" s="395"/>
      <c r="BJG107" s="395"/>
      <c r="BJH107" s="396"/>
      <c r="BJI107" s="394"/>
      <c r="BJJ107" s="395"/>
      <c r="BJK107" s="395"/>
      <c r="BJL107" s="395"/>
      <c r="BJM107" s="395"/>
      <c r="BJN107" s="395"/>
      <c r="BJO107" s="395"/>
      <c r="BJP107" s="395"/>
      <c r="BJQ107" s="395"/>
      <c r="BJR107" s="395"/>
      <c r="BJS107" s="395"/>
      <c r="BJT107" s="395"/>
      <c r="BJU107" s="395"/>
      <c r="BJV107" s="395"/>
      <c r="BJW107" s="395"/>
      <c r="BJX107" s="395"/>
      <c r="BJY107" s="395"/>
      <c r="BJZ107" s="395"/>
      <c r="BKA107" s="395"/>
      <c r="BKB107" s="395"/>
      <c r="BKC107" s="395"/>
      <c r="BKD107" s="395"/>
      <c r="BKE107" s="395"/>
      <c r="BKF107" s="395"/>
      <c r="BKG107" s="395"/>
      <c r="BKH107" s="395"/>
      <c r="BKI107" s="396"/>
      <c r="BKJ107" s="394"/>
      <c r="BKK107" s="395"/>
      <c r="BKL107" s="395"/>
      <c r="BKM107" s="395"/>
      <c r="BKN107" s="395"/>
      <c r="BKO107" s="395"/>
      <c r="BKP107" s="395"/>
      <c r="BKQ107" s="395"/>
      <c r="BKR107" s="395"/>
      <c r="BKS107" s="395"/>
      <c r="BKT107" s="395"/>
      <c r="BKU107" s="395"/>
      <c r="BKV107" s="395"/>
      <c r="BKW107" s="395"/>
      <c r="BKX107" s="395"/>
      <c r="BKY107" s="395"/>
      <c r="BKZ107" s="395"/>
      <c r="BLA107" s="395"/>
      <c r="BLB107" s="395"/>
      <c r="BLC107" s="395"/>
      <c r="BLD107" s="395"/>
      <c r="BLE107" s="395"/>
      <c r="BLF107" s="395"/>
      <c r="BLG107" s="395"/>
      <c r="BLH107" s="395"/>
      <c r="BLI107" s="395"/>
      <c r="BLJ107" s="396"/>
      <c r="BLK107" s="394"/>
      <c r="BLL107" s="395"/>
      <c r="BLM107" s="395"/>
      <c r="BLN107" s="395"/>
      <c r="BLO107" s="395"/>
      <c r="BLP107" s="395"/>
      <c r="BLQ107" s="395"/>
      <c r="BLR107" s="395"/>
      <c r="BLS107" s="395"/>
      <c r="BLT107" s="395"/>
      <c r="BLU107" s="395"/>
      <c r="BLV107" s="395"/>
      <c r="BLW107" s="395"/>
      <c r="BLX107" s="395"/>
      <c r="BLY107" s="395"/>
      <c r="BLZ107" s="395"/>
      <c r="BMA107" s="395"/>
      <c r="BMB107" s="395"/>
      <c r="BMC107" s="395"/>
      <c r="BMD107" s="395"/>
      <c r="BME107" s="395"/>
      <c r="BMF107" s="395"/>
      <c r="BMG107" s="395"/>
      <c r="BMH107" s="395"/>
      <c r="BMI107" s="395"/>
      <c r="BMJ107" s="395"/>
      <c r="BMK107" s="396"/>
      <c r="BML107" s="394"/>
      <c r="BMM107" s="395"/>
      <c r="BMN107" s="395"/>
      <c r="BMO107" s="395"/>
      <c r="BMP107" s="395"/>
      <c r="BMQ107" s="395"/>
      <c r="BMR107" s="395"/>
      <c r="BMS107" s="395"/>
      <c r="BMT107" s="395"/>
      <c r="BMU107" s="395"/>
      <c r="BMV107" s="395"/>
      <c r="BMW107" s="395"/>
      <c r="BMX107" s="395"/>
      <c r="BMY107" s="395"/>
      <c r="BMZ107" s="395"/>
      <c r="BNA107" s="395"/>
      <c r="BNB107" s="395"/>
      <c r="BNC107" s="395"/>
      <c r="BND107" s="395"/>
      <c r="BNE107" s="395"/>
      <c r="BNF107" s="395"/>
      <c r="BNG107" s="395"/>
      <c r="BNH107" s="395"/>
      <c r="BNI107" s="395"/>
      <c r="BNJ107" s="395"/>
      <c r="BNK107" s="395"/>
      <c r="BNL107" s="396"/>
      <c r="BNM107" s="394"/>
      <c r="BNN107" s="395"/>
      <c r="BNO107" s="395"/>
      <c r="BNP107" s="395"/>
      <c r="BNQ107" s="395"/>
      <c r="BNR107" s="395"/>
      <c r="BNS107" s="395"/>
      <c r="BNT107" s="395"/>
      <c r="BNU107" s="395"/>
      <c r="BNV107" s="395"/>
      <c r="BNW107" s="395"/>
      <c r="BNX107" s="395"/>
      <c r="BNY107" s="395"/>
      <c r="BNZ107" s="395"/>
      <c r="BOA107" s="395"/>
      <c r="BOB107" s="395"/>
      <c r="BOC107" s="395"/>
      <c r="BOD107" s="395"/>
      <c r="BOE107" s="395"/>
      <c r="BOF107" s="395"/>
      <c r="BOG107" s="395"/>
      <c r="BOH107" s="395"/>
      <c r="BOI107" s="395"/>
      <c r="BOJ107" s="395"/>
      <c r="BOK107" s="395"/>
      <c r="BOL107" s="395"/>
      <c r="BOM107" s="396"/>
      <c r="BON107" s="394"/>
      <c r="BOO107" s="395"/>
      <c r="BOP107" s="395"/>
      <c r="BOQ107" s="395"/>
      <c r="BOR107" s="395"/>
      <c r="BOS107" s="395"/>
      <c r="BOT107" s="395"/>
      <c r="BOU107" s="395"/>
      <c r="BOV107" s="395"/>
      <c r="BOW107" s="395"/>
      <c r="BOX107" s="395"/>
      <c r="BOY107" s="395"/>
      <c r="BOZ107" s="395"/>
      <c r="BPA107" s="395"/>
      <c r="BPB107" s="395"/>
      <c r="BPC107" s="395"/>
      <c r="BPD107" s="395"/>
      <c r="BPE107" s="395"/>
      <c r="BPF107" s="395"/>
      <c r="BPG107" s="395"/>
      <c r="BPH107" s="395"/>
      <c r="BPI107" s="395"/>
      <c r="BPJ107" s="395"/>
      <c r="BPK107" s="395"/>
      <c r="BPL107" s="395"/>
      <c r="BPM107" s="395"/>
      <c r="BPN107" s="396"/>
      <c r="BPO107" s="394"/>
      <c r="BPP107" s="395"/>
      <c r="BPQ107" s="395"/>
      <c r="BPR107" s="395"/>
      <c r="BPS107" s="395"/>
      <c r="BPT107" s="395"/>
      <c r="BPU107" s="395"/>
      <c r="BPV107" s="395"/>
      <c r="BPW107" s="395"/>
      <c r="BPX107" s="395"/>
      <c r="BPY107" s="395"/>
      <c r="BPZ107" s="395"/>
      <c r="BQA107" s="395"/>
      <c r="BQB107" s="395"/>
      <c r="BQC107" s="395"/>
      <c r="BQD107" s="395"/>
      <c r="BQE107" s="395"/>
      <c r="BQF107" s="395"/>
      <c r="BQG107" s="395"/>
      <c r="BQH107" s="395"/>
      <c r="BQI107" s="395"/>
      <c r="BQJ107" s="395"/>
      <c r="BQK107" s="395"/>
      <c r="BQL107" s="395"/>
      <c r="BQM107" s="395"/>
      <c r="BQN107" s="395"/>
      <c r="BQO107" s="396"/>
      <c r="BQP107" s="394"/>
      <c r="BQQ107" s="395"/>
      <c r="BQR107" s="395"/>
      <c r="BQS107" s="395"/>
      <c r="BQT107" s="395"/>
      <c r="BQU107" s="395"/>
      <c r="BQV107" s="395"/>
      <c r="BQW107" s="395"/>
      <c r="BQX107" s="395"/>
      <c r="BQY107" s="395"/>
      <c r="BQZ107" s="395"/>
      <c r="BRA107" s="395"/>
      <c r="BRB107" s="395"/>
      <c r="BRC107" s="395"/>
      <c r="BRD107" s="395"/>
      <c r="BRE107" s="395"/>
      <c r="BRF107" s="395"/>
      <c r="BRG107" s="395"/>
      <c r="BRH107" s="395"/>
      <c r="BRI107" s="395"/>
      <c r="BRJ107" s="395"/>
      <c r="BRK107" s="395"/>
      <c r="BRL107" s="395"/>
      <c r="BRM107" s="395"/>
      <c r="BRN107" s="395"/>
      <c r="BRO107" s="395"/>
      <c r="BRP107" s="396"/>
      <c r="BRQ107" s="394"/>
      <c r="BRR107" s="395"/>
      <c r="BRS107" s="395"/>
      <c r="BRT107" s="395"/>
      <c r="BRU107" s="395"/>
      <c r="BRV107" s="395"/>
      <c r="BRW107" s="395"/>
      <c r="BRX107" s="395"/>
      <c r="BRY107" s="395"/>
      <c r="BRZ107" s="395"/>
      <c r="BSA107" s="395"/>
      <c r="BSB107" s="395"/>
      <c r="BSC107" s="395"/>
      <c r="BSD107" s="395"/>
      <c r="BSE107" s="395"/>
      <c r="BSF107" s="395"/>
      <c r="BSG107" s="395"/>
      <c r="BSH107" s="395"/>
      <c r="BSI107" s="395"/>
      <c r="BSJ107" s="395"/>
      <c r="BSK107" s="395"/>
      <c r="BSL107" s="395"/>
      <c r="BSM107" s="395"/>
      <c r="BSN107" s="395"/>
      <c r="BSO107" s="395"/>
      <c r="BSP107" s="395"/>
      <c r="BSQ107" s="396"/>
      <c r="BSR107" s="394"/>
      <c r="BSS107" s="395"/>
      <c r="BST107" s="395"/>
      <c r="BSU107" s="395"/>
      <c r="BSV107" s="395"/>
      <c r="BSW107" s="395"/>
      <c r="BSX107" s="395"/>
      <c r="BSY107" s="395"/>
      <c r="BSZ107" s="395"/>
      <c r="BTA107" s="395"/>
      <c r="BTB107" s="395"/>
      <c r="BTC107" s="395"/>
      <c r="BTD107" s="395"/>
      <c r="BTE107" s="395"/>
      <c r="BTF107" s="395"/>
      <c r="BTG107" s="395"/>
      <c r="BTH107" s="395"/>
      <c r="BTI107" s="395"/>
      <c r="BTJ107" s="395"/>
      <c r="BTK107" s="395"/>
      <c r="BTL107" s="395"/>
      <c r="BTM107" s="395"/>
      <c r="BTN107" s="395"/>
      <c r="BTO107" s="395"/>
      <c r="BTP107" s="395"/>
      <c r="BTQ107" s="395"/>
      <c r="BTR107" s="396"/>
      <c r="BTS107" s="394"/>
      <c r="BTT107" s="395"/>
      <c r="BTU107" s="395"/>
      <c r="BTV107" s="395"/>
      <c r="BTW107" s="395"/>
      <c r="BTX107" s="395"/>
      <c r="BTY107" s="395"/>
      <c r="BTZ107" s="395"/>
      <c r="BUA107" s="395"/>
      <c r="BUB107" s="395"/>
      <c r="BUC107" s="395"/>
      <c r="BUD107" s="395"/>
      <c r="BUE107" s="395"/>
      <c r="BUF107" s="395"/>
      <c r="BUG107" s="395"/>
      <c r="BUH107" s="395"/>
      <c r="BUI107" s="395"/>
      <c r="BUJ107" s="395"/>
      <c r="BUK107" s="395"/>
      <c r="BUL107" s="395"/>
      <c r="BUM107" s="395"/>
      <c r="BUN107" s="395"/>
      <c r="BUO107" s="395"/>
      <c r="BUP107" s="395"/>
      <c r="BUQ107" s="395"/>
      <c r="BUR107" s="395"/>
      <c r="BUS107" s="396"/>
      <c r="BUT107" s="394"/>
      <c r="BUU107" s="395"/>
      <c r="BUV107" s="395"/>
      <c r="BUW107" s="395"/>
      <c r="BUX107" s="395"/>
      <c r="BUY107" s="395"/>
      <c r="BUZ107" s="395"/>
      <c r="BVA107" s="395"/>
      <c r="BVB107" s="395"/>
      <c r="BVC107" s="395"/>
      <c r="BVD107" s="395"/>
      <c r="BVE107" s="395"/>
      <c r="BVF107" s="395"/>
      <c r="BVG107" s="395"/>
      <c r="BVH107" s="395"/>
      <c r="BVI107" s="395"/>
      <c r="BVJ107" s="395"/>
      <c r="BVK107" s="395"/>
      <c r="BVL107" s="395"/>
      <c r="BVM107" s="395"/>
      <c r="BVN107" s="395"/>
      <c r="BVO107" s="395"/>
      <c r="BVP107" s="395"/>
      <c r="BVQ107" s="395"/>
      <c r="BVR107" s="395"/>
      <c r="BVS107" s="395"/>
      <c r="BVT107" s="396"/>
      <c r="BVU107" s="394"/>
      <c r="BVV107" s="395"/>
      <c r="BVW107" s="395"/>
      <c r="BVX107" s="395"/>
      <c r="BVY107" s="395"/>
      <c r="BVZ107" s="395"/>
      <c r="BWA107" s="395"/>
      <c r="BWB107" s="395"/>
      <c r="BWC107" s="395"/>
      <c r="BWD107" s="395"/>
      <c r="BWE107" s="395"/>
      <c r="BWF107" s="395"/>
      <c r="BWG107" s="395"/>
      <c r="BWH107" s="395"/>
      <c r="BWI107" s="395"/>
      <c r="BWJ107" s="395"/>
      <c r="BWK107" s="395"/>
      <c r="BWL107" s="395"/>
      <c r="BWM107" s="395"/>
      <c r="BWN107" s="395"/>
      <c r="BWO107" s="395"/>
      <c r="BWP107" s="395"/>
      <c r="BWQ107" s="395"/>
      <c r="BWR107" s="395"/>
      <c r="BWS107" s="395"/>
      <c r="BWT107" s="395"/>
      <c r="BWU107" s="396"/>
      <c r="BWV107" s="394"/>
      <c r="BWW107" s="395"/>
      <c r="BWX107" s="395"/>
      <c r="BWY107" s="395"/>
      <c r="BWZ107" s="395"/>
      <c r="BXA107" s="395"/>
      <c r="BXB107" s="395"/>
      <c r="BXC107" s="395"/>
      <c r="BXD107" s="395"/>
      <c r="BXE107" s="395"/>
      <c r="BXF107" s="395"/>
      <c r="BXG107" s="395"/>
      <c r="BXH107" s="395"/>
      <c r="BXI107" s="395"/>
      <c r="BXJ107" s="395"/>
      <c r="BXK107" s="395"/>
      <c r="BXL107" s="395"/>
      <c r="BXM107" s="395"/>
      <c r="BXN107" s="395"/>
      <c r="BXO107" s="395"/>
      <c r="BXP107" s="395"/>
      <c r="BXQ107" s="395"/>
      <c r="BXR107" s="395"/>
      <c r="BXS107" s="395"/>
      <c r="BXT107" s="395"/>
      <c r="BXU107" s="395"/>
      <c r="BXV107" s="396"/>
      <c r="BXW107" s="394"/>
      <c r="BXX107" s="395"/>
      <c r="BXY107" s="395"/>
      <c r="BXZ107" s="395"/>
      <c r="BYA107" s="395"/>
      <c r="BYB107" s="395"/>
      <c r="BYC107" s="395"/>
      <c r="BYD107" s="395"/>
      <c r="BYE107" s="395"/>
      <c r="BYF107" s="395"/>
      <c r="BYG107" s="395"/>
      <c r="BYH107" s="395"/>
      <c r="BYI107" s="395"/>
      <c r="BYJ107" s="395"/>
      <c r="BYK107" s="395"/>
      <c r="BYL107" s="395"/>
      <c r="BYM107" s="395"/>
      <c r="BYN107" s="395"/>
      <c r="BYO107" s="395"/>
      <c r="BYP107" s="395"/>
      <c r="BYQ107" s="395"/>
      <c r="BYR107" s="395"/>
      <c r="BYS107" s="395"/>
      <c r="BYT107" s="395"/>
      <c r="BYU107" s="395"/>
      <c r="BYV107" s="395"/>
      <c r="BYW107" s="396"/>
      <c r="BYX107" s="394"/>
      <c r="BYY107" s="395"/>
      <c r="BYZ107" s="395"/>
      <c r="BZA107" s="395"/>
      <c r="BZB107" s="395"/>
      <c r="BZC107" s="395"/>
      <c r="BZD107" s="395"/>
      <c r="BZE107" s="395"/>
      <c r="BZF107" s="395"/>
      <c r="BZG107" s="395"/>
      <c r="BZH107" s="395"/>
      <c r="BZI107" s="395"/>
      <c r="BZJ107" s="395"/>
      <c r="BZK107" s="395"/>
      <c r="BZL107" s="395"/>
      <c r="BZM107" s="395"/>
      <c r="BZN107" s="395"/>
      <c r="BZO107" s="395"/>
      <c r="BZP107" s="395"/>
      <c r="BZQ107" s="395"/>
      <c r="BZR107" s="395"/>
      <c r="BZS107" s="395"/>
      <c r="BZT107" s="395"/>
      <c r="BZU107" s="395"/>
      <c r="BZV107" s="395"/>
      <c r="BZW107" s="395"/>
      <c r="BZX107" s="396"/>
      <c r="BZY107" s="394"/>
      <c r="BZZ107" s="395"/>
      <c r="CAA107" s="395"/>
      <c r="CAB107" s="395"/>
      <c r="CAC107" s="395"/>
      <c r="CAD107" s="395"/>
      <c r="CAE107" s="395"/>
      <c r="CAF107" s="395"/>
      <c r="CAG107" s="395"/>
      <c r="CAH107" s="395"/>
      <c r="CAI107" s="395"/>
      <c r="CAJ107" s="395"/>
      <c r="CAK107" s="395"/>
      <c r="CAL107" s="395"/>
      <c r="CAM107" s="395"/>
      <c r="CAN107" s="395"/>
      <c r="CAO107" s="395"/>
      <c r="CAP107" s="395"/>
      <c r="CAQ107" s="395"/>
      <c r="CAR107" s="395"/>
      <c r="CAS107" s="395"/>
      <c r="CAT107" s="395"/>
      <c r="CAU107" s="395"/>
      <c r="CAV107" s="395"/>
      <c r="CAW107" s="395"/>
      <c r="CAX107" s="395"/>
      <c r="CAY107" s="396"/>
      <c r="CAZ107" s="394"/>
      <c r="CBA107" s="395"/>
      <c r="CBB107" s="395"/>
      <c r="CBC107" s="395"/>
      <c r="CBD107" s="395"/>
      <c r="CBE107" s="395"/>
      <c r="CBF107" s="395"/>
      <c r="CBG107" s="395"/>
      <c r="CBH107" s="395"/>
      <c r="CBI107" s="395"/>
      <c r="CBJ107" s="395"/>
      <c r="CBK107" s="395"/>
      <c r="CBL107" s="395"/>
      <c r="CBM107" s="395"/>
      <c r="CBN107" s="395"/>
      <c r="CBO107" s="395"/>
      <c r="CBP107" s="395"/>
      <c r="CBQ107" s="395"/>
      <c r="CBR107" s="395"/>
      <c r="CBS107" s="395"/>
      <c r="CBT107" s="395"/>
      <c r="CBU107" s="395"/>
      <c r="CBV107" s="395"/>
      <c r="CBW107" s="395"/>
      <c r="CBX107" s="395"/>
      <c r="CBY107" s="395"/>
      <c r="CBZ107" s="396"/>
      <c r="CCA107" s="394"/>
      <c r="CCB107" s="395"/>
      <c r="CCC107" s="395"/>
      <c r="CCD107" s="395"/>
      <c r="CCE107" s="395"/>
      <c r="CCF107" s="395"/>
      <c r="CCG107" s="395"/>
      <c r="CCH107" s="395"/>
      <c r="CCI107" s="395"/>
      <c r="CCJ107" s="395"/>
      <c r="CCK107" s="395"/>
      <c r="CCL107" s="395"/>
      <c r="CCM107" s="395"/>
      <c r="CCN107" s="395"/>
      <c r="CCO107" s="395"/>
      <c r="CCP107" s="395"/>
      <c r="CCQ107" s="395"/>
      <c r="CCR107" s="395"/>
      <c r="CCS107" s="395"/>
      <c r="CCT107" s="395"/>
      <c r="CCU107" s="395"/>
      <c r="CCV107" s="395"/>
      <c r="CCW107" s="395"/>
      <c r="CCX107" s="395"/>
      <c r="CCY107" s="395"/>
      <c r="CCZ107" s="395"/>
      <c r="CDA107" s="396"/>
      <c r="CDB107" s="394"/>
      <c r="CDC107" s="395"/>
      <c r="CDD107" s="395"/>
      <c r="CDE107" s="395"/>
      <c r="CDF107" s="395"/>
      <c r="CDG107" s="395"/>
      <c r="CDH107" s="395"/>
      <c r="CDI107" s="395"/>
      <c r="CDJ107" s="395"/>
      <c r="CDK107" s="395"/>
      <c r="CDL107" s="395"/>
      <c r="CDM107" s="395"/>
      <c r="CDN107" s="395"/>
      <c r="CDO107" s="395"/>
      <c r="CDP107" s="395"/>
      <c r="CDQ107" s="395"/>
      <c r="CDR107" s="395"/>
      <c r="CDS107" s="395"/>
      <c r="CDT107" s="395"/>
      <c r="CDU107" s="395"/>
      <c r="CDV107" s="395"/>
      <c r="CDW107" s="395"/>
      <c r="CDX107" s="395"/>
      <c r="CDY107" s="395"/>
      <c r="CDZ107" s="395"/>
      <c r="CEA107" s="395"/>
      <c r="CEB107" s="396"/>
      <c r="CEC107" s="394"/>
      <c r="CED107" s="395"/>
      <c r="CEE107" s="395"/>
      <c r="CEF107" s="395"/>
      <c r="CEG107" s="395"/>
      <c r="CEH107" s="395"/>
      <c r="CEI107" s="395"/>
      <c r="CEJ107" s="395"/>
      <c r="CEK107" s="395"/>
      <c r="CEL107" s="395"/>
      <c r="CEM107" s="395"/>
      <c r="CEN107" s="395"/>
      <c r="CEO107" s="395"/>
      <c r="CEP107" s="395"/>
      <c r="CEQ107" s="395"/>
      <c r="CER107" s="395"/>
      <c r="CES107" s="395"/>
      <c r="CET107" s="395"/>
      <c r="CEU107" s="395"/>
      <c r="CEV107" s="395"/>
      <c r="CEW107" s="395"/>
      <c r="CEX107" s="395"/>
      <c r="CEY107" s="395"/>
      <c r="CEZ107" s="395"/>
      <c r="CFA107" s="395"/>
      <c r="CFB107" s="395"/>
      <c r="CFC107" s="396"/>
      <c r="CFD107" s="394"/>
      <c r="CFE107" s="395"/>
      <c r="CFF107" s="395"/>
      <c r="CFG107" s="395"/>
      <c r="CFH107" s="395"/>
      <c r="CFI107" s="395"/>
      <c r="CFJ107" s="395"/>
      <c r="CFK107" s="395"/>
      <c r="CFL107" s="395"/>
      <c r="CFM107" s="395"/>
      <c r="CFN107" s="395"/>
      <c r="CFO107" s="395"/>
      <c r="CFP107" s="395"/>
      <c r="CFQ107" s="395"/>
      <c r="CFR107" s="395"/>
      <c r="CFS107" s="395"/>
      <c r="CFT107" s="395"/>
      <c r="CFU107" s="395"/>
      <c r="CFV107" s="395"/>
      <c r="CFW107" s="395"/>
      <c r="CFX107" s="395"/>
      <c r="CFY107" s="395"/>
      <c r="CFZ107" s="395"/>
      <c r="CGA107" s="395"/>
      <c r="CGB107" s="395"/>
      <c r="CGC107" s="395"/>
      <c r="CGD107" s="396"/>
      <c r="CGE107" s="394"/>
      <c r="CGF107" s="395"/>
      <c r="CGG107" s="395"/>
      <c r="CGH107" s="395"/>
      <c r="CGI107" s="395"/>
      <c r="CGJ107" s="395"/>
      <c r="CGK107" s="395"/>
      <c r="CGL107" s="395"/>
      <c r="CGM107" s="395"/>
      <c r="CGN107" s="395"/>
      <c r="CGO107" s="395"/>
      <c r="CGP107" s="395"/>
      <c r="CGQ107" s="395"/>
      <c r="CGR107" s="395"/>
      <c r="CGS107" s="395"/>
      <c r="CGT107" s="395"/>
      <c r="CGU107" s="395"/>
      <c r="CGV107" s="395"/>
      <c r="CGW107" s="395"/>
      <c r="CGX107" s="395"/>
      <c r="CGY107" s="395"/>
      <c r="CGZ107" s="395"/>
      <c r="CHA107" s="395"/>
      <c r="CHB107" s="395"/>
      <c r="CHC107" s="395"/>
      <c r="CHD107" s="395"/>
      <c r="CHE107" s="396"/>
      <c r="CHF107" s="394"/>
      <c r="CHG107" s="395"/>
      <c r="CHH107" s="395"/>
      <c r="CHI107" s="395"/>
      <c r="CHJ107" s="395"/>
      <c r="CHK107" s="395"/>
      <c r="CHL107" s="395"/>
      <c r="CHM107" s="395"/>
      <c r="CHN107" s="395"/>
      <c r="CHO107" s="395"/>
      <c r="CHP107" s="395"/>
      <c r="CHQ107" s="395"/>
      <c r="CHR107" s="395"/>
      <c r="CHS107" s="395"/>
      <c r="CHT107" s="395"/>
      <c r="CHU107" s="395"/>
      <c r="CHV107" s="395"/>
      <c r="CHW107" s="395"/>
      <c r="CHX107" s="395"/>
      <c r="CHY107" s="395"/>
      <c r="CHZ107" s="395"/>
      <c r="CIA107" s="395"/>
      <c r="CIB107" s="395"/>
      <c r="CIC107" s="395"/>
      <c r="CID107" s="395"/>
      <c r="CIE107" s="395"/>
      <c r="CIF107" s="396"/>
      <c r="CIG107" s="394"/>
      <c r="CIH107" s="395"/>
      <c r="CII107" s="395"/>
      <c r="CIJ107" s="395"/>
      <c r="CIK107" s="395"/>
      <c r="CIL107" s="395"/>
      <c r="CIM107" s="395"/>
      <c r="CIN107" s="395"/>
      <c r="CIO107" s="395"/>
      <c r="CIP107" s="395"/>
      <c r="CIQ107" s="395"/>
      <c r="CIR107" s="395"/>
      <c r="CIS107" s="395"/>
      <c r="CIT107" s="395"/>
      <c r="CIU107" s="395"/>
      <c r="CIV107" s="395"/>
      <c r="CIW107" s="395"/>
      <c r="CIX107" s="395"/>
      <c r="CIY107" s="395"/>
      <c r="CIZ107" s="395"/>
      <c r="CJA107" s="395"/>
      <c r="CJB107" s="395"/>
      <c r="CJC107" s="395"/>
      <c r="CJD107" s="395"/>
      <c r="CJE107" s="395"/>
      <c r="CJF107" s="395"/>
      <c r="CJG107" s="396"/>
      <c r="CJH107" s="394"/>
      <c r="CJI107" s="395"/>
      <c r="CJJ107" s="395"/>
      <c r="CJK107" s="395"/>
      <c r="CJL107" s="395"/>
      <c r="CJM107" s="395"/>
      <c r="CJN107" s="395"/>
      <c r="CJO107" s="395"/>
      <c r="CJP107" s="395"/>
      <c r="CJQ107" s="395"/>
      <c r="CJR107" s="395"/>
      <c r="CJS107" s="395"/>
      <c r="CJT107" s="395"/>
      <c r="CJU107" s="395"/>
      <c r="CJV107" s="395"/>
      <c r="CJW107" s="395"/>
      <c r="CJX107" s="395"/>
      <c r="CJY107" s="395"/>
      <c r="CJZ107" s="395"/>
      <c r="CKA107" s="395"/>
      <c r="CKB107" s="395"/>
      <c r="CKC107" s="395"/>
      <c r="CKD107" s="395"/>
      <c r="CKE107" s="395"/>
      <c r="CKF107" s="395"/>
      <c r="CKG107" s="395"/>
      <c r="CKH107" s="396"/>
      <c r="CKI107" s="394"/>
      <c r="CKJ107" s="395"/>
      <c r="CKK107" s="395"/>
      <c r="CKL107" s="395"/>
      <c r="CKM107" s="395"/>
      <c r="CKN107" s="395"/>
      <c r="CKO107" s="395"/>
      <c r="CKP107" s="395"/>
      <c r="CKQ107" s="395"/>
      <c r="CKR107" s="395"/>
      <c r="CKS107" s="395"/>
      <c r="CKT107" s="395"/>
      <c r="CKU107" s="395"/>
      <c r="CKV107" s="395"/>
      <c r="CKW107" s="395"/>
      <c r="CKX107" s="395"/>
      <c r="CKY107" s="395"/>
      <c r="CKZ107" s="395"/>
      <c r="CLA107" s="395"/>
      <c r="CLB107" s="395"/>
      <c r="CLC107" s="395"/>
      <c r="CLD107" s="395"/>
      <c r="CLE107" s="395"/>
      <c r="CLF107" s="395"/>
      <c r="CLG107" s="395"/>
      <c r="CLH107" s="395"/>
      <c r="CLI107" s="396"/>
      <c r="CLJ107" s="394"/>
      <c r="CLK107" s="395"/>
      <c r="CLL107" s="395"/>
      <c r="CLM107" s="395"/>
      <c r="CLN107" s="395"/>
      <c r="CLO107" s="395"/>
      <c r="CLP107" s="395"/>
      <c r="CLQ107" s="395"/>
      <c r="CLR107" s="395"/>
      <c r="CLS107" s="395"/>
      <c r="CLT107" s="395"/>
      <c r="CLU107" s="395"/>
      <c r="CLV107" s="395"/>
      <c r="CLW107" s="395"/>
      <c r="CLX107" s="395"/>
      <c r="CLY107" s="395"/>
      <c r="CLZ107" s="395"/>
      <c r="CMA107" s="395"/>
      <c r="CMB107" s="395"/>
      <c r="CMC107" s="395"/>
      <c r="CMD107" s="395"/>
      <c r="CME107" s="395"/>
      <c r="CMF107" s="395"/>
      <c r="CMG107" s="395"/>
      <c r="CMH107" s="395"/>
      <c r="CMI107" s="395"/>
      <c r="CMJ107" s="396"/>
      <c r="CMK107" s="394"/>
      <c r="CML107" s="395"/>
      <c r="CMM107" s="395"/>
      <c r="CMN107" s="395"/>
      <c r="CMO107" s="395"/>
      <c r="CMP107" s="395"/>
      <c r="CMQ107" s="395"/>
      <c r="CMR107" s="395"/>
      <c r="CMS107" s="395"/>
      <c r="CMT107" s="395"/>
      <c r="CMU107" s="395"/>
      <c r="CMV107" s="395"/>
      <c r="CMW107" s="395"/>
      <c r="CMX107" s="395"/>
      <c r="CMY107" s="395"/>
      <c r="CMZ107" s="395"/>
      <c r="CNA107" s="395"/>
      <c r="CNB107" s="395"/>
      <c r="CNC107" s="395"/>
      <c r="CND107" s="395"/>
      <c r="CNE107" s="395"/>
      <c r="CNF107" s="395"/>
      <c r="CNG107" s="395"/>
      <c r="CNH107" s="395"/>
      <c r="CNI107" s="395"/>
      <c r="CNJ107" s="395"/>
      <c r="CNK107" s="396"/>
      <c r="CNL107" s="394"/>
      <c r="CNM107" s="395"/>
      <c r="CNN107" s="395"/>
      <c r="CNO107" s="395"/>
      <c r="CNP107" s="395"/>
      <c r="CNQ107" s="395"/>
      <c r="CNR107" s="395"/>
      <c r="CNS107" s="395"/>
      <c r="CNT107" s="395"/>
      <c r="CNU107" s="395"/>
      <c r="CNV107" s="395"/>
      <c r="CNW107" s="395"/>
      <c r="CNX107" s="395"/>
      <c r="CNY107" s="395"/>
      <c r="CNZ107" s="395"/>
      <c r="COA107" s="395"/>
      <c r="COB107" s="395"/>
      <c r="COC107" s="395"/>
      <c r="COD107" s="395"/>
      <c r="COE107" s="395"/>
      <c r="COF107" s="395"/>
      <c r="COG107" s="395"/>
      <c r="COH107" s="395"/>
      <c r="COI107" s="395"/>
      <c r="COJ107" s="395"/>
      <c r="COK107" s="395"/>
      <c r="COL107" s="396"/>
      <c r="COM107" s="394"/>
      <c r="CON107" s="395"/>
      <c r="COO107" s="395"/>
      <c r="COP107" s="395"/>
      <c r="COQ107" s="395"/>
      <c r="COR107" s="395"/>
      <c r="COS107" s="395"/>
      <c r="COT107" s="395"/>
      <c r="COU107" s="395"/>
      <c r="COV107" s="395"/>
      <c r="COW107" s="395"/>
      <c r="COX107" s="395"/>
      <c r="COY107" s="395"/>
      <c r="COZ107" s="395"/>
      <c r="CPA107" s="395"/>
      <c r="CPB107" s="395"/>
      <c r="CPC107" s="395"/>
      <c r="CPD107" s="395"/>
      <c r="CPE107" s="395"/>
      <c r="CPF107" s="395"/>
      <c r="CPG107" s="395"/>
      <c r="CPH107" s="395"/>
      <c r="CPI107" s="395"/>
      <c r="CPJ107" s="395"/>
      <c r="CPK107" s="395"/>
      <c r="CPL107" s="395"/>
      <c r="CPM107" s="396"/>
      <c r="CPN107" s="394"/>
      <c r="CPO107" s="395"/>
      <c r="CPP107" s="395"/>
      <c r="CPQ107" s="395"/>
      <c r="CPR107" s="395"/>
      <c r="CPS107" s="395"/>
      <c r="CPT107" s="395"/>
      <c r="CPU107" s="395"/>
      <c r="CPV107" s="395"/>
      <c r="CPW107" s="395"/>
      <c r="CPX107" s="395"/>
      <c r="CPY107" s="395"/>
      <c r="CPZ107" s="395"/>
      <c r="CQA107" s="395"/>
      <c r="CQB107" s="395"/>
      <c r="CQC107" s="395"/>
      <c r="CQD107" s="395"/>
      <c r="CQE107" s="395"/>
      <c r="CQF107" s="395"/>
      <c r="CQG107" s="395"/>
      <c r="CQH107" s="395"/>
      <c r="CQI107" s="395"/>
      <c r="CQJ107" s="395"/>
      <c r="CQK107" s="395"/>
      <c r="CQL107" s="395"/>
      <c r="CQM107" s="395"/>
      <c r="CQN107" s="396"/>
      <c r="CQO107" s="394"/>
      <c r="CQP107" s="395"/>
      <c r="CQQ107" s="395"/>
      <c r="CQR107" s="395"/>
      <c r="CQS107" s="395"/>
      <c r="CQT107" s="395"/>
      <c r="CQU107" s="395"/>
      <c r="CQV107" s="395"/>
      <c r="CQW107" s="395"/>
      <c r="CQX107" s="395"/>
      <c r="CQY107" s="395"/>
      <c r="CQZ107" s="395"/>
      <c r="CRA107" s="395"/>
      <c r="CRB107" s="395"/>
      <c r="CRC107" s="395"/>
      <c r="CRD107" s="395"/>
      <c r="CRE107" s="395"/>
      <c r="CRF107" s="395"/>
      <c r="CRG107" s="395"/>
      <c r="CRH107" s="395"/>
      <c r="CRI107" s="395"/>
      <c r="CRJ107" s="395"/>
      <c r="CRK107" s="395"/>
      <c r="CRL107" s="395"/>
      <c r="CRM107" s="395"/>
      <c r="CRN107" s="395"/>
      <c r="CRO107" s="396"/>
      <c r="CRP107" s="394"/>
      <c r="CRQ107" s="395"/>
      <c r="CRR107" s="395"/>
      <c r="CRS107" s="395"/>
      <c r="CRT107" s="395"/>
      <c r="CRU107" s="395"/>
      <c r="CRV107" s="395"/>
      <c r="CRW107" s="395"/>
      <c r="CRX107" s="395"/>
      <c r="CRY107" s="395"/>
      <c r="CRZ107" s="395"/>
      <c r="CSA107" s="395"/>
      <c r="CSB107" s="395"/>
      <c r="CSC107" s="395"/>
      <c r="CSD107" s="395"/>
      <c r="CSE107" s="395"/>
      <c r="CSF107" s="395"/>
      <c r="CSG107" s="395"/>
      <c r="CSH107" s="395"/>
      <c r="CSI107" s="395"/>
      <c r="CSJ107" s="395"/>
      <c r="CSK107" s="395"/>
      <c r="CSL107" s="395"/>
      <c r="CSM107" s="395"/>
      <c r="CSN107" s="395"/>
      <c r="CSO107" s="395"/>
      <c r="CSP107" s="396"/>
      <c r="CSQ107" s="394"/>
      <c r="CSR107" s="395"/>
      <c r="CSS107" s="395"/>
      <c r="CST107" s="395"/>
      <c r="CSU107" s="395"/>
      <c r="CSV107" s="395"/>
      <c r="CSW107" s="395"/>
      <c r="CSX107" s="395"/>
      <c r="CSY107" s="395"/>
      <c r="CSZ107" s="395"/>
      <c r="CTA107" s="395"/>
      <c r="CTB107" s="395"/>
      <c r="CTC107" s="395"/>
      <c r="CTD107" s="395"/>
      <c r="CTE107" s="395"/>
      <c r="CTF107" s="395"/>
      <c r="CTG107" s="395"/>
      <c r="CTH107" s="395"/>
      <c r="CTI107" s="395"/>
      <c r="CTJ107" s="395"/>
      <c r="CTK107" s="395"/>
      <c r="CTL107" s="395"/>
      <c r="CTM107" s="395"/>
      <c r="CTN107" s="395"/>
      <c r="CTO107" s="395"/>
      <c r="CTP107" s="395"/>
      <c r="CTQ107" s="396"/>
      <c r="CTR107" s="394"/>
      <c r="CTS107" s="395"/>
      <c r="CTT107" s="395"/>
      <c r="CTU107" s="395"/>
      <c r="CTV107" s="395"/>
      <c r="CTW107" s="395"/>
      <c r="CTX107" s="395"/>
      <c r="CTY107" s="395"/>
      <c r="CTZ107" s="395"/>
      <c r="CUA107" s="395"/>
      <c r="CUB107" s="395"/>
      <c r="CUC107" s="395"/>
      <c r="CUD107" s="395"/>
      <c r="CUE107" s="395"/>
      <c r="CUF107" s="395"/>
      <c r="CUG107" s="395"/>
      <c r="CUH107" s="395"/>
      <c r="CUI107" s="395"/>
      <c r="CUJ107" s="395"/>
      <c r="CUK107" s="395"/>
      <c r="CUL107" s="395"/>
      <c r="CUM107" s="395"/>
      <c r="CUN107" s="395"/>
      <c r="CUO107" s="395"/>
      <c r="CUP107" s="395"/>
      <c r="CUQ107" s="395"/>
      <c r="CUR107" s="396"/>
      <c r="CUS107" s="394"/>
      <c r="CUT107" s="395"/>
      <c r="CUU107" s="395"/>
      <c r="CUV107" s="395"/>
      <c r="CUW107" s="395"/>
      <c r="CUX107" s="395"/>
      <c r="CUY107" s="395"/>
      <c r="CUZ107" s="395"/>
      <c r="CVA107" s="395"/>
      <c r="CVB107" s="395"/>
      <c r="CVC107" s="395"/>
      <c r="CVD107" s="395"/>
      <c r="CVE107" s="395"/>
      <c r="CVF107" s="395"/>
      <c r="CVG107" s="395"/>
      <c r="CVH107" s="395"/>
      <c r="CVI107" s="395"/>
      <c r="CVJ107" s="395"/>
      <c r="CVK107" s="395"/>
      <c r="CVL107" s="395"/>
      <c r="CVM107" s="395"/>
      <c r="CVN107" s="395"/>
      <c r="CVO107" s="395"/>
      <c r="CVP107" s="395"/>
      <c r="CVQ107" s="395"/>
      <c r="CVR107" s="395"/>
      <c r="CVS107" s="396"/>
      <c r="CVT107" s="394"/>
      <c r="CVU107" s="395"/>
      <c r="CVV107" s="395"/>
      <c r="CVW107" s="395"/>
      <c r="CVX107" s="395"/>
      <c r="CVY107" s="395"/>
      <c r="CVZ107" s="395"/>
      <c r="CWA107" s="395"/>
      <c r="CWB107" s="395"/>
      <c r="CWC107" s="395"/>
      <c r="CWD107" s="395"/>
      <c r="CWE107" s="395"/>
      <c r="CWF107" s="395"/>
      <c r="CWG107" s="395"/>
      <c r="CWH107" s="395"/>
      <c r="CWI107" s="395"/>
      <c r="CWJ107" s="395"/>
      <c r="CWK107" s="395"/>
      <c r="CWL107" s="395"/>
      <c r="CWM107" s="395"/>
      <c r="CWN107" s="395"/>
      <c r="CWO107" s="395"/>
      <c r="CWP107" s="395"/>
      <c r="CWQ107" s="395"/>
      <c r="CWR107" s="395"/>
      <c r="CWS107" s="395"/>
      <c r="CWT107" s="396"/>
      <c r="CWU107" s="394"/>
      <c r="CWV107" s="395"/>
      <c r="CWW107" s="395"/>
      <c r="CWX107" s="395"/>
      <c r="CWY107" s="395"/>
      <c r="CWZ107" s="395"/>
      <c r="CXA107" s="395"/>
      <c r="CXB107" s="395"/>
      <c r="CXC107" s="395"/>
      <c r="CXD107" s="395"/>
      <c r="CXE107" s="395"/>
      <c r="CXF107" s="395"/>
      <c r="CXG107" s="395"/>
      <c r="CXH107" s="395"/>
      <c r="CXI107" s="395"/>
      <c r="CXJ107" s="395"/>
      <c r="CXK107" s="395"/>
      <c r="CXL107" s="395"/>
      <c r="CXM107" s="395"/>
      <c r="CXN107" s="395"/>
      <c r="CXO107" s="395"/>
      <c r="CXP107" s="395"/>
      <c r="CXQ107" s="395"/>
      <c r="CXR107" s="395"/>
      <c r="CXS107" s="395"/>
      <c r="CXT107" s="395"/>
      <c r="CXU107" s="396"/>
      <c r="CXV107" s="394"/>
      <c r="CXW107" s="395"/>
      <c r="CXX107" s="395"/>
      <c r="CXY107" s="395"/>
      <c r="CXZ107" s="395"/>
      <c r="CYA107" s="395"/>
      <c r="CYB107" s="395"/>
      <c r="CYC107" s="395"/>
      <c r="CYD107" s="395"/>
      <c r="CYE107" s="395"/>
      <c r="CYF107" s="395"/>
      <c r="CYG107" s="395"/>
      <c r="CYH107" s="395"/>
      <c r="CYI107" s="395"/>
      <c r="CYJ107" s="395"/>
      <c r="CYK107" s="395"/>
      <c r="CYL107" s="395"/>
      <c r="CYM107" s="395"/>
      <c r="CYN107" s="395"/>
      <c r="CYO107" s="395"/>
      <c r="CYP107" s="395"/>
      <c r="CYQ107" s="395"/>
      <c r="CYR107" s="395"/>
      <c r="CYS107" s="395"/>
      <c r="CYT107" s="395"/>
      <c r="CYU107" s="395"/>
      <c r="CYV107" s="396"/>
      <c r="CYW107" s="394"/>
      <c r="CYX107" s="395"/>
      <c r="CYY107" s="395"/>
      <c r="CYZ107" s="395"/>
      <c r="CZA107" s="395"/>
      <c r="CZB107" s="395"/>
      <c r="CZC107" s="395"/>
      <c r="CZD107" s="395"/>
      <c r="CZE107" s="395"/>
      <c r="CZF107" s="395"/>
      <c r="CZG107" s="395"/>
      <c r="CZH107" s="395"/>
      <c r="CZI107" s="395"/>
      <c r="CZJ107" s="395"/>
      <c r="CZK107" s="395"/>
      <c r="CZL107" s="395"/>
      <c r="CZM107" s="395"/>
      <c r="CZN107" s="395"/>
      <c r="CZO107" s="395"/>
      <c r="CZP107" s="395"/>
      <c r="CZQ107" s="395"/>
      <c r="CZR107" s="395"/>
      <c r="CZS107" s="395"/>
      <c r="CZT107" s="395"/>
      <c r="CZU107" s="395"/>
      <c r="CZV107" s="395"/>
      <c r="CZW107" s="396"/>
      <c r="CZX107" s="394"/>
      <c r="CZY107" s="395"/>
      <c r="CZZ107" s="395"/>
      <c r="DAA107" s="395"/>
      <c r="DAB107" s="395"/>
      <c r="DAC107" s="395"/>
      <c r="DAD107" s="395"/>
      <c r="DAE107" s="395"/>
      <c r="DAF107" s="395"/>
      <c r="DAG107" s="395"/>
      <c r="DAH107" s="395"/>
      <c r="DAI107" s="395"/>
      <c r="DAJ107" s="395"/>
      <c r="DAK107" s="395"/>
      <c r="DAL107" s="395"/>
      <c r="DAM107" s="395"/>
      <c r="DAN107" s="395"/>
      <c r="DAO107" s="395"/>
      <c r="DAP107" s="395"/>
      <c r="DAQ107" s="395"/>
      <c r="DAR107" s="395"/>
      <c r="DAS107" s="395"/>
      <c r="DAT107" s="395"/>
      <c r="DAU107" s="395"/>
      <c r="DAV107" s="395"/>
      <c r="DAW107" s="395"/>
      <c r="DAX107" s="396"/>
      <c r="DAY107" s="394"/>
      <c r="DAZ107" s="395"/>
      <c r="DBA107" s="395"/>
      <c r="DBB107" s="395"/>
      <c r="DBC107" s="395"/>
      <c r="DBD107" s="395"/>
      <c r="DBE107" s="395"/>
      <c r="DBF107" s="395"/>
      <c r="DBG107" s="395"/>
      <c r="DBH107" s="395"/>
      <c r="DBI107" s="395"/>
      <c r="DBJ107" s="395"/>
      <c r="DBK107" s="395"/>
      <c r="DBL107" s="395"/>
      <c r="DBM107" s="395"/>
      <c r="DBN107" s="395"/>
      <c r="DBO107" s="395"/>
      <c r="DBP107" s="395"/>
      <c r="DBQ107" s="395"/>
      <c r="DBR107" s="395"/>
      <c r="DBS107" s="395"/>
      <c r="DBT107" s="395"/>
      <c r="DBU107" s="395"/>
      <c r="DBV107" s="395"/>
      <c r="DBW107" s="395"/>
      <c r="DBX107" s="395"/>
      <c r="DBY107" s="396"/>
      <c r="DBZ107" s="394"/>
      <c r="DCA107" s="395"/>
      <c r="DCB107" s="395"/>
      <c r="DCC107" s="395"/>
      <c r="DCD107" s="395"/>
      <c r="DCE107" s="395"/>
      <c r="DCF107" s="395"/>
      <c r="DCG107" s="395"/>
      <c r="DCH107" s="395"/>
      <c r="DCI107" s="395"/>
      <c r="DCJ107" s="395"/>
      <c r="DCK107" s="395"/>
      <c r="DCL107" s="395"/>
      <c r="DCM107" s="395"/>
      <c r="DCN107" s="395"/>
      <c r="DCO107" s="395"/>
      <c r="DCP107" s="395"/>
      <c r="DCQ107" s="395"/>
      <c r="DCR107" s="395"/>
      <c r="DCS107" s="395"/>
      <c r="DCT107" s="395"/>
      <c r="DCU107" s="395"/>
      <c r="DCV107" s="395"/>
      <c r="DCW107" s="395"/>
      <c r="DCX107" s="395"/>
      <c r="DCY107" s="395"/>
      <c r="DCZ107" s="396"/>
      <c r="DDA107" s="394"/>
      <c r="DDB107" s="395"/>
      <c r="DDC107" s="395"/>
      <c r="DDD107" s="395"/>
      <c r="DDE107" s="395"/>
      <c r="DDF107" s="395"/>
      <c r="DDG107" s="395"/>
      <c r="DDH107" s="395"/>
      <c r="DDI107" s="395"/>
      <c r="DDJ107" s="395"/>
      <c r="DDK107" s="395"/>
      <c r="DDL107" s="395"/>
      <c r="DDM107" s="395"/>
      <c r="DDN107" s="395"/>
      <c r="DDO107" s="395"/>
      <c r="DDP107" s="395"/>
      <c r="DDQ107" s="395"/>
      <c r="DDR107" s="395"/>
      <c r="DDS107" s="395"/>
      <c r="DDT107" s="395"/>
      <c r="DDU107" s="395"/>
      <c r="DDV107" s="395"/>
      <c r="DDW107" s="395"/>
      <c r="DDX107" s="395"/>
      <c r="DDY107" s="395"/>
      <c r="DDZ107" s="395"/>
      <c r="DEA107" s="396"/>
      <c r="DEB107" s="394"/>
      <c r="DEC107" s="395"/>
      <c r="DED107" s="395"/>
      <c r="DEE107" s="395"/>
      <c r="DEF107" s="395"/>
      <c r="DEG107" s="395"/>
      <c r="DEH107" s="395"/>
      <c r="DEI107" s="395"/>
      <c r="DEJ107" s="395"/>
      <c r="DEK107" s="395"/>
      <c r="DEL107" s="395"/>
      <c r="DEM107" s="395"/>
      <c r="DEN107" s="395"/>
      <c r="DEO107" s="395"/>
      <c r="DEP107" s="395"/>
      <c r="DEQ107" s="395"/>
      <c r="DER107" s="395"/>
      <c r="DES107" s="395"/>
      <c r="DET107" s="395"/>
      <c r="DEU107" s="395"/>
      <c r="DEV107" s="395"/>
      <c r="DEW107" s="395"/>
      <c r="DEX107" s="395"/>
      <c r="DEY107" s="395"/>
      <c r="DEZ107" s="395"/>
      <c r="DFA107" s="395"/>
      <c r="DFB107" s="396"/>
      <c r="DFC107" s="394"/>
      <c r="DFD107" s="395"/>
      <c r="DFE107" s="395"/>
      <c r="DFF107" s="395"/>
      <c r="DFG107" s="395"/>
      <c r="DFH107" s="395"/>
      <c r="DFI107" s="395"/>
      <c r="DFJ107" s="395"/>
      <c r="DFK107" s="395"/>
      <c r="DFL107" s="395"/>
      <c r="DFM107" s="395"/>
      <c r="DFN107" s="395"/>
      <c r="DFO107" s="395"/>
      <c r="DFP107" s="395"/>
      <c r="DFQ107" s="395"/>
      <c r="DFR107" s="395"/>
      <c r="DFS107" s="395"/>
      <c r="DFT107" s="395"/>
      <c r="DFU107" s="395"/>
      <c r="DFV107" s="395"/>
      <c r="DFW107" s="395"/>
      <c r="DFX107" s="395"/>
      <c r="DFY107" s="395"/>
      <c r="DFZ107" s="395"/>
      <c r="DGA107" s="395"/>
      <c r="DGB107" s="395"/>
      <c r="DGC107" s="396"/>
      <c r="DGD107" s="394"/>
      <c r="DGE107" s="395"/>
      <c r="DGF107" s="395"/>
      <c r="DGG107" s="395"/>
      <c r="DGH107" s="395"/>
      <c r="DGI107" s="395"/>
      <c r="DGJ107" s="395"/>
      <c r="DGK107" s="395"/>
      <c r="DGL107" s="395"/>
      <c r="DGM107" s="395"/>
      <c r="DGN107" s="395"/>
      <c r="DGO107" s="395"/>
      <c r="DGP107" s="395"/>
      <c r="DGQ107" s="395"/>
      <c r="DGR107" s="395"/>
      <c r="DGS107" s="395"/>
      <c r="DGT107" s="395"/>
      <c r="DGU107" s="395"/>
      <c r="DGV107" s="395"/>
      <c r="DGW107" s="395"/>
      <c r="DGX107" s="395"/>
      <c r="DGY107" s="395"/>
      <c r="DGZ107" s="395"/>
      <c r="DHA107" s="395"/>
      <c r="DHB107" s="395"/>
      <c r="DHC107" s="395"/>
      <c r="DHD107" s="396"/>
      <c r="DHE107" s="394"/>
      <c r="DHF107" s="395"/>
      <c r="DHG107" s="395"/>
      <c r="DHH107" s="395"/>
      <c r="DHI107" s="395"/>
      <c r="DHJ107" s="395"/>
      <c r="DHK107" s="395"/>
      <c r="DHL107" s="395"/>
      <c r="DHM107" s="395"/>
      <c r="DHN107" s="395"/>
      <c r="DHO107" s="395"/>
      <c r="DHP107" s="395"/>
      <c r="DHQ107" s="395"/>
      <c r="DHR107" s="395"/>
      <c r="DHS107" s="395"/>
      <c r="DHT107" s="395"/>
      <c r="DHU107" s="395"/>
      <c r="DHV107" s="395"/>
      <c r="DHW107" s="395"/>
      <c r="DHX107" s="395"/>
      <c r="DHY107" s="395"/>
      <c r="DHZ107" s="395"/>
      <c r="DIA107" s="395"/>
      <c r="DIB107" s="395"/>
      <c r="DIC107" s="395"/>
      <c r="DID107" s="395"/>
      <c r="DIE107" s="396"/>
      <c r="DIF107" s="394"/>
      <c r="DIG107" s="395"/>
      <c r="DIH107" s="395"/>
      <c r="DII107" s="395"/>
      <c r="DIJ107" s="395"/>
      <c r="DIK107" s="395"/>
      <c r="DIL107" s="395"/>
      <c r="DIM107" s="395"/>
      <c r="DIN107" s="395"/>
      <c r="DIO107" s="395"/>
      <c r="DIP107" s="395"/>
      <c r="DIQ107" s="395"/>
      <c r="DIR107" s="395"/>
      <c r="DIS107" s="395"/>
      <c r="DIT107" s="395"/>
      <c r="DIU107" s="395"/>
      <c r="DIV107" s="395"/>
      <c r="DIW107" s="395"/>
      <c r="DIX107" s="395"/>
      <c r="DIY107" s="395"/>
      <c r="DIZ107" s="395"/>
      <c r="DJA107" s="395"/>
      <c r="DJB107" s="395"/>
      <c r="DJC107" s="395"/>
      <c r="DJD107" s="395"/>
      <c r="DJE107" s="395"/>
      <c r="DJF107" s="396"/>
      <c r="DJG107" s="394"/>
      <c r="DJH107" s="395"/>
      <c r="DJI107" s="395"/>
      <c r="DJJ107" s="395"/>
      <c r="DJK107" s="395"/>
      <c r="DJL107" s="395"/>
      <c r="DJM107" s="395"/>
      <c r="DJN107" s="395"/>
      <c r="DJO107" s="395"/>
      <c r="DJP107" s="395"/>
      <c r="DJQ107" s="395"/>
      <c r="DJR107" s="395"/>
      <c r="DJS107" s="395"/>
      <c r="DJT107" s="395"/>
      <c r="DJU107" s="395"/>
      <c r="DJV107" s="395"/>
      <c r="DJW107" s="395"/>
      <c r="DJX107" s="395"/>
      <c r="DJY107" s="395"/>
      <c r="DJZ107" s="395"/>
      <c r="DKA107" s="395"/>
      <c r="DKB107" s="395"/>
      <c r="DKC107" s="395"/>
      <c r="DKD107" s="395"/>
      <c r="DKE107" s="395"/>
      <c r="DKF107" s="395"/>
      <c r="DKG107" s="396"/>
      <c r="DKH107" s="394"/>
      <c r="DKI107" s="395"/>
      <c r="DKJ107" s="395"/>
      <c r="DKK107" s="395"/>
      <c r="DKL107" s="395"/>
      <c r="DKM107" s="395"/>
      <c r="DKN107" s="395"/>
      <c r="DKO107" s="395"/>
      <c r="DKP107" s="395"/>
      <c r="DKQ107" s="395"/>
      <c r="DKR107" s="395"/>
      <c r="DKS107" s="395"/>
      <c r="DKT107" s="395"/>
      <c r="DKU107" s="395"/>
      <c r="DKV107" s="395"/>
      <c r="DKW107" s="395"/>
      <c r="DKX107" s="395"/>
      <c r="DKY107" s="395"/>
      <c r="DKZ107" s="395"/>
      <c r="DLA107" s="395"/>
      <c r="DLB107" s="395"/>
      <c r="DLC107" s="395"/>
      <c r="DLD107" s="395"/>
      <c r="DLE107" s="395"/>
      <c r="DLF107" s="395"/>
      <c r="DLG107" s="395"/>
      <c r="DLH107" s="396"/>
      <c r="DLI107" s="394"/>
      <c r="DLJ107" s="395"/>
      <c r="DLK107" s="395"/>
      <c r="DLL107" s="395"/>
      <c r="DLM107" s="395"/>
      <c r="DLN107" s="395"/>
      <c r="DLO107" s="395"/>
      <c r="DLP107" s="395"/>
      <c r="DLQ107" s="395"/>
      <c r="DLR107" s="395"/>
      <c r="DLS107" s="395"/>
      <c r="DLT107" s="395"/>
      <c r="DLU107" s="395"/>
      <c r="DLV107" s="395"/>
      <c r="DLW107" s="395"/>
      <c r="DLX107" s="395"/>
      <c r="DLY107" s="395"/>
      <c r="DLZ107" s="395"/>
      <c r="DMA107" s="395"/>
      <c r="DMB107" s="395"/>
      <c r="DMC107" s="395"/>
      <c r="DMD107" s="395"/>
      <c r="DME107" s="395"/>
      <c r="DMF107" s="395"/>
      <c r="DMG107" s="395"/>
      <c r="DMH107" s="395"/>
      <c r="DMI107" s="396"/>
      <c r="DMJ107" s="394"/>
      <c r="DMK107" s="395"/>
      <c r="DML107" s="395"/>
      <c r="DMM107" s="395"/>
      <c r="DMN107" s="395"/>
      <c r="DMO107" s="395"/>
      <c r="DMP107" s="395"/>
      <c r="DMQ107" s="395"/>
      <c r="DMR107" s="395"/>
      <c r="DMS107" s="395"/>
      <c r="DMT107" s="395"/>
      <c r="DMU107" s="395"/>
      <c r="DMV107" s="395"/>
      <c r="DMW107" s="395"/>
      <c r="DMX107" s="395"/>
      <c r="DMY107" s="395"/>
      <c r="DMZ107" s="395"/>
      <c r="DNA107" s="395"/>
      <c r="DNB107" s="395"/>
      <c r="DNC107" s="395"/>
      <c r="DND107" s="395"/>
      <c r="DNE107" s="395"/>
      <c r="DNF107" s="395"/>
      <c r="DNG107" s="395"/>
      <c r="DNH107" s="395"/>
      <c r="DNI107" s="395"/>
      <c r="DNJ107" s="396"/>
      <c r="DNK107" s="394"/>
      <c r="DNL107" s="395"/>
      <c r="DNM107" s="395"/>
      <c r="DNN107" s="395"/>
      <c r="DNO107" s="395"/>
      <c r="DNP107" s="395"/>
      <c r="DNQ107" s="395"/>
      <c r="DNR107" s="395"/>
      <c r="DNS107" s="395"/>
      <c r="DNT107" s="395"/>
      <c r="DNU107" s="395"/>
      <c r="DNV107" s="395"/>
      <c r="DNW107" s="395"/>
      <c r="DNX107" s="395"/>
      <c r="DNY107" s="395"/>
      <c r="DNZ107" s="395"/>
      <c r="DOA107" s="395"/>
      <c r="DOB107" s="395"/>
      <c r="DOC107" s="395"/>
      <c r="DOD107" s="395"/>
      <c r="DOE107" s="395"/>
      <c r="DOF107" s="395"/>
      <c r="DOG107" s="395"/>
      <c r="DOH107" s="395"/>
      <c r="DOI107" s="395"/>
      <c r="DOJ107" s="395"/>
      <c r="DOK107" s="396"/>
      <c r="DOL107" s="394"/>
      <c r="DOM107" s="395"/>
      <c r="DON107" s="395"/>
      <c r="DOO107" s="395"/>
      <c r="DOP107" s="395"/>
      <c r="DOQ107" s="395"/>
      <c r="DOR107" s="395"/>
      <c r="DOS107" s="395"/>
      <c r="DOT107" s="395"/>
      <c r="DOU107" s="395"/>
      <c r="DOV107" s="395"/>
      <c r="DOW107" s="395"/>
      <c r="DOX107" s="395"/>
      <c r="DOY107" s="395"/>
      <c r="DOZ107" s="395"/>
      <c r="DPA107" s="395"/>
      <c r="DPB107" s="395"/>
      <c r="DPC107" s="395"/>
      <c r="DPD107" s="395"/>
      <c r="DPE107" s="395"/>
      <c r="DPF107" s="395"/>
      <c r="DPG107" s="395"/>
      <c r="DPH107" s="395"/>
      <c r="DPI107" s="395"/>
      <c r="DPJ107" s="395"/>
      <c r="DPK107" s="395"/>
      <c r="DPL107" s="396"/>
      <c r="DPM107" s="394"/>
      <c r="DPN107" s="395"/>
      <c r="DPO107" s="395"/>
      <c r="DPP107" s="395"/>
      <c r="DPQ107" s="395"/>
      <c r="DPR107" s="395"/>
      <c r="DPS107" s="395"/>
      <c r="DPT107" s="395"/>
      <c r="DPU107" s="395"/>
      <c r="DPV107" s="395"/>
      <c r="DPW107" s="395"/>
      <c r="DPX107" s="395"/>
      <c r="DPY107" s="395"/>
      <c r="DPZ107" s="395"/>
      <c r="DQA107" s="395"/>
      <c r="DQB107" s="395"/>
      <c r="DQC107" s="395"/>
      <c r="DQD107" s="395"/>
      <c r="DQE107" s="395"/>
      <c r="DQF107" s="395"/>
      <c r="DQG107" s="395"/>
      <c r="DQH107" s="395"/>
      <c r="DQI107" s="395"/>
      <c r="DQJ107" s="395"/>
      <c r="DQK107" s="395"/>
      <c r="DQL107" s="395"/>
      <c r="DQM107" s="396"/>
      <c r="DQN107" s="394"/>
      <c r="DQO107" s="395"/>
      <c r="DQP107" s="395"/>
      <c r="DQQ107" s="395"/>
      <c r="DQR107" s="395"/>
      <c r="DQS107" s="395"/>
      <c r="DQT107" s="395"/>
      <c r="DQU107" s="395"/>
      <c r="DQV107" s="395"/>
      <c r="DQW107" s="395"/>
      <c r="DQX107" s="395"/>
      <c r="DQY107" s="395"/>
      <c r="DQZ107" s="395"/>
      <c r="DRA107" s="395"/>
      <c r="DRB107" s="395"/>
      <c r="DRC107" s="395"/>
      <c r="DRD107" s="395"/>
      <c r="DRE107" s="395"/>
      <c r="DRF107" s="395"/>
      <c r="DRG107" s="395"/>
      <c r="DRH107" s="395"/>
      <c r="DRI107" s="395"/>
      <c r="DRJ107" s="395"/>
      <c r="DRK107" s="395"/>
      <c r="DRL107" s="395"/>
      <c r="DRM107" s="395"/>
      <c r="DRN107" s="396"/>
      <c r="DRO107" s="394"/>
      <c r="DRP107" s="395"/>
      <c r="DRQ107" s="395"/>
      <c r="DRR107" s="395"/>
      <c r="DRS107" s="395"/>
      <c r="DRT107" s="395"/>
      <c r="DRU107" s="395"/>
      <c r="DRV107" s="395"/>
      <c r="DRW107" s="395"/>
      <c r="DRX107" s="395"/>
      <c r="DRY107" s="395"/>
      <c r="DRZ107" s="395"/>
      <c r="DSA107" s="395"/>
      <c r="DSB107" s="395"/>
      <c r="DSC107" s="395"/>
      <c r="DSD107" s="395"/>
      <c r="DSE107" s="395"/>
      <c r="DSF107" s="395"/>
      <c r="DSG107" s="395"/>
      <c r="DSH107" s="395"/>
      <c r="DSI107" s="395"/>
      <c r="DSJ107" s="395"/>
      <c r="DSK107" s="395"/>
      <c r="DSL107" s="395"/>
      <c r="DSM107" s="395"/>
      <c r="DSN107" s="395"/>
      <c r="DSO107" s="396"/>
      <c r="DSP107" s="394"/>
      <c r="DSQ107" s="395"/>
      <c r="DSR107" s="395"/>
      <c r="DSS107" s="395"/>
      <c r="DST107" s="395"/>
      <c r="DSU107" s="395"/>
      <c r="DSV107" s="395"/>
      <c r="DSW107" s="395"/>
      <c r="DSX107" s="395"/>
      <c r="DSY107" s="395"/>
      <c r="DSZ107" s="395"/>
      <c r="DTA107" s="395"/>
      <c r="DTB107" s="395"/>
      <c r="DTC107" s="395"/>
      <c r="DTD107" s="395"/>
      <c r="DTE107" s="395"/>
      <c r="DTF107" s="395"/>
      <c r="DTG107" s="395"/>
      <c r="DTH107" s="395"/>
      <c r="DTI107" s="395"/>
      <c r="DTJ107" s="395"/>
      <c r="DTK107" s="395"/>
      <c r="DTL107" s="395"/>
      <c r="DTM107" s="395"/>
      <c r="DTN107" s="395"/>
      <c r="DTO107" s="395"/>
      <c r="DTP107" s="396"/>
      <c r="DTQ107" s="394"/>
      <c r="DTR107" s="395"/>
      <c r="DTS107" s="395"/>
      <c r="DTT107" s="395"/>
      <c r="DTU107" s="395"/>
      <c r="DTV107" s="395"/>
      <c r="DTW107" s="395"/>
      <c r="DTX107" s="395"/>
      <c r="DTY107" s="395"/>
      <c r="DTZ107" s="395"/>
      <c r="DUA107" s="395"/>
      <c r="DUB107" s="395"/>
      <c r="DUC107" s="395"/>
      <c r="DUD107" s="395"/>
      <c r="DUE107" s="395"/>
      <c r="DUF107" s="395"/>
      <c r="DUG107" s="395"/>
      <c r="DUH107" s="395"/>
      <c r="DUI107" s="395"/>
      <c r="DUJ107" s="395"/>
      <c r="DUK107" s="395"/>
      <c r="DUL107" s="395"/>
      <c r="DUM107" s="395"/>
      <c r="DUN107" s="395"/>
      <c r="DUO107" s="395"/>
      <c r="DUP107" s="395"/>
      <c r="DUQ107" s="396"/>
      <c r="DUR107" s="394"/>
      <c r="DUS107" s="395"/>
      <c r="DUT107" s="395"/>
      <c r="DUU107" s="395"/>
      <c r="DUV107" s="395"/>
      <c r="DUW107" s="395"/>
      <c r="DUX107" s="395"/>
      <c r="DUY107" s="395"/>
      <c r="DUZ107" s="395"/>
      <c r="DVA107" s="395"/>
      <c r="DVB107" s="395"/>
      <c r="DVC107" s="395"/>
      <c r="DVD107" s="395"/>
      <c r="DVE107" s="395"/>
      <c r="DVF107" s="395"/>
      <c r="DVG107" s="395"/>
      <c r="DVH107" s="395"/>
      <c r="DVI107" s="395"/>
      <c r="DVJ107" s="395"/>
      <c r="DVK107" s="395"/>
      <c r="DVL107" s="395"/>
      <c r="DVM107" s="395"/>
      <c r="DVN107" s="395"/>
      <c r="DVO107" s="395"/>
      <c r="DVP107" s="395"/>
      <c r="DVQ107" s="395"/>
      <c r="DVR107" s="396"/>
      <c r="DVS107" s="394"/>
      <c r="DVT107" s="395"/>
      <c r="DVU107" s="395"/>
      <c r="DVV107" s="395"/>
      <c r="DVW107" s="395"/>
      <c r="DVX107" s="395"/>
      <c r="DVY107" s="395"/>
      <c r="DVZ107" s="395"/>
      <c r="DWA107" s="395"/>
      <c r="DWB107" s="395"/>
      <c r="DWC107" s="395"/>
      <c r="DWD107" s="395"/>
      <c r="DWE107" s="395"/>
      <c r="DWF107" s="395"/>
      <c r="DWG107" s="395"/>
      <c r="DWH107" s="395"/>
      <c r="DWI107" s="395"/>
      <c r="DWJ107" s="395"/>
      <c r="DWK107" s="395"/>
      <c r="DWL107" s="395"/>
      <c r="DWM107" s="395"/>
      <c r="DWN107" s="395"/>
      <c r="DWO107" s="395"/>
      <c r="DWP107" s="395"/>
      <c r="DWQ107" s="395"/>
      <c r="DWR107" s="395"/>
      <c r="DWS107" s="396"/>
      <c r="DWT107" s="394"/>
      <c r="DWU107" s="395"/>
      <c r="DWV107" s="395"/>
      <c r="DWW107" s="395"/>
      <c r="DWX107" s="395"/>
      <c r="DWY107" s="395"/>
      <c r="DWZ107" s="395"/>
      <c r="DXA107" s="395"/>
      <c r="DXB107" s="395"/>
      <c r="DXC107" s="395"/>
      <c r="DXD107" s="395"/>
      <c r="DXE107" s="395"/>
      <c r="DXF107" s="395"/>
      <c r="DXG107" s="395"/>
      <c r="DXH107" s="395"/>
      <c r="DXI107" s="395"/>
      <c r="DXJ107" s="395"/>
      <c r="DXK107" s="395"/>
      <c r="DXL107" s="395"/>
      <c r="DXM107" s="395"/>
      <c r="DXN107" s="395"/>
      <c r="DXO107" s="395"/>
      <c r="DXP107" s="395"/>
      <c r="DXQ107" s="395"/>
      <c r="DXR107" s="395"/>
      <c r="DXS107" s="395"/>
      <c r="DXT107" s="396"/>
      <c r="DXU107" s="394"/>
      <c r="DXV107" s="395"/>
      <c r="DXW107" s="395"/>
      <c r="DXX107" s="395"/>
      <c r="DXY107" s="395"/>
      <c r="DXZ107" s="395"/>
      <c r="DYA107" s="395"/>
      <c r="DYB107" s="395"/>
      <c r="DYC107" s="395"/>
      <c r="DYD107" s="395"/>
      <c r="DYE107" s="395"/>
      <c r="DYF107" s="395"/>
      <c r="DYG107" s="395"/>
      <c r="DYH107" s="395"/>
      <c r="DYI107" s="395"/>
      <c r="DYJ107" s="395"/>
      <c r="DYK107" s="395"/>
      <c r="DYL107" s="395"/>
      <c r="DYM107" s="395"/>
      <c r="DYN107" s="395"/>
      <c r="DYO107" s="395"/>
      <c r="DYP107" s="395"/>
      <c r="DYQ107" s="395"/>
      <c r="DYR107" s="395"/>
      <c r="DYS107" s="395"/>
      <c r="DYT107" s="395"/>
      <c r="DYU107" s="396"/>
      <c r="DYV107" s="394"/>
      <c r="DYW107" s="395"/>
      <c r="DYX107" s="395"/>
      <c r="DYY107" s="395"/>
      <c r="DYZ107" s="395"/>
      <c r="DZA107" s="395"/>
      <c r="DZB107" s="395"/>
      <c r="DZC107" s="395"/>
      <c r="DZD107" s="395"/>
      <c r="DZE107" s="395"/>
      <c r="DZF107" s="395"/>
      <c r="DZG107" s="395"/>
      <c r="DZH107" s="395"/>
      <c r="DZI107" s="395"/>
      <c r="DZJ107" s="395"/>
      <c r="DZK107" s="395"/>
      <c r="DZL107" s="395"/>
      <c r="DZM107" s="395"/>
      <c r="DZN107" s="395"/>
      <c r="DZO107" s="395"/>
      <c r="DZP107" s="395"/>
      <c r="DZQ107" s="395"/>
      <c r="DZR107" s="395"/>
      <c r="DZS107" s="395"/>
      <c r="DZT107" s="395"/>
      <c r="DZU107" s="395"/>
      <c r="DZV107" s="396"/>
      <c r="DZW107" s="394"/>
      <c r="DZX107" s="395"/>
      <c r="DZY107" s="395"/>
      <c r="DZZ107" s="395"/>
      <c r="EAA107" s="395"/>
      <c r="EAB107" s="395"/>
      <c r="EAC107" s="395"/>
      <c r="EAD107" s="395"/>
      <c r="EAE107" s="395"/>
      <c r="EAF107" s="395"/>
      <c r="EAG107" s="395"/>
      <c r="EAH107" s="395"/>
      <c r="EAI107" s="395"/>
      <c r="EAJ107" s="395"/>
      <c r="EAK107" s="395"/>
      <c r="EAL107" s="395"/>
      <c r="EAM107" s="395"/>
      <c r="EAN107" s="395"/>
      <c r="EAO107" s="395"/>
      <c r="EAP107" s="395"/>
      <c r="EAQ107" s="395"/>
      <c r="EAR107" s="395"/>
      <c r="EAS107" s="395"/>
      <c r="EAT107" s="395"/>
      <c r="EAU107" s="395"/>
      <c r="EAV107" s="395"/>
      <c r="EAW107" s="396"/>
      <c r="EAX107" s="394"/>
      <c r="EAY107" s="395"/>
      <c r="EAZ107" s="395"/>
      <c r="EBA107" s="395"/>
      <c r="EBB107" s="395"/>
      <c r="EBC107" s="395"/>
      <c r="EBD107" s="395"/>
      <c r="EBE107" s="395"/>
      <c r="EBF107" s="395"/>
      <c r="EBG107" s="395"/>
      <c r="EBH107" s="395"/>
      <c r="EBI107" s="395"/>
      <c r="EBJ107" s="395"/>
      <c r="EBK107" s="395"/>
      <c r="EBL107" s="395"/>
      <c r="EBM107" s="395"/>
      <c r="EBN107" s="395"/>
      <c r="EBO107" s="395"/>
      <c r="EBP107" s="395"/>
      <c r="EBQ107" s="395"/>
      <c r="EBR107" s="395"/>
      <c r="EBS107" s="395"/>
      <c r="EBT107" s="395"/>
      <c r="EBU107" s="395"/>
      <c r="EBV107" s="395"/>
      <c r="EBW107" s="395"/>
      <c r="EBX107" s="396"/>
      <c r="EBY107" s="394"/>
      <c r="EBZ107" s="395"/>
      <c r="ECA107" s="395"/>
      <c r="ECB107" s="395"/>
      <c r="ECC107" s="395"/>
      <c r="ECD107" s="395"/>
      <c r="ECE107" s="395"/>
      <c r="ECF107" s="395"/>
      <c r="ECG107" s="395"/>
      <c r="ECH107" s="395"/>
      <c r="ECI107" s="395"/>
      <c r="ECJ107" s="395"/>
      <c r="ECK107" s="395"/>
      <c r="ECL107" s="395"/>
      <c r="ECM107" s="395"/>
      <c r="ECN107" s="395"/>
      <c r="ECO107" s="395"/>
      <c r="ECP107" s="395"/>
      <c r="ECQ107" s="395"/>
      <c r="ECR107" s="395"/>
      <c r="ECS107" s="395"/>
      <c r="ECT107" s="395"/>
      <c r="ECU107" s="395"/>
      <c r="ECV107" s="395"/>
      <c r="ECW107" s="395"/>
      <c r="ECX107" s="395"/>
      <c r="ECY107" s="396"/>
      <c r="ECZ107" s="394"/>
      <c r="EDA107" s="395"/>
      <c r="EDB107" s="395"/>
      <c r="EDC107" s="395"/>
      <c r="EDD107" s="395"/>
      <c r="EDE107" s="395"/>
      <c r="EDF107" s="395"/>
      <c r="EDG107" s="395"/>
      <c r="EDH107" s="395"/>
      <c r="EDI107" s="395"/>
      <c r="EDJ107" s="395"/>
      <c r="EDK107" s="395"/>
      <c r="EDL107" s="395"/>
      <c r="EDM107" s="395"/>
      <c r="EDN107" s="395"/>
      <c r="EDO107" s="395"/>
      <c r="EDP107" s="395"/>
      <c r="EDQ107" s="395"/>
      <c r="EDR107" s="395"/>
      <c r="EDS107" s="395"/>
      <c r="EDT107" s="395"/>
      <c r="EDU107" s="395"/>
      <c r="EDV107" s="395"/>
      <c r="EDW107" s="395"/>
      <c r="EDX107" s="395"/>
      <c r="EDY107" s="395"/>
      <c r="EDZ107" s="396"/>
      <c r="EEA107" s="394"/>
      <c r="EEB107" s="395"/>
      <c r="EEC107" s="395"/>
      <c r="EED107" s="395"/>
      <c r="EEE107" s="395"/>
      <c r="EEF107" s="395"/>
      <c r="EEG107" s="395"/>
      <c r="EEH107" s="395"/>
      <c r="EEI107" s="395"/>
      <c r="EEJ107" s="395"/>
      <c r="EEK107" s="395"/>
      <c r="EEL107" s="395"/>
      <c r="EEM107" s="395"/>
      <c r="EEN107" s="395"/>
      <c r="EEO107" s="395"/>
      <c r="EEP107" s="395"/>
      <c r="EEQ107" s="395"/>
      <c r="EER107" s="395"/>
      <c r="EES107" s="395"/>
      <c r="EET107" s="395"/>
      <c r="EEU107" s="395"/>
      <c r="EEV107" s="395"/>
      <c r="EEW107" s="395"/>
      <c r="EEX107" s="395"/>
      <c r="EEY107" s="395"/>
      <c r="EEZ107" s="395"/>
      <c r="EFA107" s="396"/>
      <c r="EFB107" s="394"/>
      <c r="EFC107" s="395"/>
      <c r="EFD107" s="395"/>
      <c r="EFE107" s="395"/>
      <c r="EFF107" s="395"/>
      <c r="EFG107" s="395"/>
      <c r="EFH107" s="395"/>
      <c r="EFI107" s="395"/>
      <c r="EFJ107" s="395"/>
      <c r="EFK107" s="395"/>
      <c r="EFL107" s="395"/>
      <c r="EFM107" s="395"/>
      <c r="EFN107" s="395"/>
      <c r="EFO107" s="395"/>
      <c r="EFP107" s="395"/>
      <c r="EFQ107" s="395"/>
      <c r="EFR107" s="395"/>
      <c r="EFS107" s="395"/>
      <c r="EFT107" s="395"/>
      <c r="EFU107" s="395"/>
      <c r="EFV107" s="395"/>
      <c r="EFW107" s="395"/>
      <c r="EFX107" s="395"/>
      <c r="EFY107" s="395"/>
      <c r="EFZ107" s="395"/>
      <c r="EGA107" s="395"/>
      <c r="EGB107" s="396"/>
      <c r="EGC107" s="394"/>
      <c r="EGD107" s="395"/>
      <c r="EGE107" s="395"/>
      <c r="EGF107" s="395"/>
      <c r="EGG107" s="395"/>
      <c r="EGH107" s="395"/>
      <c r="EGI107" s="395"/>
      <c r="EGJ107" s="395"/>
      <c r="EGK107" s="395"/>
      <c r="EGL107" s="395"/>
      <c r="EGM107" s="395"/>
      <c r="EGN107" s="395"/>
      <c r="EGO107" s="395"/>
      <c r="EGP107" s="395"/>
      <c r="EGQ107" s="395"/>
      <c r="EGR107" s="395"/>
      <c r="EGS107" s="395"/>
      <c r="EGT107" s="395"/>
      <c r="EGU107" s="395"/>
      <c r="EGV107" s="395"/>
      <c r="EGW107" s="395"/>
      <c r="EGX107" s="395"/>
      <c r="EGY107" s="395"/>
      <c r="EGZ107" s="395"/>
      <c r="EHA107" s="395"/>
      <c r="EHB107" s="395"/>
      <c r="EHC107" s="396"/>
      <c r="EHD107" s="394"/>
      <c r="EHE107" s="395"/>
      <c r="EHF107" s="395"/>
      <c r="EHG107" s="395"/>
      <c r="EHH107" s="395"/>
      <c r="EHI107" s="395"/>
      <c r="EHJ107" s="395"/>
      <c r="EHK107" s="395"/>
      <c r="EHL107" s="395"/>
      <c r="EHM107" s="395"/>
      <c r="EHN107" s="395"/>
      <c r="EHO107" s="395"/>
      <c r="EHP107" s="395"/>
      <c r="EHQ107" s="395"/>
      <c r="EHR107" s="395"/>
      <c r="EHS107" s="395"/>
      <c r="EHT107" s="395"/>
      <c r="EHU107" s="395"/>
      <c r="EHV107" s="395"/>
      <c r="EHW107" s="395"/>
      <c r="EHX107" s="395"/>
      <c r="EHY107" s="395"/>
      <c r="EHZ107" s="395"/>
      <c r="EIA107" s="395"/>
      <c r="EIB107" s="395"/>
      <c r="EIC107" s="395"/>
      <c r="EID107" s="396"/>
      <c r="EIE107" s="394"/>
      <c r="EIF107" s="395"/>
      <c r="EIG107" s="395"/>
      <c r="EIH107" s="395"/>
      <c r="EII107" s="395"/>
      <c r="EIJ107" s="395"/>
      <c r="EIK107" s="395"/>
      <c r="EIL107" s="395"/>
      <c r="EIM107" s="395"/>
      <c r="EIN107" s="395"/>
      <c r="EIO107" s="395"/>
      <c r="EIP107" s="395"/>
      <c r="EIQ107" s="395"/>
      <c r="EIR107" s="395"/>
      <c r="EIS107" s="395"/>
      <c r="EIT107" s="395"/>
      <c r="EIU107" s="395"/>
      <c r="EIV107" s="395"/>
      <c r="EIW107" s="395"/>
      <c r="EIX107" s="395"/>
      <c r="EIY107" s="395"/>
      <c r="EIZ107" s="395"/>
      <c r="EJA107" s="395"/>
      <c r="EJB107" s="395"/>
      <c r="EJC107" s="395"/>
      <c r="EJD107" s="395"/>
      <c r="EJE107" s="396"/>
      <c r="EJF107" s="394"/>
      <c r="EJG107" s="395"/>
      <c r="EJH107" s="395"/>
      <c r="EJI107" s="395"/>
      <c r="EJJ107" s="395"/>
      <c r="EJK107" s="395"/>
      <c r="EJL107" s="395"/>
      <c r="EJM107" s="395"/>
      <c r="EJN107" s="395"/>
      <c r="EJO107" s="395"/>
      <c r="EJP107" s="395"/>
      <c r="EJQ107" s="395"/>
      <c r="EJR107" s="395"/>
      <c r="EJS107" s="395"/>
      <c r="EJT107" s="395"/>
      <c r="EJU107" s="395"/>
      <c r="EJV107" s="395"/>
      <c r="EJW107" s="395"/>
      <c r="EJX107" s="395"/>
      <c r="EJY107" s="395"/>
      <c r="EJZ107" s="395"/>
      <c r="EKA107" s="395"/>
      <c r="EKB107" s="395"/>
      <c r="EKC107" s="395"/>
      <c r="EKD107" s="395"/>
      <c r="EKE107" s="395"/>
      <c r="EKF107" s="396"/>
      <c r="EKG107" s="394"/>
      <c r="EKH107" s="395"/>
      <c r="EKI107" s="395"/>
      <c r="EKJ107" s="395"/>
      <c r="EKK107" s="395"/>
      <c r="EKL107" s="395"/>
      <c r="EKM107" s="395"/>
      <c r="EKN107" s="395"/>
      <c r="EKO107" s="395"/>
      <c r="EKP107" s="395"/>
      <c r="EKQ107" s="395"/>
      <c r="EKR107" s="395"/>
      <c r="EKS107" s="395"/>
      <c r="EKT107" s="395"/>
      <c r="EKU107" s="395"/>
      <c r="EKV107" s="395"/>
      <c r="EKW107" s="395"/>
      <c r="EKX107" s="395"/>
      <c r="EKY107" s="395"/>
      <c r="EKZ107" s="395"/>
      <c r="ELA107" s="395"/>
      <c r="ELB107" s="395"/>
      <c r="ELC107" s="395"/>
      <c r="ELD107" s="395"/>
      <c r="ELE107" s="395"/>
      <c r="ELF107" s="395"/>
      <c r="ELG107" s="396"/>
      <c r="ELH107" s="394"/>
      <c r="ELI107" s="395"/>
      <c r="ELJ107" s="395"/>
      <c r="ELK107" s="395"/>
      <c r="ELL107" s="395"/>
      <c r="ELM107" s="395"/>
      <c r="ELN107" s="395"/>
      <c r="ELO107" s="395"/>
      <c r="ELP107" s="395"/>
      <c r="ELQ107" s="395"/>
      <c r="ELR107" s="395"/>
      <c r="ELS107" s="395"/>
      <c r="ELT107" s="395"/>
      <c r="ELU107" s="395"/>
      <c r="ELV107" s="395"/>
      <c r="ELW107" s="395"/>
      <c r="ELX107" s="395"/>
      <c r="ELY107" s="395"/>
      <c r="ELZ107" s="395"/>
      <c r="EMA107" s="395"/>
      <c r="EMB107" s="395"/>
      <c r="EMC107" s="395"/>
      <c r="EMD107" s="395"/>
      <c r="EME107" s="395"/>
      <c r="EMF107" s="395"/>
      <c r="EMG107" s="395"/>
      <c r="EMH107" s="396"/>
      <c r="EMI107" s="394"/>
      <c r="EMJ107" s="395"/>
      <c r="EMK107" s="395"/>
      <c r="EML107" s="395"/>
      <c r="EMM107" s="395"/>
      <c r="EMN107" s="395"/>
      <c r="EMO107" s="395"/>
      <c r="EMP107" s="395"/>
      <c r="EMQ107" s="395"/>
      <c r="EMR107" s="395"/>
      <c r="EMS107" s="395"/>
      <c r="EMT107" s="395"/>
      <c r="EMU107" s="395"/>
      <c r="EMV107" s="395"/>
      <c r="EMW107" s="395"/>
      <c r="EMX107" s="395"/>
      <c r="EMY107" s="395"/>
      <c r="EMZ107" s="395"/>
      <c r="ENA107" s="395"/>
      <c r="ENB107" s="395"/>
      <c r="ENC107" s="395"/>
      <c r="END107" s="395"/>
      <c r="ENE107" s="395"/>
      <c r="ENF107" s="395"/>
      <c r="ENG107" s="395"/>
      <c r="ENH107" s="395"/>
      <c r="ENI107" s="396"/>
      <c r="ENJ107" s="394"/>
      <c r="ENK107" s="395"/>
      <c r="ENL107" s="395"/>
      <c r="ENM107" s="395"/>
      <c r="ENN107" s="395"/>
      <c r="ENO107" s="395"/>
      <c r="ENP107" s="395"/>
      <c r="ENQ107" s="395"/>
      <c r="ENR107" s="395"/>
      <c r="ENS107" s="395"/>
      <c r="ENT107" s="395"/>
      <c r="ENU107" s="395"/>
      <c r="ENV107" s="395"/>
      <c r="ENW107" s="395"/>
      <c r="ENX107" s="395"/>
      <c r="ENY107" s="395"/>
      <c r="ENZ107" s="395"/>
      <c r="EOA107" s="395"/>
      <c r="EOB107" s="395"/>
      <c r="EOC107" s="395"/>
      <c r="EOD107" s="395"/>
      <c r="EOE107" s="395"/>
      <c r="EOF107" s="395"/>
      <c r="EOG107" s="395"/>
      <c r="EOH107" s="395"/>
      <c r="EOI107" s="395"/>
      <c r="EOJ107" s="396"/>
      <c r="EOK107" s="394"/>
      <c r="EOL107" s="395"/>
      <c r="EOM107" s="395"/>
      <c r="EON107" s="395"/>
      <c r="EOO107" s="395"/>
      <c r="EOP107" s="395"/>
      <c r="EOQ107" s="395"/>
      <c r="EOR107" s="395"/>
      <c r="EOS107" s="395"/>
      <c r="EOT107" s="395"/>
      <c r="EOU107" s="395"/>
      <c r="EOV107" s="395"/>
      <c r="EOW107" s="395"/>
      <c r="EOX107" s="395"/>
      <c r="EOY107" s="395"/>
      <c r="EOZ107" s="395"/>
      <c r="EPA107" s="395"/>
      <c r="EPB107" s="395"/>
      <c r="EPC107" s="395"/>
      <c r="EPD107" s="395"/>
      <c r="EPE107" s="395"/>
      <c r="EPF107" s="395"/>
      <c r="EPG107" s="395"/>
      <c r="EPH107" s="395"/>
      <c r="EPI107" s="395"/>
      <c r="EPJ107" s="395"/>
      <c r="EPK107" s="396"/>
      <c r="EPL107" s="394"/>
      <c r="EPM107" s="395"/>
      <c r="EPN107" s="395"/>
      <c r="EPO107" s="395"/>
      <c r="EPP107" s="395"/>
      <c r="EPQ107" s="395"/>
      <c r="EPR107" s="395"/>
      <c r="EPS107" s="395"/>
      <c r="EPT107" s="395"/>
      <c r="EPU107" s="395"/>
      <c r="EPV107" s="395"/>
      <c r="EPW107" s="395"/>
      <c r="EPX107" s="395"/>
      <c r="EPY107" s="395"/>
      <c r="EPZ107" s="395"/>
      <c r="EQA107" s="395"/>
      <c r="EQB107" s="395"/>
      <c r="EQC107" s="395"/>
      <c r="EQD107" s="395"/>
      <c r="EQE107" s="395"/>
      <c r="EQF107" s="395"/>
      <c r="EQG107" s="395"/>
      <c r="EQH107" s="395"/>
      <c r="EQI107" s="395"/>
      <c r="EQJ107" s="395"/>
      <c r="EQK107" s="395"/>
      <c r="EQL107" s="396"/>
      <c r="EQM107" s="394"/>
      <c r="EQN107" s="395"/>
      <c r="EQO107" s="395"/>
      <c r="EQP107" s="395"/>
      <c r="EQQ107" s="395"/>
      <c r="EQR107" s="395"/>
      <c r="EQS107" s="395"/>
      <c r="EQT107" s="395"/>
      <c r="EQU107" s="395"/>
      <c r="EQV107" s="395"/>
      <c r="EQW107" s="395"/>
      <c r="EQX107" s="395"/>
      <c r="EQY107" s="395"/>
      <c r="EQZ107" s="395"/>
      <c r="ERA107" s="395"/>
      <c r="ERB107" s="395"/>
      <c r="ERC107" s="395"/>
      <c r="ERD107" s="395"/>
      <c r="ERE107" s="395"/>
      <c r="ERF107" s="395"/>
      <c r="ERG107" s="395"/>
      <c r="ERH107" s="395"/>
      <c r="ERI107" s="395"/>
      <c r="ERJ107" s="395"/>
      <c r="ERK107" s="395"/>
      <c r="ERL107" s="395"/>
      <c r="ERM107" s="396"/>
      <c r="ERN107" s="394"/>
      <c r="ERO107" s="395"/>
      <c r="ERP107" s="395"/>
      <c r="ERQ107" s="395"/>
      <c r="ERR107" s="395"/>
      <c r="ERS107" s="395"/>
      <c r="ERT107" s="395"/>
      <c r="ERU107" s="395"/>
      <c r="ERV107" s="395"/>
      <c r="ERW107" s="395"/>
      <c r="ERX107" s="395"/>
      <c r="ERY107" s="395"/>
      <c r="ERZ107" s="395"/>
      <c r="ESA107" s="395"/>
      <c r="ESB107" s="395"/>
      <c r="ESC107" s="395"/>
      <c r="ESD107" s="395"/>
      <c r="ESE107" s="395"/>
      <c r="ESF107" s="395"/>
      <c r="ESG107" s="395"/>
      <c r="ESH107" s="395"/>
      <c r="ESI107" s="395"/>
      <c r="ESJ107" s="395"/>
      <c r="ESK107" s="395"/>
      <c r="ESL107" s="395"/>
      <c r="ESM107" s="395"/>
      <c r="ESN107" s="396"/>
      <c r="ESO107" s="394"/>
      <c r="ESP107" s="395"/>
      <c r="ESQ107" s="395"/>
      <c r="ESR107" s="395"/>
      <c r="ESS107" s="395"/>
      <c r="EST107" s="395"/>
      <c r="ESU107" s="395"/>
      <c r="ESV107" s="395"/>
      <c r="ESW107" s="395"/>
      <c r="ESX107" s="395"/>
      <c r="ESY107" s="395"/>
      <c r="ESZ107" s="395"/>
      <c r="ETA107" s="395"/>
      <c r="ETB107" s="395"/>
      <c r="ETC107" s="395"/>
      <c r="ETD107" s="395"/>
      <c r="ETE107" s="395"/>
      <c r="ETF107" s="395"/>
      <c r="ETG107" s="395"/>
      <c r="ETH107" s="395"/>
      <c r="ETI107" s="395"/>
      <c r="ETJ107" s="395"/>
      <c r="ETK107" s="395"/>
      <c r="ETL107" s="395"/>
      <c r="ETM107" s="395"/>
      <c r="ETN107" s="395"/>
      <c r="ETO107" s="396"/>
      <c r="ETP107" s="394"/>
      <c r="ETQ107" s="395"/>
      <c r="ETR107" s="395"/>
      <c r="ETS107" s="395"/>
      <c r="ETT107" s="395"/>
      <c r="ETU107" s="395"/>
      <c r="ETV107" s="395"/>
      <c r="ETW107" s="395"/>
      <c r="ETX107" s="395"/>
      <c r="ETY107" s="395"/>
      <c r="ETZ107" s="395"/>
      <c r="EUA107" s="395"/>
      <c r="EUB107" s="395"/>
      <c r="EUC107" s="395"/>
      <c r="EUD107" s="395"/>
      <c r="EUE107" s="395"/>
      <c r="EUF107" s="395"/>
      <c r="EUG107" s="395"/>
      <c r="EUH107" s="395"/>
      <c r="EUI107" s="395"/>
      <c r="EUJ107" s="395"/>
      <c r="EUK107" s="395"/>
      <c r="EUL107" s="395"/>
      <c r="EUM107" s="395"/>
      <c r="EUN107" s="395"/>
      <c r="EUO107" s="395"/>
      <c r="EUP107" s="396"/>
      <c r="EUQ107" s="394"/>
      <c r="EUR107" s="395"/>
      <c r="EUS107" s="395"/>
      <c r="EUT107" s="395"/>
      <c r="EUU107" s="395"/>
      <c r="EUV107" s="395"/>
      <c r="EUW107" s="395"/>
      <c r="EUX107" s="395"/>
      <c r="EUY107" s="395"/>
      <c r="EUZ107" s="395"/>
      <c r="EVA107" s="395"/>
      <c r="EVB107" s="395"/>
      <c r="EVC107" s="395"/>
      <c r="EVD107" s="395"/>
      <c r="EVE107" s="395"/>
      <c r="EVF107" s="395"/>
      <c r="EVG107" s="395"/>
      <c r="EVH107" s="395"/>
      <c r="EVI107" s="395"/>
      <c r="EVJ107" s="395"/>
      <c r="EVK107" s="395"/>
      <c r="EVL107" s="395"/>
      <c r="EVM107" s="395"/>
      <c r="EVN107" s="395"/>
      <c r="EVO107" s="395"/>
      <c r="EVP107" s="395"/>
      <c r="EVQ107" s="396"/>
      <c r="EVR107" s="394"/>
      <c r="EVS107" s="395"/>
      <c r="EVT107" s="395"/>
      <c r="EVU107" s="395"/>
      <c r="EVV107" s="395"/>
      <c r="EVW107" s="395"/>
      <c r="EVX107" s="395"/>
      <c r="EVY107" s="395"/>
      <c r="EVZ107" s="395"/>
      <c r="EWA107" s="395"/>
      <c r="EWB107" s="395"/>
      <c r="EWC107" s="395"/>
      <c r="EWD107" s="395"/>
      <c r="EWE107" s="395"/>
      <c r="EWF107" s="395"/>
      <c r="EWG107" s="395"/>
      <c r="EWH107" s="395"/>
      <c r="EWI107" s="395"/>
      <c r="EWJ107" s="395"/>
      <c r="EWK107" s="395"/>
      <c r="EWL107" s="395"/>
      <c r="EWM107" s="395"/>
      <c r="EWN107" s="395"/>
      <c r="EWO107" s="395"/>
      <c r="EWP107" s="395"/>
      <c r="EWQ107" s="395"/>
      <c r="EWR107" s="396"/>
      <c r="EWS107" s="394"/>
      <c r="EWT107" s="395"/>
      <c r="EWU107" s="395"/>
      <c r="EWV107" s="395"/>
      <c r="EWW107" s="395"/>
      <c r="EWX107" s="395"/>
      <c r="EWY107" s="395"/>
      <c r="EWZ107" s="395"/>
      <c r="EXA107" s="395"/>
      <c r="EXB107" s="395"/>
      <c r="EXC107" s="395"/>
      <c r="EXD107" s="395"/>
      <c r="EXE107" s="395"/>
      <c r="EXF107" s="395"/>
      <c r="EXG107" s="395"/>
      <c r="EXH107" s="395"/>
      <c r="EXI107" s="395"/>
      <c r="EXJ107" s="395"/>
      <c r="EXK107" s="395"/>
      <c r="EXL107" s="395"/>
      <c r="EXM107" s="395"/>
      <c r="EXN107" s="395"/>
      <c r="EXO107" s="395"/>
      <c r="EXP107" s="395"/>
      <c r="EXQ107" s="395"/>
      <c r="EXR107" s="395"/>
      <c r="EXS107" s="396"/>
      <c r="EXT107" s="394"/>
      <c r="EXU107" s="395"/>
      <c r="EXV107" s="395"/>
      <c r="EXW107" s="395"/>
      <c r="EXX107" s="395"/>
      <c r="EXY107" s="395"/>
      <c r="EXZ107" s="395"/>
      <c r="EYA107" s="395"/>
      <c r="EYB107" s="395"/>
      <c r="EYC107" s="395"/>
      <c r="EYD107" s="395"/>
      <c r="EYE107" s="395"/>
      <c r="EYF107" s="395"/>
      <c r="EYG107" s="395"/>
      <c r="EYH107" s="395"/>
      <c r="EYI107" s="395"/>
      <c r="EYJ107" s="395"/>
      <c r="EYK107" s="395"/>
      <c r="EYL107" s="395"/>
      <c r="EYM107" s="395"/>
      <c r="EYN107" s="395"/>
      <c r="EYO107" s="395"/>
      <c r="EYP107" s="395"/>
      <c r="EYQ107" s="395"/>
      <c r="EYR107" s="395"/>
      <c r="EYS107" s="395"/>
      <c r="EYT107" s="396"/>
      <c r="EYU107" s="394"/>
      <c r="EYV107" s="395"/>
      <c r="EYW107" s="395"/>
      <c r="EYX107" s="395"/>
      <c r="EYY107" s="395"/>
      <c r="EYZ107" s="395"/>
      <c r="EZA107" s="395"/>
      <c r="EZB107" s="395"/>
      <c r="EZC107" s="395"/>
      <c r="EZD107" s="395"/>
      <c r="EZE107" s="395"/>
      <c r="EZF107" s="395"/>
      <c r="EZG107" s="395"/>
      <c r="EZH107" s="395"/>
      <c r="EZI107" s="395"/>
      <c r="EZJ107" s="395"/>
      <c r="EZK107" s="395"/>
      <c r="EZL107" s="395"/>
      <c r="EZM107" s="395"/>
      <c r="EZN107" s="395"/>
      <c r="EZO107" s="395"/>
      <c r="EZP107" s="395"/>
      <c r="EZQ107" s="395"/>
      <c r="EZR107" s="395"/>
      <c r="EZS107" s="395"/>
      <c r="EZT107" s="395"/>
      <c r="EZU107" s="396"/>
      <c r="EZV107" s="394"/>
      <c r="EZW107" s="395"/>
      <c r="EZX107" s="395"/>
      <c r="EZY107" s="395"/>
      <c r="EZZ107" s="395"/>
      <c r="FAA107" s="395"/>
      <c r="FAB107" s="395"/>
      <c r="FAC107" s="395"/>
      <c r="FAD107" s="395"/>
      <c r="FAE107" s="395"/>
      <c r="FAF107" s="395"/>
      <c r="FAG107" s="395"/>
      <c r="FAH107" s="395"/>
      <c r="FAI107" s="395"/>
      <c r="FAJ107" s="395"/>
      <c r="FAK107" s="395"/>
      <c r="FAL107" s="395"/>
      <c r="FAM107" s="395"/>
      <c r="FAN107" s="395"/>
      <c r="FAO107" s="395"/>
      <c r="FAP107" s="395"/>
      <c r="FAQ107" s="395"/>
      <c r="FAR107" s="395"/>
      <c r="FAS107" s="395"/>
      <c r="FAT107" s="395"/>
      <c r="FAU107" s="395"/>
      <c r="FAV107" s="396"/>
      <c r="FAW107" s="394"/>
      <c r="FAX107" s="395"/>
      <c r="FAY107" s="395"/>
      <c r="FAZ107" s="395"/>
      <c r="FBA107" s="395"/>
      <c r="FBB107" s="395"/>
      <c r="FBC107" s="395"/>
      <c r="FBD107" s="395"/>
      <c r="FBE107" s="395"/>
      <c r="FBF107" s="395"/>
      <c r="FBG107" s="395"/>
      <c r="FBH107" s="395"/>
      <c r="FBI107" s="395"/>
      <c r="FBJ107" s="395"/>
      <c r="FBK107" s="395"/>
      <c r="FBL107" s="395"/>
      <c r="FBM107" s="395"/>
      <c r="FBN107" s="395"/>
      <c r="FBO107" s="395"/>
      <c r="FBP107" s="395"/>
      <c r="FBQ107" s="395"/>
      <c r="FBR107" s="395"/>
      <c r="FBS107" s="395"/>
      <c r="FBT107" s="395"/>
      <c r="FBU107" s="395"/>
      <c r="FBV107" s="395"/>
      <c r="FBW107" s="396"/>
      <c r="FBX107" s="394"/>
      <c r="FBY107" s="395"/>
      <c r="FBZ107" s="395"/>
      <c r="FCA107" s="395"/>
      <c r="FCB107" s="395"/>
      <c r="FCC107" s="395"/>
      <c r="FCD107" s="395"/>
      <c r="FCE107" s="395"/>
      <c r="FCF107" s="395"/>
      <c r="FCG107" s="395"/>
      <c r="FCH107" s="395"/>
      <c r="FCI107" s="395"/>
      <c r="FCJ107" s="395"/>
      <c r="FCK107" s="395"/>
      <c r="FCL107" s="395"/>
      <c r="FCM107" s="395"/>
      <c r="FCN107" s="395"/>
      <c r="FCO107" s="395"/>
      <c r="FCP107" s="395"/>
      <c r="FCQ107" s="395"/>
      <c r="FCR107" s="395"/>
      <c r="FCS107" s="395"/>
      <c r="FCT107" s="395"/>
      <c r="FCU107" s="395"/>
      <c r="FCV107" s="395"/>
      <c r="FCW107" s="395"/>
      <c r="FCX107" s="396"/>
      <c r="FCY107" s="394"/>
      <c r="FCZ107" s="395"/>
      <c r="FDA107" s="395"/>
      <c r="FDB107" s="395"/>
      <c r="FDC107" s="395"/>
      <c r="FDD107" s="395"/>
      <c r="FDE107" s="395"/>
      <c r="FDF107" s="395"/>
      <c r="FDG107" s="395"/>
      <c r="FDH107" s="395"/>
      <c r="FDI107" s="395"/>
      <c r="FDJ107" s="395"/>
      <c r="FDK107" s="395"/>
      <c r="FDL107" s="395"/>
      <c r="FDM107" s="395"/>
      <c r="FDN107" s="395"/>
      <c r="FDO107" s="395"/>
      <c r="FDP107" s="395"/>
      <c r="FDQ107" s="395"/>
      <c r="FDR107" s="395"/>
      <c r="FDS107" s="395"/>
      <c r="FDT107" s="395"/>
      <c r="FDU107" s="395"/>
      <c r="FDV107" s="395"/>
      <c r="FDW107" s="395"/>
      <c r="FDX107" s="395"/>
      <c r="FDY107" s="396"/>
      <c r="FDZ107" s="394"/>
      <c r="FEA107" s="395"/>
      <c r="FEB107" s="395"/>
      <c r="FEC107" s="395"/>
      <c r="FED107" s="395"/>
      <c r="FEE107" s="395"/>
      <c r="FEF107" s="395"/>
      <c r="FEG107" s="395"/>
      <c r="FEH107" s="395"/>
      <c r="FEI107" s="395"/>
      <c r="FEJ107" s="395"/>
      <c r="FEK107" s="395"/>
      <c r="FEL107" s="395"/>
      <c r="FEM107" s="395"/>
      <c r="FEN107" s="395"/>
      <c r="FEO107" s="395"/>
      <c r="FEP107" s="395"/>
      <c r="FEQ107" s="395"/>
      <c r="FER107" s="395"/>
      <c r="FES107" s="395"/>
      <c r="FET107" s="395"/>
      <c r="FEU107" s="395"/>
      <c r="FEV107" s="395"/>
      <c r="FEW107" s="395"/>
      <c r="FEX107" s="395"/>
      <c r="FEY107" s="395"/>
      <c r="FEZ107" s="396"/>
      <c r="FFA107" s="394"/>
      <c r="FFB107" s="395"/>
      <c r="FFC107" s="395"/>
      <c r="FFD107" s="395"/>
      <c r="FFE107" s="395"/>
      <c r="FFF107" s="395"/>
      <c r="FFG107" s="395"/>
      <c r="FFH107" s="395"/>
      <c r="FFI107" s="395"/>
      <c r="FFJ107" s="395"/>
      <c r="FFK107" s="395"/>
      <c r="FFL107" s="395"/>
      <c r="FFM107" s="395"/>
      <c r="FFN107" s="395"/>
      <c r="FFO107" s="395"/>
      <c r="FFP107" s="395"/>
      <c r="FFQ107" s="395"/>
      <c r="FFR107" s="395"/>
      <c r="FFS107" s="395"/>
      <c r="FFT107" s="395"/>
      <c r="FFU107" s="395"/>
      <c r="FFV107" s="395"/>
      <c r="FFW107" s="395"/>
      <c r="FFX107" s="395"/>
      <c r="FFY107" s="395"/>
      <c r="FFZ107" s="395"/>
      <c r="FGA107" s="396"/>
      <c r="FGB107" s="394"/>
      <c r="FGC107" s="395"/>
      <c r="FGD107" s="395"/>
      <c r="FGE107" s="395"/>
      <c r="FGF107" s="395"/>
      <c r="FGG107" s="395"/>
      <c r="FGH107" s="395"/>
      <c r="FGI107" s="395"/>
      <c r="FGJ107" s="395"/>
      <c r="FGK107" s="395"/>
      <c r="FGL107" s="395"/>
      <c r="FGM107" s="395"/>
      <c r="FGN107" s="395"/>
      <c r="FGO107" s="395"/>
      <c r="FGP107" s="395"/>
      <c r="FGQ107" s="395"/>
      <c r="FGR107" s="395"/>
      <c r="FGS107" s="395"/>
      <c r="FGT107" s="395"/>
      <c r="FGU107" s="395"/>
      <c r="FGV107" s="395"/>
      <c r="FGW107" s="395"/>
      <c r="FGX107" s="395"/>
      <c r="FGY107" s="395"/>
      <c r="FGZ107" s="395"/>
      <c r="FHA107" s="395"/>
      <c r="FHB107" s="396"/>
      <c r="FHC107" s="394"/>
      <c r="FHD107" s="395"/>
      <c r="FHE107" s="395"/>
      <c r="FHF107" s="395"/>
      <c r="FHG107" s="395"/>
      <c r="FHH107" s="395"/>
      <c r="FHI107" s="395"/>
      <c r="FHJ107" s="395"/>
      <c r="FHK107" s="395"/>
      <c r="FHL107" s="395"/>
      <c r="FHM107" s="395"/>
      <c r="FHN107" s="395"/>
      <c r="FHO107" s="395"/>
      <c r="FHP107" s="395"/>
      <c r="FHQ107" s="395"/>
      <c r="FHR107" s="395"/>
      <c r="FHS107" s="395"/>
      <c r="FHT107" s="395"/>
      <c r="FHU107" s="395"/>
      <c r="FHV107" s="395"/>
      <c r="FHW107" s="395"/>
      <c r="FHX107" s="395"/>
      <c r="FHY107" s="395"/>
      <c r="FHZ107" s="395"/>
      <c r="FIA107" s="395"/>
      <c r="FIB107" s="395"/>
      <c r="FIC107" s="396"/>
      <c r="FID107" s="394"/>
      <c r="FIE107" s="395"/>
      <c r="FIF107" s="395"/>
      <c r="FIG107" s="395"/>
      <c r="FIH107" s="395"/>
      <c r="FII107" s="395"/>
      <c r="FIJ107" s="395"/>
      <c r="FIK107" s="395"/>
      <c r="FIL107" s="395"/>
      <c r="FIM107" s="395"/>
      <c r="FIN107" s="395"/>
      <c r="FIO107" s="395"/>
      <c r="FIP107" s="395"/>
      <c r="FIQ107" s="395"/>
      <c r="FIR107" s="395"/>
      <c r="FIS107" s="395"/>
      <c r="FIT107" s="395"/>
      <c r="FIU107" s="395"/>
      <c r="FIV107" s="395"/>
      <c r="FIW107" s="395"/>
      <c r="FIX107" s="395"/>
      <c r="FIY107" s="395"/>
      <c r="FIZ107" s="395"/>
      <c r="FJA107" s="395"/>
      <c r="FJB107" s="395"/>
      <c r="FJC107" s="395"/>
      <c r="FJD107" s="396"/>
      <c r="FJE107" s="394"/>
      <c r="FJF107" s="395"/>
      <c r="FJG107" s="395"/>
      <c r="FJH107" s="395"/>
      <c r="FJI107" s="395"/>
      <c r="FJJ107" s="395"/>
      <c r="FJK107" s="395"/>
      <c r="FJL107" s="395"/>
      <c r="FJM107" s="395"/>
      <c r="FJN107" s="395"/>
      <c r="FJO107" s="395"/>
      <c r="FJP107" s="395"/>
      <c r="FJQ107" s="395"/>
      <c r="FJR107" s="395"/>
      <c r="FJS107" s="395"/>
      <c r="FJT107" s="395"/>
      <c r="FJU107" s="395"/>
      <c r="FJV107" s="395"/>
      <c r="FJW107" s="395"/>
      <c r="FJX107" s="395"/>
      <c r="FJY107" s="395"/>
      <c r="FJZ107" s="395"/>
      <c r="FKA107" s="395"/>
      <c r="FKB107" s="395"/>
      <c r="FKC107" s="395"/>
      <c r="FKD107" s="395"/>
      <c r="FKE107" s="396"/>
      <c r="FKF107" s="394"/>
      <c r="FKG107" s="395"/>
      <c r="FKH107" s="395"/>
      <c r="FKI107" s="395"/>
      <c r="FKJ107" s="395"/>
      <c r="FKK107" s="395"/>
      <c r="FKL107" s="395"/>
      <c r="FKM107" s="395"/>
      <c r="FKN107" s="395"/>
      <c r="FKO107" s="395"/>
      <c r="FKP107" s="395"/>
      <c r="FKQ107" s="395"/>
      <c r="FKR107" s="395"/>
      <c r="FKS107" s="395"/>
      <c r="FKT107" s="395"/>
      <c r="FKU107" s="395"/>
      <c r="FKV107" s="395"/>
      <c r="FKW107" s="395"/>
      <c r="FKX107" s="395"/>
      <c r="FKY107" s="395"/>
      <c r="FKZ107" s="395"/>
      <c r="FLA107" s="395"/>
      <c r="FLB107" s="395"/>
      <c r="FLC107" s="395"/>
      <c r="FLD107" s="395"/>
      <c r="FLE107" s="395"/>
      <c r="FLF107" s="396"/>
      <c r="FLG107" s="394"/>
      <c r="FLH107" s="395"/>
      <c r="FLI107" s="395"/>
      <c r="FLJ107" s="395"/>
      <c r="FLK107" s="395"/>
      <c r="FLL107" s="395"/>
      <c r="FLM107" s="395"/>
      <c r="FLN107" s="395"/>
      <c r="FLO107" s="395"/>
      <c r="FLP107" s="395"/>
      <c r="FLQ107" s="395"/>
      <c r="FLR107" s="395"/>
      <c r="FLS107" s="395"/>
      <c r="FLT107" s="395"/>
      <c r="FLU107" s="395"/>
      <c r="FLV107" s="395"/>
      <c r="FLW107" s="395"/>
      <c r="FLX107" s="395"/>
      <c r="FLY107" s="395"/>
      <c r="FLZ107" s="395"/>
      <c r="FMA107" s="395"/>
      <c r="FMB107" s="395"/>
      <c r="FMC107" s="395"/>
      <c r="FMD107" s="395"/>
      <c r="FME107" s="395"/>
      <c r="FMF107" s="395"/>
      <c r="FMG107" s="396"/>
      <c r="FMH107" s="394"/>
      <c r="FMI107" s="395"/>
      <c r="FMJ107" s="395"/>
      <c r="FMK107" s="395"/>
      <c r="FML107" s="395"/>
      <c r="FMM107" s="395"/>
      <c r="FMN107" s="395"/>
      <c r="FMO107" s="395"/>
      <c r="FMP107" s="395"/>
      <c r="FMQ107" s="395"/>
      <c r="FMR107" s="395"/>
      <c r="FMS107" s="395"/>
      <c r="FMT107" s="395"/>
      <c r="FMU107" s="395"/>
      <c r="FMV107" s="395"/>
      <c r="FMW107" s="395"/>
      <c r="FMX107" s="395"/>
      <c r="FMY107" s="395"/>
      <c r="FMZ107" s="395"/>
      <c r="FNA107" s="395"/>
      <c r="FNB107" s="395"/>
      <c r="FNC107" s="395"/>
      <c r="FND107" s="395"/>
      <c r="FNE107" s="395"/>
      <c r="FNF107" s="395"/>
      <c r="FNG107" s="395"/>
      <c r="FNH107" s="396"/>
      <c r="FNI107" s="394"/>
      <c r="FNJ107" s="395"/>
      <c r="FNK107" s="395"/>
      <c r="FNL107" s="395"/>
      <c r="FNM107" s="395"/>
      <c r="FNN107" s="395"/>
      <c r="FNO107" s="395"/>
      <c r="FNP107" s="395"/>
      <c r="FNQ107" s="395"/>
      <c r="FNR107" s="395"/>
      <c r="FNS107" s="395"/>
      <c r="FNT107" s="395"/>
      <c r="FNU107" s="395"/>
      <c r="FNV107" s="395"/>
      <c r="FNW107" s="395"/>
      <c r="FNX107" s="395"/>
      <c r="FNY107" s="395"/>
      <c r="FNZ107" s="395"/>
      <c r="FOA107" s="395"/>
      <c r="FOB107" s="395"/>
      <c r="FOC107" s="395"/>
      <c r="FOD107" s="395"/>
      <c r="FOE107" s="395"/>
      <c r="FOF107" s="395"/>
      <c r="FOG107" s="395"/>
      <c r="FOH107" s="395"/>
      <c r="FOI107" s="396"/>
      <c r="FOJ107" s="394"/>
      <c r="FOK107" s="395"/>
      <c r="FOL107" s="395"/>
      <c r="FOM107" s="395"/>
      <c r="FON107" s="395"/>
      <c r="FOO107" s="395"/>
      <c r="FOP107" s="395"/>
      <c r="FOQ107" s="395"/>
      <c r="FOR107" s="395"/>
      <c r="FOS107" s="395"/>
      <c r="FOT107" s="395"/>
      <c r="FOU107" s="395"/>
      <c r="FOV107" s="395"/>
      <c r="FOW107" s="395"/>
      <c r="FOX107" s="395"/>
      <c r="FOY107" s="395"/>
      <c r="FOZ107" s="395"/>
      <c r="FPA107" s="395"/>
      <c r="FPB107" s="395"/>
      <c r="FPC107" s="395"/>
      <c r="FPD107" s="395"/>
      <c r="FPE107" s="395"/>
      <c r="FPF107" s="395"/>
      <c r="FPG107" s="395"/>
      <c r="FPH107" s="395"/>
      <c r="FPI107" s="395"/>
      <c r="FPJ107" s="396"/>
      <c r="FPK107" s="394"/>
      <c r="FPL107" s="395"/>
      <c r="FPM107" s="395"/>
      <c r="FPN107" s="395"/>
      <c r="FPO107" s="395"/>
      <c r="FPP107" s="395"/>
      <c r="FPQ107" s="395"/>
      <c r="FPR107" s="395"/>
      <c r="FPS107" s="395"/>
      <c r="FPT107" s="395"/>
      <c r="FPU107" s="395"/>
      <c r="FPV107" s="395"/>
      <c r="FPW107" s="395"/>
      <c r="FPX107" s="395"/>
      <c r="FPY107" s="395"/>
      <c r="FPZ107" s="395"/>
      <c r="FQA107" s="395"/>
      <c r="FQB107" s="395"/>
      <c r="FQC107" s="395"/>
      <c r="FQD107" s="395"/>
      <c r="FQE107" s="395"/>
      <c r="FQF107" s="395"/>
      <c r="FQG107" s="395"/>
      <c r="FQH107" s="395"/>
      <c r="FQI107" s="395"/>
      <c r="FQJ107" s="395"/>
      <c r="FQK107" s="396"/>
      <c r="FQL107" s="394"/>
      <c r="FQM107" s="395"/>
      <c r="FQN107" s="395"/>
      <c r="FQO107" s="395"/>
      <c r="FQP107" s="395"/>
      <c r="FQQ107" s="395"/>
      <c r="FQR107" s="395"/>
      <c r="FQS107" s="395"/>
      <c r="FQT107" s="395"/>
      <c r="FQU107" s="395"/>
      <c r="FQV107" s="395"/>
      <c r="FQW107" s="395"/>
      <c r="FQX107" s="395"/>
      <c r="FQY107" s="395"/>
      <c r="FQZ107" s="395"/>
      <c r="FRA107" s="395"/>
      <c r="FRB107" s="395"/>
      <c r="FRC107" s="395"/>
      <c r="FRD107" s="395"/>
      <c r="FRE107" s="395"/>
      <c r="FRF107" s="395"/>
      <c r="FRG107" s="395"/>
      <c r="FRH107" s="395"/>
      <c r="FRI107" s="395"/>
      <c r="FRJ107" s="395"/>
      <c r="FRK107" s="395"/>
      <c r="FRL107" s="396"/>
      <c r="FRM107" s="394"/>
      <c r="FRN107" s="395"/>
      <c r="FRO107" s="395"/>
      <c r="FRP107" s="395"/>
      <c r="FRQ107" s="395"/>
      <c r="FRR107" s="395"/>
      <c r="FRS107" s="395"/>
      <c r="FRT107" s="395"/>
      <c r="FRU107" s="395"/>
      <c r="FRV107" s="395"/>
      <c r="FRW107" s="395"/>
      <c r="FRX107" s="395"/>
      <c r="FRY107" s="395"/>
      <c r="FRZ107" s="395"/>
      <c r="FSA107" s="395"/>
      <c r="FSB107" s="395"/>
      <c r="FSC107" s="395"/>
      <c r="FSD107" s="395"/>
      <c r="FSE107" s="395"/>
      <c r="FSF107" s="395"/>
      <c r="FSG107" s="395"/>
      <c r="FSH107" s="395"/>
      <c r="FSI107" s="395"/>
      <c r="FSJ107" s="395"/>
      <c r="FSK107" s="395"/>
      <c r="FSL107" s="395"/>
      <c r="FSM107" s="396"/>
      <c r="FSN107" s="394"/>
      <c r="FSO107" s="395"/>
      <c r="FSP107" s="395"/>
      <c r="FSQ107" s="395"/>
      <c r="FSR107" s="395"/>
      <c r="FSS107" s="395"/>
      <c r="FST107" s="395"/>
      <c r="FSU107" s="395"/>
      <c r="FSV107" s="395"/>
      <c r="FSW107" s="395"/>
      <c r="FSX107" s="395"/>
      <c r="FSY107" s="395"/>
      <c r="FSZ107" s="395"/>
      <c r="FTA107" s="395"/>
      <c r="FTB107" s="395"/>
      <c r="FTC107" s="395"/>
      <c r="FTD107" s="395"/>
      <c r="FTE107" s="395"/>
      <c r="FTF107" s="395"/>
      <c r="FTG107" s="395"/>
      <c r="FTH107" s="395"/>
      <c r="FTI107" s="395"/>
      <c r="FTJ107" s="395"/>
      <c r="FTK107" s="395"/>
      <c r="FTL107" s="395"/>
      <c r="FTM107" s="395"/>
      <c r="FTN107" s="396"/>
      <c r="FTO107" s="394"/>
      <c r="FTP107" s="395"/>
      <c r="FTQ107" s="395"/>
      <c r="FTR107" s="395"/>
      <c r="FTS107" s="395"/>
      <c r="FTT107" s="395"/>
      <c r="FTU107" s="395"/>
      <c r="FTV107" s="395"/>
      <c r="FTW107" s="395"/>
      <c r="FTX107" s="395"/>
      <c r="FTY107" s="395"/>
      <c r="FTZ107" s="395"/>
      <c r="FUA107" s="395"/>
      <c r="FUB107" s="395"/>
      <c r="FUC107" s="395"/>
      <c r="FUD107" s="395"/>
      <c r="FUE107" s="395"/>
      <c r="FUF107" s="395"/>
      <c r="FUG107" s="395"/>
      <c r="FUH107" s="395"/>
      <c r="FUI107" s="395"/>
      <c r="FUJ107" s="395"/>
      <c r="FUK107" s="395"/>
      <c r="FUL107" s="395"/>
      <c r="FUM107" s="395"/>
      <c r="FUN107" s="395"/>
      <c r="FUO107" s="396"/>
      <c r="FUP107" s="394"/>
      <c r="FUQ107" s="395"/>
      <c r="FUR107" s="395"/>
      <c r="FUS107" s="395"/>
      <c r="FUT107" s="395"/>
      <c r="FUU107" s="395"/>
      <c r="FUV107" s="395"/>
      <c r="FUW107" s="395"/>
      <c r="FUX107" s="395"/>
      <c r="FUY107" s="395"/>
      <c r="FUZ107" s="395"/>
      <c r="FVA107" s="395"/>
      <c r="FVB107" s="395"/>
      <c r="FVC107" s="395"/>
      <c r="FVD107" s="395"/>
      <c r="FVE107" s="395"/>
      <c r="FVF107" s="395"/>
      <c r="FVG107" s="395"/>
      <c r="FVH107" s="395"/>
      <c r="FVI107" s="395"/>
      <c r="FVJ107" s="395"/>
      <c r="FVK107" s="395"/>
      <c r="FVL107" s="395"/>
      <c r="FVM107" s="395"/>
      <c r="FVN107" s="395"/>
      <c r="FVO107" s="395"/>
      <c r="FVP107" s="396"/>
      <c r="FVQ107" s="394"/>
      <c r="FVR107" s="395"/>
      <c r="FVS107" s="395"/>
      <c r="FVT107" s="395"/>
      <c r="FVU107" s="395"/>
      <c r="FVV107" s="395"/>
      <c r="FVW107" s="395"/>
      <c r="FVX107" s="395"/>
      <c r="FVY107" s="395"/>
      <c r="FVZ107" s="395"/>
      <c r="FWA107" s="395"/>
      <c r="FWB107" s="395"/>
      <c r="FWC107" s="395"/>
      <c r="FWD107" s="395"/>
      <c r="FWE107" s="395"/>
      <c r="FWF107" s="395"/>
      <c r="FWG107" s="395"/>
      <c r="FWH107" s="395"/>
      <c r="FWI107" s="395"/>
      <c r="FWJ107" s="395"/>
      <c r="FWK107" s="395"/>
      <c r="FWL107" s="395"/>
      <c r="FWM107" s="395"/>
      <c r="FWN107" s="395"/>
      <c r="FWO107" s="395"/>
      <c r="FWP107" s="395"/>
      <c r="FWQ107" s="396"/>
      <c r="FWR107" s="394"/>
      <c r="FWS107" s="395"/>
      <c r="FWT107" s="395"/>
      <c r="FWU107" s="395"/>
      <c r="FWV107" s="395"/>
      <c r="FWW107" s="395"/>
      <c r="FWX107" s="395"/>
      <c r="FWY107" s="395"/>
      <c r="FWZ107" s="395"/>
      <c r="FXA107" s="395"/>
      <c r="FXB107" s="395"/>
      <c r="FXC107" s="395"/>
      <c r="FXD107" s="395"/>
      <c r="FXE107" s="395"/>
      <c r="FXF107" s="395"/>
      <c r="FXG107" s="395"/>
      <c r="FXH107" s="395"/>
      <c r="FXI107" s="395"/>
      <c r="FXJ107" s="395"/>
      <c r="FXK107" s="395"/>
      <c r="FXL107" s="395"/>
      <c r="FXM107" s="395"/>
      <c r="FXN107" s="395"/>
      <c r="FXO107" s="395"/>
      <c r="FXP107" s="395"/>
      <c r="FXQ107" s="395"/>
      <c r="FXR107" s="396"/>
      <c r="FXS107" s="394"/>
      <c r="FXT107" s="395"/>
      <c r="FXU107" s="395"/>
      <c r="FXV107" s="395"/>
      <c r="FXW107" s="395"/>
      <c r="FXX107" s="395"/>
      <c r="FXY107" s="395"/>
      <c r="FXZ107" s="395"/>
      <c r="FYA107" s="395"/>
      <c r="FYB107" s="395"/>
      <c r="FYC107" s="395"/>
      <c r="FYD107" s="395"/>
      <c r="FYE107" s="395"/>
      <c r="FYF107" s="395"/>
      <c r="FYG107" s="395"/>
      <c r="FYH107" s="395"/>
      <c r="FYI107" s="395"/>
      <c r="FYJ107" s="395"/>
      <c r="FYK107" s="395"/>
      <c r="FYL107" s="395"/>
      <c r="FYM107" s="395"/>
      <c r="FYN107" s="395"/>
      <c r="FYO107" s="395"/>
      <c r="FYP107" s="395"/>
      <c r="FYQ107" s="395"/>
      <c r="FYR107" s="395"/>
      <c r="FYS107" s="396"/>
      <c r="FYT107" s="394"/>
      <c r="FYU107" s="395"/>
      <c r="FYV107" s="395"/>
      <c r="FYW107" s="395"/>
      <c r="FYX107" s="395"/>
      <c r="FYY107" s="395"/>
      <c r="FYZ107" s="395"/>
      <c r="FZA107" s="395"/>
      <c r="FZB107" s="395"/>
      <c r="FZC107" s="395"/>
      <c r="FZD107" s="395"/>
      <c r="FZE107" s="395"/>
      <c r="FZF107" s="395"/>
      <c r="FZG107" s="395"/>
      <c r="FZH107" s="395"/>
      <c r="FZI107" s="395"/>
      <c r="FZJ107" s="395"/>
      <c r="FZK107" s="395"/>
      <c r="FZL107" s="395"/>
      <c r="FZM107" s="395"/>
      <c r="FZN107" s="395"/>
      <c r="FZO107" s="395"/>
      <c r="FZP107" s="395"/>
      <c r="FZQ107" s="395"/>
      <c r="FZR107" s="395"/>
      <c r="FZS107" s="395"/>
      <c r="FZT107" s="396"/>
      <c r="FZU107" s="394"/>
      <c r="FZV107" s="395"/>
      <c r="FZW107" s="395"/>
      <c r="FZX107" s="395"/>
      <c r="FZY107" s="395"/>
      <c r="FZZ107" s="395"/>
      <c r="GAA107" s="395"/>
      <c r="GAB107" s="395"/>
      <c r="GAC107" s="395"/>
      <c r="GAD107" s="395"/>
      <c r="GAE107" s="395"/>
      <c r="GAF107" s="395"/>
      <c r="GAG107" s="395"/>
      <c r="GAH107" s="395"/>
      <c r="GAI107" s="395"/>
      <c r="GAJ107" s="395"/>
      <c r="GAK107" s="395"/>
      <c r="GAL107" s="395"/>
      <c r="GAM107" s="395"/>
      <c r="GAN107" s="395"/>
      <c r="GAO107" s="395"/>
      <c r="GAP107" s="395"/>
      <c r="GAQ107" s="395"/>
      <c r="GAR107" s="395"/>
      <c r="GAS107" s="395"/>
      <c r="GAT107" s="395"/>
      <c r="GAU107" s="396"/>
      <c r="GAV107" s="394"/>
      <c r="GAW107" s="395"/>
      <c r="GAX107" s="395"/>
      <c r="GAY107" s="395"/>
      <c r="GAZ107" s="395"/>
      <c r="GBA107" s="395"/>
      <c r="GBB107" s="395"/>
      <c r="GBC107" s="395"/>
      <c r="GBD107" s="395"/>
      <c r="GBE107" s="395"/>
      <c r="GBF107" s="395"/>
      <c r="GBG107" s="395"/>
      <c r="GBH107" s="395"/>
      <c r="GBI107" s="395"/>
      <c r="GBJ107" s="395"/>
      <c r="GBK107" s="395"/>
      <c r="GBL107" s="395"/>
      <c r="GBM107" s="395"/>
      <c r="GBN107" s="395"/>
      <c r="GBO107" s="395"/>
      <c r="GBP107" s="395"/>
      <c r="GBQ107" s="395"/>
      <c r="GBR107" s="395"/>
      <c r="GBS107" s="395"/>
      <c r="GBT107" s="395"/>
      <c r="GBU107" s="395"/>
      <c r="GBV107" s="396"/>
      <c r="GBW107" s="394"/>
      <c r="GBX107" s="395"/>
      <c r="GBY107" s="395"/>
      <c r="GBZ107" s="395"/>
      <c r="GCA107" s="395"/>
      <c r="GCB107" s="395"/>
      <c r="GCC107" s="395"/>
      <c r="GCD107" s="395"/>
      <c r="GCE107" s="395"/>
      <c r="GCF107" s="395"/>
      <c r="GCG107" s="395"/>
      <c r="GCH107" s="395"/>
      <c r="GCI107" s="395"/>
      <c r="GCJ107" s="395"/>
      <c r="GCK107" s="395"/>
      <c r="GCL107" s="395"/>
      <c r="GCM107" s="395"/>
      <c r="GCN107" s="395"/>
      <c r="GCO107" s="395"/>
      <c r="GCP107" s="395"/>
      <c r="GCQ107" s="395"/>
      <c r="GCR107" s="395"/>
      <c r="GCS107" s="395"/>
      <c r="GCT107" s="395"/>
      <c r="GCU107" s="395"/>
      <c r="GCV107" s="395"/>
      <c r="GCW107" s="396"/>
      <c r="GCX107" s="394"/>
      <c r="GCY107" s="395"/>
      <c r="GCZ107" s="395"/>
      <c r="GDA107" s="395"/>
      <c r="GDB107" s="395"/>
      <c r="GDC107" s="395"/>
      <c r="GDD107" s="395"/>
      <c r="GDE107" s="395"/>
      <c r="GDF107" s="395"/>
      <c r="GDG107" s="395"/>
      <c r="GDH107" s="395"/>
      <c r="GDI107" s="395"/>
      <c r="GDJ107" s="395"/>
      <c r="GDK107" s="395"/>
      <c r="GDL107" s="395"/>
      <c r="GDM107" s="395"/>
      <c r="GDN107" s="395"/>
      <c r="GDO107" s="395"/>
      <c r="GDP107" s="395"/>
      <c r="GDQ107" s="395"/>
      <c r="GDR107" s="395"/>
      <c r="GDS107" s="395"/>
      <c r="GDT107" s="395"/>
      <c r="GDU107" s="395"/>
      <c r="GDV107" s="395"/>
      <c r="GDW107" s="395"/>
      <c r="GDX107" s="396"/>
      <c r="GDY107" s="394"/>
      <c r="GDZ107" s="395"/>
      <c r="GEA107" s="395"/>
      <c r="GEB107" s="395"/>
      <c r="GEC107" s="395"/>
      <c r="GED107" s="395"/>
      <c r="GEE107" s="395"/>
      <c r="GEF107" s="395"/>
      <c r="GEG107" s="395"/>
      <c r="GEH107" s="395"/>
      <c r="GEI107" s="395"/>
      <c r="GEJ107" s="395"/>
      <c r="GEK107" s="395"/>
      <c r="GEL107" s="395"/>
      <c r="GEM107" s="395"/>
      <c r="GEN107" s="395"/>
      <c r="GEO107" s="395"/>
      <c r="GEP107" s="395"/>
      <c r="GEQ107" s="395"/>
      <c r="GER107" s="395"/>
      <c r="GES107" s="395"/>
      <c r="GET107" s="395"/>
      <c r="GEU107" s="395"/>
      <c r="GEV107" s="395"/>
      <c r="GEW107" s="395"/>
      <c r="GEX107" s="395"/>
      <c r="GEY107" s="396"/>
      <c r="GEZ107" s="394"/>
      <c r="GFA107" s="395"/>
      <c r="GFB107" s="395"/>
      <c r="GFC107" s="395"/>
      <c r="GFD107" s="395"/>
      <c r="GFE107" s="395"/>
      <c r="GFF107" s="395"/>
      <c r="GFG107" s="395"/>
      <c r="GFH107" s="395"/>
      <c r="GFI107" s="395"/>
      <c r="GFJ107" s="395"/>
      <c r="GFK107" s="395"/>
      <c r="GFL107" s="395"/>
      <c r="GFM107" s="395"/>
      <c r="GFN107" s="395"/>
      <c r="GFO107" s="395"/>
      <c r="GFP107" s="395"/>
      <c r="GFQ107" s="395"/>
      <c r="GFR107" s="395"/>
      <c r="GFS107" s="395"/>
      <c r="GFT107" s="395"/>
      <c r="GFU107" s="395"/>
      <c r="GFV107" s="395"/>
      <c r="GFW107" s="395"/>
      <c r="GFX107" s="395"/>
      <c r="GFY107" s="395"/>
      <c r="GFZ107" s="396"/>
      <c r="GGA107" s="394"/>
      <c r="GGB107" s="395"/>
      <c r="GGC107" s="395"/>
      <c r="GGD107" s="395"/>
      <c r="GGE107" s="395"/>
      <c r="GGF107" s="395"/>
      <c r="GGG107" s="395"/>
      <c r="GGH107" s="395"/>
      <c r="GGI107" s="395"/>
      <c r="GGJ107" s="395"/>
      <c r="GGK107" s="395"/>
      <c r="GGL107" s="395"/>
      <c r="GGM107" s="395"/>
      <c r="GGN107" s="395"/>
      <c r="GGO107" s="395"/>
      <c r="GGP107" s="395"/>
      <c r="GGQ107" s="395"/>
      <c r="GGR107" s="395"/>
      <c r="GGS107" s="395"/>
      <c r="GGT107" s="395"/>
      <c r="GGU107" s="395"/>
      <c r="GGV107" s="395"/>
      <c r="GGW107" s="395"/>
      <c r="GGX107" s="395"/>
      <c r="GGY107" s="395"/>
      <c r="GGZ107" s="395"/>
      <c r="GHA107" s="396"/>
      <c r="GHB107" s="394"/>
      <c r="GHC107" s="395"/>
      <c r="GHD107" s="395"/>
      <c r="GHE107" s="395"/>
      <c r="GHF107" s="395"/>
      <c r="GHG107" s="395"/>
      <c r="GHH107" s="395"/>
      <c r="GHI107" s="395"/>
      <c r="GHJ107" s="395"/>
      <c r="GHK107" s="395"/>
      <c r="GHL107" s="395"/>
      <c r="GHM107" s="395"/>
      <c r="GHN107" s="395"/>
      <c r="GHO107" s="395"/>
      <c r="GHP107" s="395"/>
      <c r="GHQ107" s="395"/>
      <c r="GHR107" s="395"/>
      <c r="GHS107" s="395"/>
      <c r="GHT107" s="395"/>
      <c r="GHU107" s="395"/>
      <c r="GHV107" s="395"/>
      <c r="GHW107" s="395"/>
      <c r="GHX107" s="395"/>
      <c r="GHY107" s="395"/>
      <c r="GHZ107" s="395"/>
      <c r="GIA107" s="395"/>
      <c r="GIB107" s="396"/>
      <c r="GIC107" s="394"/>
      <c r="GID107" s="395"/>
      <c r="GIE107" s="395"/>
      <c r="GIF107" s="395"/>
      <c r="GIG107" s="395"/>
      <c r="GIH107" s="395"/>
      <c r="GII107" s="395"/>
      <c r="GIJ107" s="395"/>
      <c r="GIK107" s="395"/>
      <c r="GIL107" s="395"/>
      <c r="GIM107" s="395"/>
      <c r="GIN107" s="395"/>
      <c r="GIO107" s="395"/>
      <c r="GIP107" s="395"/>
      <c r="GIQ107" s="395"/>
      <c r="GIR107" s="395"/>
      <c r="GIS107" s="395"/>
      <c r="GIT107" s="395"/>
      <c r="GIU107" s="395"/>
      <c r="GIV107" s="395"/>
      <c r="GIW107" s="395"/>
      <c r="GIX107" s="395"/>
      <c r="GIY107" s="395"/>
      <c r="GIZ107" s="395"/>
      <c r="GJA107" s="395"/>
      <c r="GJB107" s="395"/>
      <c r="GJC107" s="396"/>
      <c r="GJD107" s="394"/>
      <c r="GJE107" s="395"/>
      <c r="GJF107" s="395"/>
      <c r="GJG107" s="395"/>
      <c r="GJH107" s="395"/>
      <c r="GJI107" s="395"/>
      <c r="GJJ107" s="395"/>
      <c r="GJK107" s="395"/>
      <c r="GJL107" s="395"/>
      <c r="GJM107" s="395"/>
      <c r="GJN107" s="395"/>
      <c r="GJO107" s="395"/>
      <c r="GJP107" s="395"/>
      <c r="GJQ107" s="395"/>
      <c r="GJR107" s="395"/>
      <c r="GJS107" s="395"/>
      <c r="GJT107" s="395"/>
      <c r="GJU107" s="395"/>
      <c r="GJV107" s="395"/>
      <c r="GJW107" s="395"/>
      <c r="GJX107" s="395"/>
      <c r="GJY107" s="395"/>
      <c r="GJZ107" s="395"/>
      <c r="GKA107" s="395"/>
      <c r="GKB107" s="395"/>
      <c r="GKC107" s="395"/>
      <c r="GKD107" s="396"/>
      <c r="GKE107" s="394"/>
      <c r="GKF107" s="395"/>
      <c r="GKG107" s="395"/>
      <c r="GKH107" s="395"/>
      <c r="GKI107" s="395"/>
      <c r="GKJ107" s="395"/>
      <c r="GKK107" s="395"/>
      <c r="GKL107" s="395"/>
      <c r="GKM107" s="395"/>
      <c r="GKN107" s="395"/>
      <c r="GKO107" s="395"/>
      <c r="GKP107" s="395"/>
      <c r="GKQ107" s="395"/>
      <c r="GKR107" s="395"/>
      <c r="GKS107" s="395"/>
      <c r="GKT107" s="395"/>
      <c r="GKU107" s="395"/>
      <c r="GKV107" s="395"/>
      <c r="GKW107" s="395"/>
      <c r="GKX107" s="395"/>
      <c r="GKY107" s="395"/>
      <c r="GKZ107" s="395"/>
      <c r="GLA107" s="395"/>
      <c r="GLB107" s="395"/>
      <c r="GLC107" s="395"/>
      <c r="GLD107" s="395"/>
      <c r="GLE107" s="396"/>
      <c r="GLF107" s="394"/>
      <c r="GLG107" s="395"/>
      <c r="GLH107" s="395"/>
      <c r="GLI107" s="395"/>
      <c r="GLJ107" s="395"/>
      <c r="GLK107" s="395"/>
      <c r="GLL107" s="395"/>
      <c r="GLM107" s="395"/>
      <c r="GLN107" s="395"/>
      <c r="GLO107" s="395"/>
      <c r="GLP107" s="395"/>
      <c r="GLQ107" s="395"/>
      <c r="GLR107" s="395"/>
      <c r="GLS107" s="395"/>
      <c r="GLT107" s="395"/>
      <c r="GLU107" s="395"/>
      <c r="GLV107" s="395"/>
      <c r="GLW107" s="395"/>
      <c r="GLX107" s="395"/>
      <c r="GLY107" s="395"/>
      <c r="GLZ107" s="395"/>
      <c r="GMA107" s="395"/>
      <c r="GMB107" s="395"/>
      <c r="GMC107" s="395"/>
      <c r="GMD107" s="395"/>
      <c r="GME107" s="395"/>
      <c r="GMF107" s="396"/>
      <c r="GMG107" s="394"/>
      <c r="GMH107" s="395"/>
      <c r="GMI107" s="395"/>
      <c r="GMJ107" s="395"/>
      <c r="GMK107" s="395"/>
      <c r="GML107" s="395"/>
      <c r="GMM107" s="395"/>
      <c r="GMN107" s="395"/>
      <c r="GMO107" s="395"/>
      <c r="GMP107" s="395"/>
      <c r="GMQ107" s="395"/>
      <c r="GMR107" s="395"/>
      <c r="GMS107" s="395"/>
      <c r="GMT107" s="395"/>
      <c r="GMU107" s="395"/>
      <c r="GMV107" s="395"/>
      <c r="GMW107" s="395"/>
      <c r="GMX107" s="395"/>
      <c r="GMY107" s="395"/>
      <c r="GMZ107" s="395"/>
      <c r="GNA107" s="395"/>
      <c r="GNB107" s="395"/>
      <c r="GNC107" s="395"/>
      <c r="GND107" s="395"/>
      <c r="GNE107" s="395"/>
      <c r="GNF107" s="395"/>
      <c r="GNG107" s="396"/>
      <c r="GNH107" s="394"/>
      <c r="GNI107" s="395"/>
      <c r="GNJ107" s="395"/>
      <c r="GNK107" s="395"/>
      <c r="GNL107" s="395"/>
      <c r="GNM107" s="395"/>
      <c r="GNN107" s="395"/>
      <c r="GNO107" s="395"/>
      <c r="GNP107" s="395"/>
      <c r="GNQ107" s="395"/>
      <c r="GNR107" s="395"/>
      <c r="GNS107" s="395"/>
      <c r="GNT107" s="395"/>
      <c r="GNU107" s="395"/>
      <c r="GNV107" s="395"/>
      <c r="GNW107" s="395"/>
      <c r="GNX107" s="395"/>
      <c r="GNY107" s="395"/>
      <c r="GNZ107" s="395"/>
      <c r="GOA107" s="395"/>
      <c r="GOB107" s="395"/>
      <c r="GOC107" s="395"/>
      <c r="GOD107" s="395"/>
      <c r="GOE107" s="395"/>
      <c r="GOF107" s="395"/>
      <c r="GOG107" s="395"/>
      <c r="GOH107" s="396"/>
      <c r="GOI107" s="394"/>
      <c r="GOJ107" s="395"/>
      <c r="GOK107" s="395"/>
      <c r="GOL107" s="395"/>
      <c r="GOM107" s="395"/>
      <c r="GON107" s="395"/>
      <c r="GOO107" s="395"/>
      <c r="GOP107" s="395"/>
      <c r="GOQ107" s="395"/>
      <c r="GOR107" s="395"/>
      <c r="GOS107" s="395"/>
      <c r="GOT107" s="395"/>
      <c r="GOU107" s="395"/>
      <c r="GOV107" s="395"/>
      <c r="GOW107" s="395"/>
      <c r="GOX107" s="395"/>
      <c r="GOY107" s="395"/>
      <c r="GOZ107" s="395"/>
      <c r="GPA107" s="395"/>
      <c r="GPB107" s="395"/>
      <c r="GPC107" s="395"/>
      <c r="GPD107" s="395"/>
      <c r="GPE107" s="395"/>
      <c r="GPF107" s="395"/>
      <c r="GPG107" s="395"/>
      <c r="GPH107" s="395"/>
      <c r="GPI107" s="396"/>
      <c r="GPJ107" s="394"/>
      <c r="GPK107" s="395"/>
      <c r="GPL107" s="395"/>
      <c r="GPM107" s="395"/>
      <c r="GPN107" s="395"/>
      <c r="GPO107" s="395"/>
      <c r="GPP107" s="395"/>
      <c r="GPQ107" s="395"/>
      <c r="GPR107" s="395"/>
      <c r="GPS107" s="395"/>
      <c r="GPT107" s="395"/>
      <c r="GPU107" s="395"/>
      <c r="GPV107" s="395"/>
      <c r="GPW107" s="395"/>
      <c r="GPX107" s="395"/>
      <c r="GPY107" s="395"/>
      <c r="GPZ107" s="395"/>
      <c r="GQA107" s="395"/>
      <c r="GQB107" s="395"/>
      <c r="GQC107" s="395"/>
      <c r="GQD107" s="395"/>
      <c r="GQE107" s="395"/>
      <c r="GQF107" s="395"/>
      <c r="GQG107" s="395"/>
      <c r="GQH107" s="395"/>
      <c r="GQI107" s="395"/>
      <c r="GQJ107" s="396"/>
      <c r="GQK107" s="394"/>
      <c r="GQL107" s="395"/>
      <c r="GQM107" s="395"/>
      <c r="GQN107" s="395"/>
      <c r="GQO107" s="395"/>
      <c r="GQP107" s="395"/>
      <c r="GQQ107" s="395"/>
      <c r="GQR107" s="395"/>
      <c r="GQS107" s="395"/>
      <c r="GQT107" s="395"/>
      <c r="GQU107" s="395"/>
      <c r="GQV107" s="395"/>
      <c r="GQW107" s="395"/>
      <c r="GQX107" s="395"/>
      <c r="GQY107" s="395"/>
      <c r="GQZ107" s="395"/>
      <c r="GRA107" s="395"/>
      <c r="GRB107" s="395"/>
      <c r="GRC107" s="395"/>
      <c r="GRD107" s="395"/>
      <c r="GRE107" s="395"/>
      <c r="GRF107" s="395"/>
      <c r="GRG107" s="395"/>
      <c r="GRH107" s="395"/>
      <c r="GRI107" s="395"/>
      <c r="GRJ107" s="395"/>
      <c r="GRK107" s="396"/>
      <c r="GRL107" s="394"/>
      <c r="GRM107" s="395"/>
      <c r="GRN107" s="395"/>
      <c r="GRO107" s="395"/>
      <c r="GRP107" s="395"/>
      <c r="GRQ107" s="395"/>
      <c r="GRR107" s="395"/>
      <c r="GRS107" s="395"/>
      <c r="GRT107" s="395"/>
      <c r="GRU107" s="395"/>
      <c r="GRV107" s="395"/>
      <c r="GRW107" s="395"/>
      <c r="GRX107" s="395"/>
      <c r="GRY107" s="395"/>
      <c r="GRZ107" s="395"/>
      <c r="GSA107" s="395"/>
      <c r="GSB107" s="395"/>
      <c r="GSC107" s="395"/>
      <c r="GSD107" s="395"/>
      <c r="GSE107" s="395"/>
      <c r="GSF107" s="395"/>
      <c r="GSG107" s="395"/>
      <c r="GSH107" s="395"/>
      <c r="GSI107" s="395"/>
      <c r="GSJ107" s="395"/>
      <c r="GSK107" s="395"/>
      <c r="GSL107" s="396"/>
      <c r="GSM107" s="394"/>
      <c r="GSN107" s="395"/>
      <c r="GSO107" s="395"/>
      <c r="GSP107" s="395"/>
      <c r="GSQ107" s="395"/>
      <c r="GSR107" s="395"/>
      <c r="GSS107" s="395"/>
      <c r="GST107" s="395"/>
      <c r="GSU107" s="395"/>
      <c r="GSV107" s="395"/>
      <c r="GSW107" s="395"/>
      <c r="GSX107" s="395"/>
      <c r="GSY107" s="395"/>
      <c r="GSZ107" s="395"/>
      <c r="GTA107" s="395"/>
      <c r="GTB107" s="395"/>
      <c r="GTC107" s="395"/>
      <c r="GTD107" s="395"/>
      <c r="GTE107" s="395"/>
      <c r="GTF107" s="395"/>
      <c r="GTG107" s="395"/>
      <c r="GTH107" s="395"/>
      <c r="GTI107" s="395"/>
      <c r="GTJ107" s="395"/>
      <c r="GTK107" s="395"/>
      <c r="GTL107" s="395"/>
      <c r="GTM107" s="396"/>
      <c r="GTN107" s="394"/>
      <c r="GTO107" s="395"/>
      <c r="GTP107" s="395"/>
      <c r="GTQ107" s="395"/>
      <c r="GTR107" s="395"/>
      <c r="GTS107" s="395"/>
      <c r="GTT107" s="395"/>
      <c r="GTU107" s="395"/>
      <c r="GTV107" s="395"/>
      <c r="GTW107" s="395"/>
      <c r="GTX107" s="395"/>
      <c r="GTY107" s="395"/>
      <c r="GTZ107" s="395"/>
      <c r="GUA107" s="395"/>
      <c r="GUB107" s="395"/>
      <c r="GUC107" s="395"/>
      <c r="GUD107" s="395"/>
      <c r="GUE107" s="395"/>
      <c r="GUF107" s="395"/>
      <c r="GUG107" s="395"/>
      <c r="GUH107" s="395"/>
      <c r="GUI107" s="395"/>
      <c r="GUJ107" s="395"/>
      <c r="GUK107" s="395"/>
      <c r="GUL107" s="395"/>
      <c r="GUM107" s="395"/>
      <c r="GUN107" s="396"/>
      <c r="GUO107" s="394"/>
      <c r="GUP107" s="395"/>
      <c r="GUQ107" s="395"/>
      <c r="GUR107" s="395"/>
      <c r="GUS107" s="395"/>
      <c r="GUT107" s="395"/>
      <c r="GUU107" s="395"/>
      <c r="GUV107" s="395"/>
      <c r="GUW107" s="395"/>
      <c r="GUX107" s="395"/>
      <c r="GUY107" s="395"/>
      <c r="GUZ107" s="395"/>
      <c r="GVA107" s="395"/>
      <c r="GVB107" s="395"/>
      <c r="GVC107" s="395"/>
      <c r="GVD107" s="395"/>
      <c r="GVE107" s="395"/>
      <c r="GVF107" s="395"/>
      <c r="GVG107" s="395"/>
      <c r="GVH107" s="395"/>
      <c r="GVI107" s="395"/>
      <c r="GVJ107" s="395"/>
      <c r="GVK107" s="395"/>
      <c r="GVL107" s="395"/>
      <c r="GVM107" s="395"/>
      <c r="GVN107" s="395"/>
      <c r="GVO107" s="396"/>
      <c r="GVP107" s="394"/>
      <c r="GVQ107" s="395"/>
      <c r="GVR107" s="395"/>
      <c r="GVS107" s="395"/>
      <c r="GVT107" s="395"/>
      <c r="GVU107" s="395"/>
      <c r="GVV107" s="395"/>
      <c r="GVW107" s="395"/>
      <c r="GVX107" s="395"/>
      <c r="GVY107" s="395"/>
      <c r="GVZ107" s="395"/>
      <c r="GWA107" s="395"/>
      <c r="GWB107" s="395"/>
      <c r="GWC107" s="395"/>
      <c r="GWD107" s="395"/>
      <c r="GWE107" s="395"/>
      <c r="GWF107" s="395"/>
      <c r="GWG107" s="395"/>
      <c r="GWH107" s="395"/>
      <c r="GWI107" s="395"/>
      <c r="GWJ107" s="395"/>
      <c r="GWK107" s="395"/>
      <c r="GWL107" s="395"/>
      <c r="GWM107" s="395"/>
      <c r="GWN107" s="395"/>
      <c r="GWO107" s="395"/>
      <c r="GWP107" s="396"/>
      <c r="GWQ107" s="394"/>
      <c r="GWR107" s="395"/>
      <c r="GWS107" s="395"/>
      <c r="GWT107" s="395"/>
      <c r="GWU107" s="395"/>
      <c r="GWV107" s="395"/>
      <c r="GWW107" s="395"/>
      <c r="GWX107" s="395"/>
      <c r="GWY107" s="395"/>
      <c r="GWZ107" s="395"/>
      <c r="GXA107" s="395"/>
      <c r="GXB107" s="395"/>
      <c r="GXC107" s="395"/>
      <c r="GXD107" s="395"/>
      <c r="GXE107" s="395"/>
      <c r="GXF107" s="395"/>
      <c r="GXG107" s="395"/>
      <c r="GXH107" s="395"/>
      <c r="GXI107" s="395"/>
      <c r="GXJ107" s="395"/>
      <c r="GXK107" s="395"/>
      <c r="GXL107" s="395"/>
      <c r="GXM107" s="395"/>
      <c r="GXN107" s="395"/>
      <c r="GXO107" s="395"/>
      <c r="GXP107" s="395"/>
      <c r="GXQ107" s="396"/>
      <c r="GXR107" s="394"/>
      <c r="GXS107" s="395"/>
      <c r="GXT107" s="395"/>
      <c r="GXU107" s="395"/>
      <c r="GXV107" s="395"/>
      <c r="GXW107" s="395"/>
      <c r="GXX107" s="395"/>
      <c r="GXY107" s="395"/>
      <c r="GXZ107" s="395"/>
      <c r="GYA107" s="395"/>
      <c r="GYB107" s="395"/>
      <c r="GYC107" s="395"/>
      <c r="GYD107" s="395"/>
      <c r="GYE107" s="395"/>
      <c r="GYF107" s="395"/>
      <c r="GYG107" s="395"/>
      <c r="GYH107" s="395"/>
      <c r="GYI107" s="395"/>
      <c r="GYJ107" s="395"/>
      <c r="GYK107" s="395"/>
      <c r="GYL107" s="395"/>
      <c r="GYM107" s="395"/>
      <c r="GYN107" s="395"/>
      <c r="GYO107" s="395"/>
      <c r="GYP107" s="395"/>
      <c r="GYQ107" s="395"/>
      <c r="GYR107" s="396"/>
      <c r="GYS107" s="394"/>
      <c r="GYT107" s="395"/>
      <c r="GYU107" s="395"/>
      <c r="GYV107" s="395"/>
      <c r="GYW107" s="395"/>
      <c r="GYX107" s="395"/>
      <c r="GYY107" s="395"/>
      <c r="GYZ107" s="395"/>
      <c r="GZA107" s="395"/>
      <c r="GZB107" s="395"/>
      <c r="GZC107" s="395"/>
      <c r="GZD107" s="395"/>
      <c r="GZE107" s="395"/>
      <c r="GZF107" s="395"/>
      <c r="GZG107" s="395"/>
      <c r="GZH107" s="395"/>
      <c r="GZI107" s="395"/>
      <c r="GZJ107" s="395"/>
      <c r="GZK107" s="395"/>
      <c r="GZL107" s="395"/>
      <c r="GZM107" s="395"/>
      <c r="GZN107" s="395"/>
      <c r="GZO107" s="395"/>
      <c r="GZP107" s="395"/>
      <c r="GZQ107" s="395"/>
      <c r="GZR107" s="395"/>
      <c r="GZS107" s="396"/>
      <c r="GZT107" s="394"/>
      <c r="GZU107" s="395"/>
      <c r="GZV107" s="395"/>
      <c r="GZW107" s="395"/>
      <c r="GZX107" s="395"/>
      <c r="GZY107" s="395"/>
      <c r="GZZ107" s="395"/>
      <c r="HAA107" s="395"/>
      <c r="HAB107" s="395"/>
      <c r="HAC107" s="395"/>
      <c r="HAD107" s="395"/>
      <c r="HAE107" s="395"/>
      <c r="HAF107" s="395"/>
      <c r="HAG107" s="395"/>
      <c r="HAH107" s="395"/>
      <c r="HAI107" s="395"/>
      <c r="HAJ107" s="395"/>
      <c r="HAK107" s="395"/>
      <c r="HAL107" s="395"/>
      <c r="HAM107" s="395"/>
      <c r="HAN107" s="395"/>
      <c r="HAO107" s="395"/>
      <c r="HAP107" s="395"/>
      <c r="HAQ107" s="395"/>
      <c r="HAR107" s="395"/>
      <c r="HAS107" s="395"/>
      <c r="HAT107" s="396"/>
      <c r="HAU107" s="394"/>
      <c r="HAV107" s="395"/>
      <c r="HAW107" s="395"/>
      <c r="HAX107" s="395"/>
      <c r="HAY107" s="395"/>
      <c r="HAZ107" s="395"/>
      <c r="HBA107" s="395"/>
      <c r="HBB107" s="395"/>
      <c r="HBC107" s="395"/>
      <c r="HBD107" s="395"/>
      <c r="HBE107" s="395"/>
      <c r="HBF107" s="395"/>
      <c r="HBG107" s="395"/>
      <c r="HBH107" s="395"/>
      <c r="HBI107" s="395"/>
      <c r="HBJ107" s="395"/>
      <c r="HBK107" s="395"/>
      <c r="HBL107" s="395"/>
      <c r="HBM107" s="395"/>
      <c r="HBN107" s="395"/>
      <c r="HBO107" s="395"/>
      <c r="HBP107" s="395"/>
      <c r="HBQ107" s="395"/>
      <c r="HBR107" s="395"/>
      <c r="HBS107" s="395"/>
      <c r="HBT107" s="395"/>
      <c r="HBU107" s="396"/>
      <c r="HBV107" s="394"/>
      <c r="HBW107" s="395"/>
      <c r="HBX107" s="395"/>
      <c r="HBY107" s="395"/>
      <c r="HBZ107" s="395"/>
      <c r="HCA107" s="395"/>
      <c r="HCB107" s="395"/>
      <c r="HCC107" s="395"/>
      <c r="HCD107" s="395"/>
      <c r="HCE107" s="395"/>
      <c r="HCF107" s="395"/>
      <c r="HCG107" s="395"/>
      <c r="HCH107" s="395"/>
      <c r="HCI107" s="395"/>
      <c r="HCJ107" s="395"/>
      <c r="HCK107" s="395"/>
      <c r="HCL107" s="395"/>
      <c r="HCM107" s="395"/>
      <c r="HCN107" s="395"/>
      <c r="HCO107" s="395"/>
      <c r="HCP107" s="395"/>
      <c r="HCQ107" s="395"/>
      <c r="HCR107" s="395"/>
      <c r="HCS107" s="395"/>
      <c r="HCT107" s="395"/>
      <c r="HCU107" s="395"/>
      <c r="HCV107" s="396"/>
      <c r="HCW107" s="394"/>
      <c r="HCX107" s="395"/>
      <c r="HCY107" s="395"/>
      <c r="HCZ107" s="395"/>
      <c r="HDA107" s="395"/>
      <c r="HDB107" s="395"/>
      <c r="HDC107" s="395"/>
      <c r="HDD107" s="395"/>
      <c r="HDE107" s="395"/>
      <c r="HDF107" s="395"/>
      <c r="HDG107" s="395"/>
      <c r="HDH107" s="395"/>
      <c r="HDI107" s="395"/>
      <c r="HDJ107" s="395"/>
      <c r="HDK107" s="395"/>
      <c r="HDL107" s="395"/>
      <c r="HDM107" s="395"/>
      <c r="HDN107" s="395"/>
      <c r="HDO107" s="395"/>
      <c r="HDP107" s="395"/>
      <c r="HDQ107" s="395"/>
      <c r="HDR107" s="395"/>
      <c r="HDS107" s="395"/>
      <c r="HDT107" s="395"/>
      <c r="HDU107" s="395"/>
      <c r="HDV107" s="395"/>
      <c r="HDW107" s="396"/>
      <c r="HDX107" s="394"/>
      <c r="HDY107" s="395"/>
      <c r="HDZ107" s="395"/>
      <c r="HEA107" s="395"/>
      <c r="HEB107" s="395"/>
      <c r="HEC107" s="395"/>
      <c r="HED107" s="395"/>
      <c r="HEE107" s="395"/>
      <c r="HEF107" s="395"/>
      <c r="HEG107" s="395"/>
      <c r="HEH107" s="395"/>
      <c r="HEI107" s="395"/>
      <c r="HEJ107" s="395"/>
      <c r="HEK107" s="395"/>
      <c r="HEL107" s="395"/>
      <c r="HEM107" s="395"/>
      <c r="HEN107" s="395"/>
      <c r="HEO107" s="395"/>
      <c r="HEP107" s="395"/>
      <c r="HEQ107" s="395"/>
      <c r="HER107" s="395"/>
      <c r="HES107" s="395"/>
      <c r="HET107" s="395"/>
      <c r="HEU107" s="395"/>
      <c r="HEV107" s="395"/>
      <c r="HEW107" s="395"/>
      <c r="HEX107" s="396"/>
      <c r="HEY107" s="394"/>
      <c r="HEZ107" s="395"/>
      <c r="HFA107" s="395"/>
      <c r="HFB107" s="395"/>
      <c r="HFC107" s="395"/>
      <c r="HFD107" s="395"/>
      <c r="HFE107" s="395"/>
      <c r="HFF107" s="395"/>
      <c r="HFG107" s="395"/>
      <c r="HFH107" s="395"/>
      <c r="HFI107" s="395"/>
      <c r="HFJ107" s="395"/>
      <c r="HFK107" s="395"/>
      <c r="HFL107" s="395"/>
      <c r="HFM107" s="395"/>
      <c r="HFN107" s="395"/>
      <c r="HFO107" s="395"/>
      <c r="HFP107" s="395"/>
      <c r="HFQ107" s="395"/>
      <c r="HFR107" s="395"/>
      <c r="HFS107" s="395"/>
      <c r="HFT107" s="395"/>
      <c r="HFU107" s="395"/>
      <c r="HFV107" s="395"/>
      <c r="HFW107" s="395"/>
      <c r="HFX107" s="395"/>
      <c r="HFY107" s="396"/>
      <c r="HFZ107" s="394"/>
      <c r="HGA107" s="395"/>
      <c r="HGB107" s="395"/>
      <c r="HGC107" s="395"/>
      <c r="HGD107" s="395"/>
      <c r="HGE107" s="395"/>
      <c r="HGF107" s="395"/>
      <c r="HGG107" s="395"/>
      <c r="HGH107" s="395"/>
      <c r="HGI107" s="395"/>
      <c r="HGJ107" s="395"/>
      <c r="HGK107" s="395"/>
      <c r="HGL107" s="395"/>
      <c r="HGM107" s="395"/>
      <c r="HGN107" s="395"/>
      <c r="HGO107" s="395"/>
      <c r="HGP107" s="395"/>
      <c r="HGQ107" s="395"/>
      <c r="HGR107" s="395"/>
      <c r="HGS107" s="395"/>
      <c r="HGT107" s="395"/>
      <c r="HGU107" s="395"/>
      <c r="HGV107" s="395"/>
      <c r="HGW107" s="395"/>
      <c r="HGX107" s="395"/>
      <c r="HGY107" s="395"/>
      <c r="HGZ107" s="396"/>
      <c r="HHA107" s="394"/>
      <c r="HHB107" s="395"/>
      <c r="HHC107" s="395"/>
      <c r="HHD107" s="395"/>
      <c r="HHE107" s="395"/>
      <c r="HHF107" s="395"/>
      <c r="HHG107" s="395"/>
      <c r="HHH107" s="395"/>
      <c r="HHI107" s="395"/>
      <c r="HHJ107" s="395"/>
      <c r="HHK107" s="395"/>
      <c r="HHL107" s="395"/>
      <c r="HHM107" s="395"/>
      <c r="HHN107" s="395"/>
      <c r="HHO107" s="395"/>
      <c r="HHP107" s="395"/>
      <c r="HHQ107" s="395"/>
      <c r="HHR107" s="395"/>
      <c r="HHS107" s="395"/>
      <c r="HHT107" s="395"/>
      <c r="HHU107" s="395"/>
      <c r="HHV107" s="395"/>
      <c r="HHW107" s="395"/>
      <c r="HHX107" s="395"/>
      <c r="HHY107" s="395"/>
      <c r="HHZ107" s="395"/>
      <c r="HIA107" s="396"/>
      <c r="HIB107" s="394"/>
      <c r="HIC107" s="395"/>
      <c r="HID107" s="395"/>
      <c r="HIE107" s="395"/>
      <c r="HIF107" s="395"/>
      <c r="HIG107" s="395"/>
      <c r="HIH107" s="395"/>
      <c r="HII107" s="395"/>
      <c r="HIJ107" s="395"/>
      <c r="HIK107" s="395"/>
      <c r="HIL107" s="395"/>
      <c r="HIM107" s="395"/>
      <c r="HIN107" s="395"/>
      <c r="HIO107" s="395"/>
      <c r="HIP107" s="395"/>
      <c r="HIQ107" s="395"/>
      <c r="HIR107" s="395"/>
      <c r="HIS107" s="395"/>
      <c r="HIT107" s="395"/>
      <c r="HIU107" s="395"/>
      <c r="HIV107" s="395"/>
      <c r="HIW107" s="395"/>
      <c r="HIX107" s="395"/>
      <c r="HIY107" s="395"/>
      <c r="HIZ107" s="395"/>
      <c r="HJA107" s="395"/>
      <c r="HJB107" s="396"/>
      <c r="HJC107" s="394"/>
      <c r="HJD107" s="395"/>
      <c r="HJE107" s="395"/>
      <c r="HJF107" s="395"/>
      <c r="HJG107" s="395"/>
      <c r="HJH107" s="395"/>
      <c r="HJI107" s="395"/>
      <c r="HJJ107" s="395"/>
      <c r="HJK107" s="395"/>
      <c r="HJL107" s="395"/>
      <c r="HJM107" s="395"/>
      <c r="HJN107" s="395"/>
      <c r="HJO107" s="395"/>
      <c r="HJP107" s="395"/>
      <c r="HJQ107" s="395"/>
      <c r="HJR107" s="395"/>
      <c r="HJS107" s="395"/>
      <c r="HJT107" s="395"/>
      <c r="HJU107" s="395"/>
      <c r="HJV107" s="395"/>
      <c r="HJW107" s="395"/>
      <c r="HJX107" s="395"/>
      <c r="HJY107" s="395"/>
      <c r="HJZ107" s="395"/>
      <c r="HKA107" s="395"/>
      <c r="HKB107" s="395"/>
      <c r="HKC107" s="396"/>
      <c r="HKD107" s="394"/>
      <c r="HKE107" s="395"/>
      <c r="HKF107" s="395"/>
      <c r="HKG107" s="395"/>
      <c r="HKH107" s="395"/>
      <c r="HKI107" s="395"/>
      <c r="HKJ107" s="395"/>
      <c r="HKK107" s="395"/>
      <c r="HKL107" s="395"/>
      <c r="HKM107" s="395"/>
      <c r="HKN107" s="395"/>
      <c r="HKO107" s="395"/>
      <c r="HKP107" s="395"/>
      <c r="HKQ107" s="395"/>
      <c r="HKR107" s="395"/>
      <c r="HKS107" s="395"/>
      <c r="HKT107" s="395"/>
      <c r="HKU107" s="395"/>
      <c r="HKV107" s="395"/>
      <c r="HKW107" s="395"/>
      <c r="HKX107" s="395"/>
      <c r="HKY107" s="395"/>
      <c r="HKZ107" s="395"/>
      <c r="HLA107" s="395"/>
      <c r="HLB107" s="395"/>
      <c r="HLC107" s="395"/>
      <c r="HLD107" s="396"/>
      <c r="HLE107" s="394"/>
      <c r="HLF107" s="395"/>
      <c r="HLG107" s="395"/>
      <c r="HLH107" s="395"/>
      <c r="HLI107" s="395"/>
      <c r="HLJ107" s="395"/>
      <c r="HLK107" s="395"/>
      <c r="HLL107" s="395"/>
      <c r="HLM107" s="395"/>
      <c r="HLN107" s="395"/>
      <c r="HLO107" s="395"/>
      <c r="HLP107" s="395"/>
      <c r="HLQ107" s="395"/>
      <c r="HLR107" s="395"/>
      <c r="HLS107" s="395"/>
      <c r="HLT107" s="395"/>
      <c r="HLU107" s="395"/>
      <c r="HLV107" s="395"/>
      <c r="HLW107" s="395"/>
      <c r="HLX107" s="395"/>
      <c r="HLY107" s="395"/>
      <c r="HLZ107" s="395"/>
      <c r="HMA107" s="395"/>
      <c r="HMB107" s="395"/>
      <c r="HMC107" s="395"/>
      <c r="HMD107" s="395"/>
      <c r="HME107" s="396"/>
      <c r="HMF107" s="394"/>
      <c r="HMG107" s="395"/>
      <c r="HMH107" s="395"/>
      <c r="HMI107" s="395"/>
      <c r="HMJ107" s="395"/>
      <c r="HMK107" s="395"/>
      <c r="HML107" s="395"/>
      <c r="HMM107" s="395"/>
      <c r="HMN107" s="395"/>
      <c r="HMO107" s="395"/>
      <c r="HMP107" s="395"/>
      <c r="HMQ107" s="395"/>
      <c r="HMR107" s="395"/>
      <c r="HMS107" s="395"/>
      <c r="HMT107" s="395"/>
      <c r="HMU107" s="395"/>
      <c r="HMV107" s="395"/>
      <c r="HMW107" s="395"/>
      <c r="HMX107" s="395"/>
      <c r="HMY107" s="395"/>
      <c r="HMZ107" s="395"/>
      <c r="HNA107" s="395"/>
      <c r="HNB107" s="395"/>
      <c r="HNC107" s="395"/>
      <c r="HND107" s="395"/>
      <c r="HNE107" s="395"/>
      <c r="HNF107" s="396"/>
      <c r="HNG107" s="394"/>
      <c r="HNH107" s="395"/>
      <c r="HNI107" s="395"/>
      <c r="HNJ107" s="395"/>
      <c r="HNK107" s="395"/>
      <c r="HNL107" s="395"/>
      <c r="HNM107" s="395"/>
      <c r="HNN107" s="395"/>
      <c r="HNO107" s="395"/>
      <c r="HNP107" s="395"/>
      <c r="HNQ107" s="395"/>
      <c r="HNR107" s="395"/>
      <c r="HNS107" s="395"/>
      <c r="HNT107" s="395"/>
      <c r="HNU107" s="395"/>
      <c r="HNV107" s="395"/>
      <c r="HNW107" s="395"/>
      <c r="HNX107" s="395"/>
      <c r="HNY107" s="395"/>
      <c r="HNZ107" s="395"/>
      <c r="HOA107" s="395"/>
      <c r="HOB107" s="395"/>
      <c r="HOC107" s="395"/>
      <c r="HOD107" s="395"/>
      <c r="HOE107" s="395"/>
      <c r="HOF107" s="395"/>
      <c r="HOG107" s="396"/>
      <c r="HOH107" s="394"/>
      <c r="HOI107" s="395"/>
      <c r="HOJ107" s="395"/>
      <c r="HOK107" s="395"/>
      <c r="HOL107" s="395"/>
      <c r="HOM107" s="395"/>
      <c r="HON107" s="395"/>
      <c r="HOO107" s="395"/>
      <c r="HOP107" s="395"/>
      <c r="HOQ107" s="395"/>
      <c r="HOR107" s="395"/>
      <c r="HOS107" s="395"/>
      <c r="HOT107" s="395"/>
      <c r="HOU107" s="395"/>
      <c r="HOV107" s="395"/>
      <c r="HOW107" s="395"/>
      <c r="HOX107" s="395"/>
      <c r="HOY107" s="395"/>
      <c r="HOZ107" s="395"/>
      <c r="HPA107" s="395"/>
      <c r="HPB107" s="395"/>
      <c r="HPC107" s="395"/>
      <c r="HPD107" s="395"/>
      <c r="HPE107" s="395"/>
      <c r="HPF107" s="395"/>
      <c r="HPG107" s="395"/>
      <c r="HPH107" s="396"/>
      <c r="HPI107" s="394"/>
      <c r="HPJ107" s="395"/>
      <c r="HPK107" s="395"/>
      <c r="HPL107" s="395"/>
      <c r="HPM107" s="395"/>
      <c r="HPN107" s="395"/>
      <c r="HPO107" s="395"/>
      <c r="HPP107" s="395"/>
      <c r="HPQ107" s="395"/>
      <c r="HPR107" s="395"/>
      <c r="HPS107" s="395"/>
      <c r="HPT107" s="395"/>
      <c r="HPU107" s="395"/>
      <c r="HPV107" s="395"/>
      <c r="HPW107" s="395"/>
      <c r="HPX107" s="395"/>
      <c r="HPY107" s="395"/>
      <c r="HPZ107" s="395"/>
      <c r="HQA107" s="395"/>
      <c r="HQB107" s="395"/>
      <c r="HQC107" s="395"/>
      <c r="HQD107" s="395"/>
      <c r="HQE107" s="395"/>
      <c r="HQF107" s="395"/>
      <c r="HQG107" s="395"/>
      <c r="HQH107" s="395"/>
      <c r="HQI107" s="396"/>
      <c r="HQJ107" s="394"/>
      <c r="HQK107" s="395"/>
      <c r="HQL107" s="395"/>
      <c r="HQM107" s="395"/>
      <c r="HQN107" s="395"/>
      <c r="HQO107" s="395"/>
      <c r="HQP107" s="395"/>
      <c r="HQQ107" s="395"/>
      <c r="HQR107" s="395"/>
      <c r="HQS107" s="395"/>
      <c r="HQT107" s="395"/>
      <c r="HQU107" s="395"/>
      <c r="HQV107" s="395"/>
      <c r="HQW107" s="395"/>
      <c r="HQX107" s="395"/>
      <c r="HQY107" s="395"/>
      <c r="HQZ107" s="395"/>
      <c r="HRA107" s="395"/>
      <c r="HRB107" s="395"/>
      <c r="HRC107" s="395"/>
      <c r="HRD107" s="395"/>
      <c r="HRE107" s="395"/>
      <c r="HRF107" s="395"/>
      <c r="HRG107" s="395"/>
      <c r="HRH107" s="395"/>
      <c r="HRI107" s="395"/>
      <c r="HRJ107" s="396"/>
      <c r="HRK107" s="394"/>
      <c r="HRL107" s="395"/>
      <c r="HRM107" s="395"/>
      <c r="HRN107" s="395"/>
      <c r="HRO107" s="395"/>
      <c r="HRP107" s="395"/>
      <c r="HRQ107" s="395"/>
      <c r="HRR107" s="395"/>
      <c r="HRS107" s="395"/>
      <c r="HRT107" s="395"/>
      <c r="HRU107" s="395"/>
      <c r="HRV107" s="395"/>
      <c r="HRW107" s="395"/>
      <c r="HRX107" s="395"/>
      <c r="HRY107" s="395"/>
      <c r="HRZ107" s="395"/>
      <c r="HSA107" s="395"/>
      <c r="HSB107" s="395"/>
      <c r="HSC107" s="395"/>
      <c r="HSD107" s="395"/>
      <c r="HSE107" s="395"/>
      <c r="HSF107" s="395"/>
      <c r="HSG107" s="395"/>
      <c r="HSH107" s="395"/>
      <c r="HSI107" s="395"/>
      <c r="HSJ107" s="395"/>
      <c r="HSK107" s="396"/>
      <c r="HSL107" s="394"/>
      <c r="HSM107" s="395"/>
      <c r="HSN107" s="395"/>
      <c r="HSO107" s="395"/>
      <c r="HSP107" s="395"/>
      <c r="HSQ107" s="395"/>
      <c r="HSR107" s="395"/>
      <c r="HSS107" s="395"/>
      <c r="HST107" s="395"/>
      <c r="HSU107" s="395"/>
      <c r="HSV107" s="395"/>
      <c r="HSW107" s="395"/>
      <c r="HSX107" s="395"/>
      <c r="HSY107" s="395"/>
      <c r="HSZ107" s="395"/>
      <c r="HTA107" s="395"/>
      <c r="HTB107" s="395"/>
      <c r="HTC107" s="395"/>
      <c r="HTD107" s="395"/>
      <c r="HTE107" s="395"/>
      <c r="HTF107" s="395"/>
      <c r="HTG107" s="395"/>
      <c r="HTH107" s="395"/>
      <c r="HTI107" s="395"/>
      <c r="HTJ107" s="395"/>
      <c r="HTK107" s="395"/>
      <c r="HTL107" s="396"/>
      <c r="HTM107" s="394"/>
      <c r="HTN107" s="395"/>
      <c r="HTO107" s="395"/>
      <c r="HTP107" s="395"/>
      <c r="HTQ107" s="395"/>
      <c r="HTR107" s="395"/>
      <c r="HTS107" s="395"/>
      <c r="HTT107" s="395"/>
      <c r="HTU107" s="395"/>
      <c r="HTV107" s="395"/>
      <c r="HTW107" s="395"/>
      <c r="HTX107" s="395"/>
      <c r="HTY107" s="395"/>
      <c r="HTZ107" s="395"/>
      <c r="HUA107" s="395"/>
      <c r="HUB107" s="395"/>
      <c r="HUC107" s="395"/>
      <c r="HUD107" s="395"/>
      <c r="HUE107" s="395"/>
      <c r="HUF107" s="395"/>
      <c r="HUG107" s="395"/>
      <c r="HUH107" s="395"/>
      <c r="HUI107" s="395"/>
      <c r="HUJ107" s="395"/>
      <c r="HUK107" s="395"/>
      <c r="HUL107" s="395"/>
      <c r="HUM107" s="396"/>
      <c r="HUN107" s="394"/>
      <c r="HUO107" s="395"/>
      <c r="HUP107" s="395"/>
      <c r="HUQ107" s="395"/>
      <c r="HUR107" s="395"/>
      <c r="HUS107" s="395"/>
      <c r="HUT107" s="395"/>
      <c r="HUU107" s="395"/>
      <c r="HUV107" s="395"/>
      <c r="HUW107" s="395"/>
      <c r="HUX107" s="395"/>
      <c r="HUY107" s="395"/>
      <c r="HUZ107" s="395"/>
      <c r="HVA107" s="395"/>
      <c r="HVB107" s="395"/>
      <c r="HVC107" s="395"/>
      <c r="HVD107" s="395"/>
      <c r="HVE107" s="395"/>
      <c r="HVF107" s="395"/>
      <c r="HVG107" s="395"/>
      <c r="HVH107" s="395"/>
      <c r="HVI107" s="395"/>
      <c r="HVJ107" s="395"/>
      <c r="HVK107" s="395"/>
      <c r="HVL107" s="395"/>
      <c r="HVM107" s="395"/>
      <c r="HVN107" s="396"/>
      <c r="HVO107" s="394"/>
      <c r="HVP107" s="395"/>
      <c r="HVQ107" s="395"/>
      <c r="HVR107" s="395"/>
      <c r="HVS107" s="395"/>
      <c r="HVT107" s="395"/>
      <c r="HVU107" s="395"/>
      <c r="HVV107" s="395"/>
      <c r="HVW107" s="395"/>
      <c r="HVX107" s="395"/>
      <c r="HVY107" s="395"/>
      <c r="HVZ107" s="395"/>
      <c r="HWA107" s="395"/>
      <c r="HWB107" s="395"/>
      <c r="HWC107" s="395"/>
      <c r="HWD107" s="395"/>
      <c r="HWE107" s="395"/>
      <c r="HWF107" s="395"/>
      <c r="HWG107" s="395"/>
      <c r="HWH107" s="395"/>
      <c r="HWI107" s="395"/>
      <c r="HWJ107" s="395"/>
      <c r="HWK107" s="395"/>
      <c r="HWL107" s="395"/>
      <c r="HWM107" s="395"/>
      <c r="HWN107" s="395"/>
      <c r="HWO107" s="396"/>
      <c r="HWP107" s="394"/>
      <c r="HWQ107" s="395"/>
      <c r="HWR107" s="395"/>
      <c r="HWS107" s="395"/>
      <c r="HWT107" s="395"/>
      <c r="HWU107" s="395"/>
      <c r="HWV107" s="395"/>
      <c r="HWW107" s="395"/>
      <c r="HWX107" s="395"/>
      <c r="HWY107" s="395"/>
      <c r="HWZ107" s="395"/>
      <c r="HXA107" s="395"/>
      <c r="HXB107" s="395"/>
      <c r="HXC107" s="395"/>
      <c r="HXD107" s="395"/>
      <c r="HXE107" s="395"/>
      <c r="HXF107" s="395"/>
      <c r="HXG107" s="395"/>
      <c r="HXH107" s="395"/>
      <c r="HXI107" s="395"/>
      <c r="HXJ107" s="395"/>
      <c r="HXK107" s="395"/>
      <c r="HXL107" s="395"/>
      <c r="HXM107" s="395"/>
      <c r="HXN107" s="395"/>
      <c r="HXO107" s="395"/>
      <c r="HXP107" s="396"/>
      <c r="HXQ107" s="394"/>
      <c r="HXR107" s="395"/>
      <c r="HXS107" s="395"/>
      <c r="HXT107" s="395"/>
      <c r="HXU107" s="395"/>
      <c r="HXV107" s="395"/>
      <c r="HXW107" s="395"/>
      <c r="HXX107" s="395"/>
      <c r="HXY107" s="395"/>
      <c r="HXZ107" s="395"/>
      <c r="HYA107" s="395"/>
      <c r="HYB107" s="395"/>
      <c r="HYC107" s="395"/>
      <c r="HYD107" s="395"/>
      <c r="HYE107" s="395"/>
      <c r="HYF107" s="395"/>
      <c r="HYG107" s="395"/>
      <c r="HYH107" s="395"/>
      <c r="HYI107" s="395"/>
      <c r="HYJ107" s="395"/>
      <c r="HYK107" s="395"/>
      <c r="HYL107" s="395"/>
      <c r="HYM107" s="395"/>
      <c r="HYN107" s="395"/>
      <c r="HYO107" s="395"/>
      <c r="HYP107" s="395"/>
      <c r="HYQ107" s="396"/>
      <c r="HYR107" s="394"/>
      <c r="HYS107" s="395"/>
      <c r="HYT107" s="395"/>
      <c r="HYU107" s="395"/>
      <c r="HYV107" s="395"/>
      <c r="HYW107" s="395"/>
      <c r="HYX107" s="395"/>
      <c r="HYY107" s="395"/>
      <c r="HYZ107" s="395"/>
      <c r="HZA107" s="395"/>
      <c r="HZB107" s="395"/>
      <c r="HZC107" s="395"/>
      <c r="HZD107" s="395"/>
      <c r="HZE107" s="395"/>
      <c r="HZF107" s="395"/>
      <c r="HZG107" s="395"/>
      <c r="HZH107" s="395"/>
      <c r="HZI107" s="395"/>
      <c r="HZJ107" s="395"/>
      <c r="HZK107" s="395"/>
      <c r="HZL107" s="395"/>
      <c r="HZM107" s="395"/>
      <c r="HZN107" s="395"/>
      <c r="HZO107" s="395"/>
      <c r="HZP107" s="395"/>
      <c r="HZQ107" s="395"/>
      <c r="HZR107" s="396"/>
      <c r="HZS107" s="394"/>
      <c r="HZT107" s="395"/>
      <c r="HZU107" s="395"/>
      <c r="HZV107" s="395"/>
      <c r="HZW107" s="395"/>
      <c r="HZX107" s="395"/>
      <c r="HZY107" s="395"/>
      <c r="HZZ107" s="395"/>
      <c r="IAA107" s="395"/>
      <c r="IAB107" s="395"/>
      <c r="IAC107" s="395"/>
      <c r="IAD107" s="395"/>
      <c r="IAE107" s="395"/>
      <c r="IAF107" s="395"/>
      <c r="IAG107" s="395"/>
      <c r="IAH107" s="395"/>
      <c r="IAI107" s="395"/>
      <c r="IAJ107" s="395"/>
      <c r="IAK107" s="395"/>
      <c r="IAL107" s="395"/>
      <c r="IAM107" s="395"/>
      <c r="IAN107" s="395"/>
      <c r="IAO107" s="395"/>
      <c r="IAP107" s="395"/>
      <c r="IAQ107" s="395"/>
      <c r="IAR107" s="395"/>
      <c r="IAS107" s="396"/>
      <c r="IAT107" s="394"/>
      <c r="IAU107" s="395"/>
      <c r="IAV107" s="395"/>
      <c r="IAW107" s="395"/>
      <c r="IAX107" s="395"/>
      <c r="IAY107" s="395"/>
      <c r="IAZ107" s="395"/>
      <c r="IBA107" s="395"/>
      <c r="IBB107" s="395"/>
      <c r="IBC107" s="395"/>
      <c r="IBD107" s="395"/>
      <c r="IBE107" s="395"/>
      <c r="IBF107" s="395"/>
      <c r="IBG107" s="395"/>
      <c r="IBH107" s="395"/>
      <c r="IBI107" s="395"/>
      <c r="IBJ107" s="395"/>
      <c r="IBK107" s="395"/>
      <c r="IBL107" s="395"/>
      <c r="IBM107" s="395"/>
      <c r="IBN107" s="395"/>
      <c r="IBO107" s="395"/>
      <c r="IBP107" s="395"/>
      <c r="IBQ107" s="395"/>
      <c r="IBR107" s="395"/>
      <c r="IBS107" s="395"/>
      <c r="IBT107" s="396"/>
      <c r="IBU107" s="394"/>
      <c r="IBV107" s="395"/>
      <c r="IBW107" s="395"/>
      <c r="IBX107" s="395"/>
      <c r="IBY107" s="395"/>
      <c r="IBZ107" s="395"/>
      <c r="ICA107" s="395"/>
      <c r="ICB107" s="395"/>
      <c r="ICC107" s="395"/>
      <c r="ICD107" s="395"/>
      <c r="ICE107" s="395"/>
      <c r="ICF107" s="395"/>
      <c r="ICG107" s="395"/>
      <c r="ICH107" s="395"/>
      <c r="ICI107" s="395"/>
      <c r="ICJ107" s="395"/>
      <c r="ICK107" s="395"/>
      <c r="ICL107" s="395"/>
      <c r="ICM107" s="395"/>
      <c r="ICN107" s="395"/>
      <c r="ICO107" s="395"/>
      <c r="ICP107" s="395"/>
      <c r="ICQ107" s="395"/>
      <c r="ICR107" s="395"/>
      <c r="ICS107" s="395"/>
      <c r="ICT107" s="395"/>
      <c r="ICU107" s="396"/>
      <c r="ICV107" s="394"/>
      <c r="ICW107" s="395"/>
      <c r="ICX107" s="395"/>
      <c r="ICY107" s="395"/>
      <c r="ICZ107" s="395"/>
      <c r="IDA107" s="395"/>
      <c r="IDB107" s="395"/>
      <c r="IDC107" s="395"/>
      <c r="IDD107" s="395"/>
      <c r="IDE107" s="395"/>
      <c r="IDF107" s="395"/>
      <c r="IDG107" s="395"/>
      <c r="IDH107" s="395"/>
      <c r="IDI107" s="395"/>
      <c r="IDJ107" s="395"/>
      <c r="IDK107" s="395"/>
      <c r="IDL107" s="395"/>
      <c r="IDM107" s="395"/>
      <c r="IDN107" s="395"/>
      <c r="IDO107" s="395"/>
      <c r="IDP107" s="395"/>
      <c r="IDQ107" s="395"/>
      <c r="IDR107" s="395"/>
      <c r="IDS107" s="395"/>
      <c r="IDT107" s="395"/>
      <c r="IDU107" s="395"/>
      <c r="IDV107" s="396"/>
      <c r="IDW107" s="394"/>
      <c r="IDX107" s="395"/>
      <c r="IDY107" s="395"/>
      <c r="IDZ107" s="395"/>
      <c r="IEA107" s="395"/>
      <c r="IEB107" s="395"/>
      <c r="IEC107" s="395"/>
      <c r="IED107" s="395"/>
      <c r="IEE107" s="395"/>
      <c r="IEF107" s="395"/>
      <c r="IEG107" s="395"/>
      <c r="IEH107" s="395"/>
      <c r="IEI107" s="395"/>
      <c r="IEJ107" s="395"/>
      <c r="IEK107" s="395"/>
      <c r="IEL107" s="395"/>
      <c r="IEM107" s="395"/>
      <c r="IEN107" s="395"/>
      <c r="IEO107" s="395"/>
      <c r="IEP107" s="395"/>
      <c r="IEQ107" s="395"/>
      <c r="IER107" s="395"/>
      <c r="IES107" s="395"/>
      <c r="IET107" s="395"/>
      <c r="IEU107" s="395"/>
      <c r="IEV107" s="395"/>
      <c r="IEW107" s="396"/>
      <c r="IEX107" s="394"/>
      <c r="IEY107" s="395"/>
      <c r="IEZ107" s="395"/>
      <c r="IFA107" s="395"/>
      <c r="IFB107" s="395"/>
      <c r="IFC107" s="395"/>
      <c r="IFD107" s="395"/>
      <c r="IFE107" s="395"/>
      <c r="IFF107" s="395"/>
      <c r="IFG107" s="395"/>
      <c r="IFH107" s="395"/>
      <c r="IFI107" s="395"/>
      <c r="IFJ107" s="395"/>
      <c r="IFK107" s="395"/>
      <c r="IFL107" s="395"/>
      <c r="IFM107" s="395"/>
      <c r="IFN107" s="395"/>
      <c r="IFO107" s="395"/>
      <c r="IFP107" s="395"/>
      <c r="IFQ107" s="395"/>
      <c r="IFR107" s="395"/>
      <c r="IFS107" s="395"/>
      <c r="IFT107" s="395"/>
      <c r="IFU107" s="395"/>
      <c r="IFV107" s="395"/>
      <c r="IFW107" s="395"/>
      <c r="IFX107" s="396"/>
      <c r="IFY107" s="394"/>
      <c r="IFZ107" s="395"/>
      <c r="IGA107" s="395"/>
      <c r="IGB107" s="395"/>
      <c r="IGC107" s="395"/>
      <c r="IGD107" s="395"/>
      <c r="IGE107" s="395"/>
      <c r="IGF107" s="395"/>
      <c r="IGG107" s="395"/>
      <c r="IGH107" s="395"/>
      <c r="IGI107" s="395"/>
      <c r="IGJ107" s="395"/>
      <c r="IGK107" s="395"/>
      <c r="IGL107" s="395"/>
      <c r="IGM107" s="395"/>
      <c r="IGN107" s="395"/>
      <c r="IGO107" s="395"/>
      <c r="IGP107" s="395"/>
      <c r="IGQ107" s="395"/>
      <c r="IGR107" s="395"/>
      <c r="IGS107" s="395"/>
      <c r="IGT107" s="395"/>
      <c r="IGU107" s="395"/>
      <c r="IGV107" s="395"/>
      <c r="IGW107" s="395"/>
      <c r="IGX107" s="395"/>
      <c r="IGY107" s="396"/>
      <c r="IGZ107" s="394"/>
      <c r="IHA107" s="395"/>
      <c r="IHB107" s="395"/>
      <c r="IHC107" s="395"/>
      <c r="IHD107" s="395"/>
      <c r="IHE107" s="395"/>
      <c r="IHF107" s="395"/>
      <c r="IHG107" s="395"/>
      <c r="IHH107" s="395"/>
      <c r="IHI107" s="395"/>
      <c r="IHJ107" s="395"/>
      <c r="IHK107" s="395"/>
      <c r="IHL107" s="395"/>
      <c r="IHM107" s="395"/>
      <c r="IHN107" s="395"/>
      <c r="IHO107" s="395"/>
      <c r="IHP107" s="395"/>
      <c r="IHQ107" s="395"/>
      <c r="IHR107" s="395"/>
      <c r="IHS107" s="395"/>
      <c r="IHT107" s="395"/>
      <c r="IHU107" s="395"/>
      <c r="IHV107" s="395"/>
      <c r="IHW107" s="395"/>
      <c r="IHX107" s="395"/>
      <c r="IHY107" s="395"/>
      <c r="IHZ107" s="396"/>
      <c r="IIA107" s="394"/>
      <c r="IIB107" s="395"/>
      <c r="IIC107" s="395"/>
      <c r="IID107" s="395"/>
      <c r="IIE107" s="395"/>
      <c r="IIF107" s="395"/>
      <c r="IIG107" s="395"/>
      <c r="IIH107" s="395"/>
      <c r="III107" s="395"/>
      <c r="IIJ107" s="395"/>
      <c r="IIK107" s="395"/>
      <c r="IIL107" s="395"/>
      <c r="IIM107" s="395"/>
      <c r="IIN107" s="395"/>
      <c r="IIO107" s="395"/>
      <c r="IIP107" s="395"/>
      <c r="IIQ107" s="395"/>
      <c r="IIR107" s="395"/>
      <c r="IIS107" s="395"/>
      <c r="IIT107" s="395"/>
      <c r="IIU107" s="395"/>
      <c r="IIV107" s="395"/>
      <c r="IIW107" s="395"/>
      <c r="IIX107" s="395"/>
      <c r="IIY107" s="395"/>
      <c r="IIZ107" s="395"/>
      <c r="IJA107" s="396"/>
      <c r="IJB107" s="394"/>
      <c r="IJC107" s="395"/>
      <c r="IJD107" s="395"/>
      <c r="IJE107" s="395"/>
      <c r="IJF107" s="395"/>
      <c r="IJG107" s="395"/>
      <c r="IJH107" s="395"/>
      <c r="IJI107" s="395"/>
      <c r="IJJ107" s="395"/>
      <c r="IJK107" s="395"/>
      <c r="IJL107" s="395"/>
      <c r="IJM107" s="395"/>
      <c r="IJN107" s="395"/>
      <c r="IJO107" s="395"/>
      <c r="IJP107" s="395"/>
      <c r="IJQ107" s="395"/>
      <c r="IJR107" s="395"/>
      <c r="IJS107" s="395"/>
      <c r="IJT107" s="395"/>
      <c r="IJU107" s="395"/>
      <c r="IJV107" s="395"/>
      <c r="IJW107" s="395"/>
      <c r="IJX107" s="395"/>
      <c r="IJY107" s="395"/>
      <c r="IJZ107" s="395"/>
      <c r="IKA107" s="395"/>
      <c r="IKB107" s="396"/>
      <c r="IKC107" s="394"/>
      <c r="IKD107" s="395"/>
      <c r="IKE107" s="395"/>
      <c r="IKF107" s="395"/>
      <c r="IKG107" s="395"/>
      <c r="IKH107" s="395"/>
      <c r="IKI107" s="395"/>
      <c r="IKJ107" s="395"/>
      <c r="IKK107" s="395"/>
      <c r="IKL107" s="395"/>
      <c r="IKM107" s="395"/>
      <c r="IKN107" s="395"/>
      <c r="IKO107" s="395"/>
      <c r="IKP107" s="395"/>
      <c r="IKQ107" s="395"/>
      <c r="IKR107" s="395"/>
      <c r="IKS107" s="395"/>
      <c r="IKT107" s="395"/>
      <c r="IKU107" s="395"/>
      <c r="IKV107" s="395"/>
      <c r="IKW107" s="395"/>
      <c r="IKX107" s="395"/>
      <c r="IKY107" s="395"/>
      <c r="IKZ107" s="395"/>
      <c r="ILA107" s="395"/>
      <c r="ILB107" s="395"/>
      <c r="ILC107" s="396"/>
      <c r="ILD107" s="394"/>
      <c r="ILE107" s="395"/>
      <c r="ILF107" s="395"/>
      <c r="ILG107" s="395"/>
      <c r="ILH107" s="395"/>
      <c r="ILI107" s="395"/>
      <c r="ILJ107" s="395"/>
      <c r="ILK107" s="395"/>
      <c r="ILL107" s="395"/>
      <c r="ILM107" s="395"/>
      <c r="ILN107" s="395"/>
      <c r="ILO107" s="395"/>
      <c r="ILP107" s="395"/>
      <c r="ILQ107" s="395"/>
      <c r="ILR107" s="395"/>
      <c r="ILS107" s="395"/>
      <c r="ILT107" s="395"/>
      <c r="ILU107" s="395"/>
      <c r="ILV107" s="395"/>
      <c r="ILW107" s="395"/>
      <c r="ILX107" s="395"/>
      <c r="ILY107" s="395"/>
      <c r="ILZ107" s="395"/>
      <c r="IMA107" s="395"/>
      <c r="IMB107" s="395"/>
      <c r="IMC107" s="395"/>
      <c r="IMD107" s="396"/>
      <c r="IME107" s="394"/>
      <c r="IMF107" s="395"/>
      <c r="IMG107" s="395"/>
      <c r="IMH107" s="395"/>
      <c r="IMI107" s="395"/>
      <c r="IMJ107" s="395"/>
      <c r="IMK107" s="395"/>
      <c r="IML107" s="395"/>
      <c r="IMM107" s="395"/>
      <c r="IMN107" s="395"/>
      <c r="IMO107" s="395"/>
      <c r="IMP107" s="395"/>
      <c r="IMQ107" s="395"/>
      <c r="IMR107" s="395"/>
      <c r="IMS107" s="395"/>
      <c r="IMT107" s="395"/>
      <c r="IMU107" s="395"/>
      <c r="IMV107" s="395"/>
      <c r="IMW107" s="395"/>
      <c r="IMX107" s="395"/>
      <c r="IMY107" s="395"/>
      <c r="IMZ107" s="395"/>
      <c r="INA107" s="395"/>
      <c r="INB107" s="395"/>
      <c r="INC107" s="395"/>
      <c r="IND107" s="395"/>
      <c r="INE107" s="396"/>
      <c r="INF107" s="394"/>
      <c r="ING107" s="395"/>
      <c r="INH107" s="395"/>
      <c r="INI107" s="395"/>
      <c r="INJ107" s="395"/>
      <c r="INK107" s="395"/>
      <c r="INL107" s="395"/>
      <c r="INM107" s="395"/>
      <c r="INN107" s="395"/>
      <c r="INO107" s="395"/>
      <c r="INP107" s="395"/>
      <c r="INQ107" s="395"/>
      <c r="INR107" s="395"/>
      <c r="INS107" s="395"/>
      <c r="INT107" s="395"/>
      <c r="INU107" s="395"/>
      <c r="INV107" s="395"/>
      <c r="INW107" s="395"/>
      <c r="INX107" s="395"/>
      <c r="INY107" s="395"/>
      <c r="INZ107" s="395"/>
      <c r="IOA107" s="395"/>
      <c r="IOB107" s="395"/>
      <c r="IOC107" s="395"/>
      <c r="IOD107" s="395"/>
      <c r="IOE107" s="395"/>
      <c r="IOF107" s="396"/>
      <c r="IOG107" s="394"/>
      <c r="IOH107" s="395"/>
      <c r="IOI107" s="395"/>
      <c r="IOJ107" s="395"/>
      <c r="IOK107" s="395"/>
      <c r="IOL107" s="395"/>
      <c r="IOM107" s="395"/>
      <c r="ION107" s="395"/>
      <c r="IOO107" s="395"/>
      <c r="IOP107" s="395"/>
      <c r="IOQ107" s="395"/>
      <c r="IOR107" s="395"/>
      <c r="IOS107" s="395"/>
      <c r="IOT107" s="395"/>
      <c r="IOU107" s="395"/>
      <c r="IOV107" s="395"/>
      <c r="IOW107" s="395"/>
      <c r="IOX107" s="395"/>
      <c r="IOY107" s="395"/>
      <c r="IOZ107" s="395"/>
      <c r="IPA107" s="395"/>
      <c r="IPB107" s="395"/>
      <c r="IPC107" s="395"/>
      <c r="IPD107" s="395"/>
      <c r="IPE107" s="395"/>
      <c r="IPF107" s="395"/>
      <c r="IPG107" s="396"/>
      <c r="IPH107" s="394"/>
      <c r="IPI107" s="395"/>
      <c r="IPJ107" s="395"/>
      <c r="IPK107" s="395"/>
      <c r="IPL107" s="395"/>
      <c r="IPM107" s="395"/>
      <c r="IPN107" s="395"/>
      <c r="IPO107" s="395"/>
      <c r="IPP107" s="395"/>
      <c r="IPQ107" s="395"/>
      <c r="IPR107" s="395"/>
      <c r="IPS107" s="395"/>
      <c r="IPT107" s="395"/>
      <c r="IPU107" s="395"/>
      <c r="IPV107" s="395"/>
      <c r="IPW107" s="395"/>
      <c r="IPX107" s="395"/>
      <c r="IPY107" s="395"/>
      <c r="IPZ107" s="395"/>
      <c r="IQA107" s="395"/>
      <c r="IQB107" s="395"/>
      <c r="IQC107" s="395"/>
      <c r="IQD107" s="395"/>
      <c r="IQE107" s="395"/>
      <c r="IQF107" s="395"/>
      <c r="IQG107" s="395"/>
      <c r="IQH107" s="396"/>
      <c r="IQI107" s="394"/>
      <c r="IQJ107" s="395"/>
      <c r="IQK107" s="395"/>
      <c r="IQL107" s="395"/>
      <c r="IQM107" s="395"/>
      <c r="IQN107" s="395"/>
      <c r="IQO107" s="395"/>
      <c r="IQP107" s="395"/>
      <c r="IQQ107" s="395"/>
      <c r="IQR107" s="395"/>
      <c r="IQS107" s="395"/>
      <c r="IQT107" s="395"/>
      <c r="IQU107" s="395"/>
      <c r="IQV107" s="395"/>
      <c r="IQW107" s="395"/>
      <c r="IQX107" s="395"/>
      <c r="IQY107" s="395"/>
      <c r="IQZ107" s="395"/>
      <c r="IRA107" s="395"/>
      <c r="IRB107" s="395"/>
      <c r="IRC107" s="395"/>
      <c r="IRD107" s="395"/>
      <c r="IRE107" s="395"/>
      <c r="IRF107" s="395"/>
      <c r="IRG107" s="395"/>
      <c r="IRH107" s="395"/>
      <c r="IRI107" s="396"/>
      <c r="IRJ107" s="394"/>
      <c r="IRK107" s="395"/>
      <c r="IRL107" s="395"/>
      <c r="IRM107" s="395"/>
      <c r="IRN107" s="395"/>
      <c r="IRO107" s="395"/>
      <c r="IRP107" s="395"/>
      <c r="IRQ107" s="395"/>
      <c r="IRR107" s="395"/>
      <c r="IRS107" s="395"/>
      <c r="IRT107" s="395"/>
      <c r="IRU107" s="395"/>
      <c r="IRV107" s="395"/>
      <c r="IRW107" s="395"/>
      <c r="IRX107" s="395"/>
      <c r="IRY107" s="395"/>
      <c r="IRZ107" s="395"/>
      <c r="ISA107" s="395"/>
      <c r="ISB107" s="395"/>
      <c r="ISC107" s="395"/>
      <c r="ISD107" s="395"/>
      <c r="ISE107" s="395"/>
      <c r="ISF107" s="395"/>
      <c r="ISG107" s="395"/>
      <c r="ISH107" s="395"/>
      <c r="ISI107" s="395"/>
      <c r="ISJ107" s="396"/>
      <c r="ISK107" s="394"/>
      <c r="ISL107" s="395"/>
      <c r="ISM107" s="395"/>
      <c r="ISN107" s="395"/>
      <c r="ISO107" s="395"/>
      <c r="ISP107" s="395"/>
      <c r="ISQ107" s="395"/>
      <c r="ISR107" s="395"/>
      <c r="ISS107" s="395"/>
      <c r="IST107" s="395"/>
      <c r="ISU107" s="395"/>
      <c r="ISV107" s="395"/>
      <c r="ISW107" s="395"/>
      <c r="ISX107" s="395"/>
      <c r="ISY107" s="395"/>
      <c r="ISZ107" s="395"/>
      <c r="ITA107" s="395"/>
      <c r="ITB107" s="395"/>
      <c r="ITC107" s="395"/>
      <c r="ITD107" s="395"/>
      <c r="ITE107" s="395"/>
      <c r="ITF107" s="395"/>
      <c r="ITG107" s="395"/>
      <c r="ITH107" s="395"/>
      <c r="ITI107" s="395"/>
      <c r="ITJ107" s="395"/>
      <c r="ITK107" s="396"/>
      <c r="ITL107" s="394"/>
      <c r="ITM107" s="395"/>
      <c r="ITN107" s="395"/>
      <c r="ITO107" s="395"/>
      <c r="ITP107" s="395"/>
      <c r="ITQ107" s="395"/>
      <c r="ITR107" s="395"/>
      <c r="ITS107" s="395"/>
      <c r="ITT107" s="395"/>
      <c r="ITU107" s="395"/>
      <c r="ITV107" s="395"/>
      <c r="ITW107" s="395"/>
      <c r="ITX107" s="395"/>
      <c r="ITY107" s="395"/>
      <c r="ITZ107" s="395"/>
      <c r="IUA107" s="395"/>
      <c r="IUB107" s="395"/>
      <c r="IUC107" s="395"/>
      <c r="IUD107" s="395"/>
      <c r="IUE107" s="395"/>
      <c r="IUF107" s="395"/>
      <c r="IUG107" s="395"/>
      <c r="IUH107" s="395"/>
      <c r="IUI107" s="395"/>
      <c r="IUJ107" s="395"/>
      <c r="IUK107" s="395"/>
      <c r="IUL107" s="396"/>
      <c r="IUM107" s="394"/>
      <c r="IUN107" s="395"/>
      <c r="IUO107" s="395"/>
      <c r="IUP107" s="395"/>
      <c r="IUQ107" s="395"/>
      <c r="IUR107" s="395"/>
      <c r="IUS107" s="395"/>
      <c r="IUT107" s="395"/>
      <c r="IUU107" s="395"/>
      <c r="IUV107" s="395"/>
      <c r="IUW107" s="395"/>
      <c r="IUX107" s="395"/>
      <c r="IUY107" s="395"/>
      <c r="IUZ107" s="395"/>
      <c r="IVA107" s="395"/>
      <c r="IVB107" s="395"/>
      <c r="IVC107" s="395"/>
      <c r="IVD107" s="395"/>
      <c r="IVE107" s="395"/>
      <c r="IVF107" s="395"/>
      <c r="IVG107" s="395"/>
      <c r="IVH107" s="395"/>
      <c r="IVI107" s="395"/>
      <c r="IVJ107" s="395"/>
      <c r="IVK107" s="395"/>
      <c r="IVL107" s="395"/>
      <c r="IVM107" s="396"/>
      <c r="IVN107" s="394"/>
      <c r="IVO107" s="395"/>
      <c r="IVP107" s="395"/>
      <c r="IVQ107" s="395"/>
      <c r="IVR107" s="395"/>
      <c r="IVS107" s="395"/>
      <c r="IVT107" s="395"/>
      <c r="IVU107" s="395"/>
      <c r="IVV107" s="395"/>
      <c r="IVW107" s="395"/>
      <c r="IVX107" s="395"/>
      <c r="IVY107" s="395"/>
      <c r="IVZ107" s="395"/>
      <c r="IWA107" s="395"/>
      <c r="IWB107" s="395"/>
      <c r="IWC107" s="395"/>
      <c r="IWD107" s="395"/>
      <c r="IWE107" s="395"/>
      <c r="IWF107" s="395"/>
      <c r="IWG107" s="395"/>
      <c r="IWH107" s="395"/>
      <c r="IWI107" s="395"/>
      <c r="IWJ107" s="395"/>
      <c r="IWK107" s="395"/>
      <c r="IWL107" s="395"/>
      <c r="IWM107" s="395"/>
      <c r="IWN107" s="396"/>
      <c r="IWO107" s="394"/>
      <c r="IWP107" s="395"/>
      <c r="IWQ107" s="395"/>
      <c r="IWR107" s="395"/>
      <c r="IWS107" s="395"/>
      <c r="IWT107" s="395"/>
      <c r="IWU107" s="395"/>
      <c r="IWV107" s="395"/>
      <c r="IWW107" s="395"/>
      <c r="IWX107" s="395"/>
      <c r="IWY107" s="395"/>
      <c r="IWZ107" s="395"/>
      <c r="IXA107" s="395"/>
      <c r="IXB107" s="395"/>
      <c r="IXC107" s="395"/>
      <c r="IXD107" s="395"/>
      <c r="IXE107" s="395"/>
      <c r="IXF107" s="395"/>
      <c r="IXG107" s="395"/>
      <c r="IXH107" s="395"/>
      <c r="IXI107" s="395"/>
      <c r="IXJ107" s="395"/>
      <c r="IXK107" s="395"/>
      <c r="IXL107" s="395"/>
      <c r="IXM107" s="395"/>
      <c r="IXN107" s="395"/>
      <c r="IXO107" s="396"/>
      <c r="IXP107" s="394"/>
      <c r="IXQ107" s="395"/>
      <c r="IXR107" s="395"/>
      <c r="IXS107" s="395"/>
      <c r="IXT107" s="395"/>
      <c r="IXU107" s="395"/>
      <c r="IXV107" s="395"/>
      <c r="IXW107" s="395"/>
      <c r="IXX107" s="395"/>
      <c r="IXY107" s="395"/>
      <c r="IXZ107" s="395"/>
      <c r="IYA107" s="395"/>
      <c r="IYB107" s="395"/>
      <c r="IYC107" s="395"/>
      <c r="IYD107" s="395"/>
      <c r="IYE107" s="395"/>
      <c r="IYF107" s="395"/>
      <c r="IYG107" s="395"/>
      <c r="IYH107" s="395"/>
      <c r="IYI107" s="395"/>
      <c r="IYJ107" s="395"/>
      <c r="IYK107" s="395"/>
      <c r="IYL107" s="395"/>
      <c r="IYM107" s="395"/>
      <c r="IYN107" s="395"/>
      <c r="IYO107" s="395"/>
      <c r="IYP107" s="396"/>
      <c r="IYQ107" s="394"/>
      <c r="IYR107" s="395"/>
      <c r="IYS107" s="395"/>
      <c r="IYT107" s="395"/>
      <c r="IYU107" s="395"/>
      <c r="IYV107" s="395"/>
      <c r="IYW107" s="395"/>
      <c r="IYX107" s="395"/>
      <c r="IYY107" s="395"/>
      <c r="IYZ107" s="395"/>
      <c r="IZA107" s="395"/>
      <c r="IZB107" s="395"/>
      <c r="IZC107" s="395"/>
      <c r="IZD107" s="395"/>
      <c r="IZE107" s="395"/>
      <c r="IZF107" s="395"/>
      <c r="IZG107" s="395"/>
      <c r="IZH107" s="395"/>
      <c r="IZI107" s="395"/>
      <c r="IZJ107" s="395"/>
      <c r="IZK107" s="395"/>
      <c r="IZL107" s="395"/>
      <c r="IZM107" s="395"/>
      <c r="IZN107" s="395"/>
      <c r="IZO107" s="395"/>
      <c r="IZP107" s="395"/>
      <c r="IZQ107" s="396"/>
      <c r="IZR107" s="394"/>
      <c r="IZS107" s="395"/>
      <c r="IZT107" s="395"/>
      <c r="IZU107" s="395"/>
      <c r="IZV107" s="395"/>
      <c r="IZW107" s="395"/>
      <c r="IZX107" s="395"/>
      <c r="IZY107" s="395"/>
      <c r="IZZ107" s="395"/>
      <c r="JAA107" s="395"/>
      <c r="JAB107" s="395"/>
      <c r="JAC107" s="395"/>
      <c r="JAD107" s="395"/>
      <c r="JAE107" s="395"/>
      <c r="JAF107" s="395"/>
      <c r="JAG107" s="395"/>
      <c r="JAH107" s="395"/>
      <c r="JAI107" s="395"/>
      <c r="JAJ107" s="395"/>
      <c r="JAK107" s="395"/>
      <c r="JAL107" s="395"/>
      <c r="JAM107" s="395"/>
      <c r="JAN107" s="395"/>
      <c r="JAO107" s="395"/>
      <c r="JAP107" s="395"/>
      <c r="JAQ107" s="395"/>
      <c r="JAR107" s="396"/>
      <c r="JAS107" s="394"/>
      <c r="JAT107" s="395"/>
      <c r="JAU107" s="395"/>
      <c r="JAV107" s="395"/>
      <c r="JAW107" s="395"/>
      <c r="JAX107" s="395"/>
      <c r="JAY107" s="395"/>
      <c r="JAZ107" s="395"/>
      <c r="JBA107" s="395"/>
      <c r="JBB107" s="395"/>
      <c r="JBC107" s="395"/>
      <c r="JBD107" s="395"/>
      <c r="JBE107" s="395"/>
      <c r="JBF107" s="395"/>
      <c r="JBG107" s="395"/>
      <c r="JBH107" s="395"/>
      <c r="JBI107" s="395"/>
      <c r="JBJ107" s="395"/>
      <c r="JBK107" s="395"/>
      <c r="JBL107" s="395"/>
      <c r="JBM107" s="395"/>
      <c r="JBN107" s="395"/>
      <c r="JBO107" s="395"/>
      <c r="JBP107" s="395"/>
      <c r="JBQ107" s="395"/>
      <c r="JBR107" s="395"/>
      <c r="JBS107" s="396"/>
      <c r="JBT107" s="394"/>
      <c r="JBU107" s="395"/>
      <c r="JBV107" s="395"/>
      <c r="JBW107" s="395"/>
      <c r="JBX107" s="395"/>
      <c r="JBY107" s="395"/>
      <c r="JBZ107" s="395"/>
      <c r="JCA107" s="395"/>
      <c r="JCB107" s="395"/>
      <c r="JCC107" s="395"/>
      <c r="JCD107" s="395"/>
      <c r="JCE107" s="395"/>
      <c r="JCF107" s="395"/>
      <c r="JCG107" s="395"/>
      <c r="JCH107" s="395"/>
      <c r="JCI107" s="395"/>
      <c r="JCJ107" s="395"/>
      <c r="JCK107" s="395"/>
      <c r="JCL107" s="395"/>
      <c r="JCM107" s="395"/>
      <c r="JCN107" s="395"/>
      <c r="JCO107" s="395"/>
      <c r="JCP107" s="395"/>
      <c r="JCQ107" s="395"/>
      <c r="JCR107" s="395"/>
      <c r="JCS107" s="395"/>
      <c r="JCT107" s="396"/>
      <c r="JCU107" s="394"/>
      <c r="JCV107" s="395"/>
      <c r="JCW107" s="395"/>
      <c r="JCX107" s="395"/>
      <c r="JCY107" s="395"/>
      <c r="JCZ107" s="395"/>
      <c r="JDA107" s="395"/>
      <c r="JDB107" s="395"/>
      <c r="JDC107" s="395"/>
      <c r="JDD107" s="395"/>
      <c r="JDE107" s="395"/>
      <c r="JDF107" s="395"/>
      <c r="JDG107" s="395"/>
      <c r="JDH107" s="395"/>
      <c r="JDI107" s="395"/>
      <c r="JDJ107" s="395"/>
      <c r="JDK107" s="395"/>
      <c r="JDL107" s="395"/>
      <c r="JDM107" s="395"/>
      <c r="JDN107" s="395"/>
      <c r="JDO107" s="395"/>
      <c r="JDP107" s="395"/>
      <c r="JDQ107" s="395"/>
      <c r="JDR107" s="395"/>
      <c r="JDS107" s="395"/>
      <c r="JDT107" s="395"/>
      <c r="JDU107" s="396"/>
      <c r="JDV107" s="394"/>
      <c r="JDW107" s="395"/>
      <c r="JDX107" s="395"/>
      <c r="JDY107" s="395"/>
      <c r="JDZ107" s="395"/>
      <c r="JEA107" s="395"/>
      <c r="JEB107" s="395"/>
      <c r="JEC107" s="395"/>
      <c r="JED107" s="395"/>
      <c r="JEE107" s="395"/>
      <c r="JEF107" s="395"/>
      <c r="JEG107" s="395"/>
      <c r="JEH107" s="395"/>
      <c r="JEI107" s="395"/>
      <c r="JEJ107" s="395"/>
      <c r="JEK107" s="395"/>
      <c r="JEL107" s="395"/>
      <c r="JEM107" s="395"/>
      <c r="JEN107" s="395"/>
      <c r="JEO107" s="395"/>
      <c r="JEP107" s="395"/>
      <c r="JEQ107" s="395"/>
      <c r="JER107" s="395"/>
      <c r="JES107" s="395"/>
      <c r="JET107" s="395"/>
      <c r="JEU107" s="395"/>
      <c r="JEV107" s="396"/>
      <c r="JEW107" s="394"/>
      <c r="JEX107" s="395"/>
      <c r="JEY107" s="395"/>
      <c r="JEZ107" s="395"/>
      <c r="JFA107" s="395"/>
      <c r="JFB107" s="395"/>
      <c r="JFC107" s="395"/>
      <c r="JFD107" s="395"/>
      <c r="JFE107" s="395"/>
      <c r="JFF107" s="395"/>
      <c r="JFG107" s="395"/>
      <c r="JFH107" s="395"/>
      <c r="JFI107" s="395"/>
      <c r="JFJ107" s="395"/>
      <c r="JFK107" s="395"/>
      <c r="JFL107" s="395"/>
      <c r="JFM107" s="395"/>
      <c r="JFN107" s="395"/>
      <c r="JFO107" s="395"/>
      <c r="JFP107" s="395"/>
      <c r="JFQ107" s="395"/>
      <c r="JFR107" s="395"/>
      <c r="JFS107" s="395"/>
      <c r="JFT107" s="395"/>
      <c r="JFU107" s="395"/>
      <c r="JFV107" s="395"/>
      <c r="JFW107" s="396"/>
      <c r="JFX107" s="394"/>
      <c r="JFY107" s="395"/>
      <c r="JFZ107" s="395"/>
      <c r="JGA107" s="395"/>
      <c r="JGB107" s="395"/>
      <c r="JGC107" s="395"/>
      <c r="JGD107" s="395"/>
      <c r="JGE107" s="395"/>
      <c r="JGF107" s="395"/>
      <c r="JGG107" s="395"/>
      <c r="JGH107" s="395"/>
      <c r="JGI107" s="395"/>
      <c r="JGJ107" s="395"/>
      <c r="JGK107" s="395"/>
      <c r="JGL107" s="395"/>
      <c r="JGM107" s="395"/>
      <c r="JGN107" s="395"/>
      <c r="JGO107" s="395"/>
      <c r="JGP107" s="395"/>
      <c r="JGQ107" s="395"/>
      <c r="JGR107" s="395"/>
      <c r="JGS107" s="395"/>
      <c r="JGT107" s="395"/>
      <c r="JGU107" s="395"/>
      <c r="JGV107" s="395"/>
      <c r="JGW107" s="395"/>
      <c r="JGX107" s="396"/>
      <c r="JGY107" s="394"/>
      <c r="JGZ107" s="395"/>
      <c r="JHA107" s="395"/>
      <c r="JHB107" s="395"/>
      <c r="JHC107" s="395"/>
      <c r="JHD107" s="395"/>
      <c r="JHE107" s="395"/>
      <c r="JHF107" s="395"/>
      <c r="JHG107" s="395"/>
      <c r="JHH107" s="395"/>
      <c r="JHI107" s="395"/>
      <c r="JHJ107" s="395"/>
      <c r="JHK107" s="395"/>
      <c r="JHL107" s="395"/>
      <c r="JHM107" s="395"/>
      <c r="JHN107" s="395"/>
      <c r="JHO107" s="395"/>
      <c r="JHP107" s="395"/>
      <c r="JHQ107" s="395"/>
      <c r="JHR107" s="395"/>
      <c r="JHS107" s="395"/>
      <c r="JHT107" s="395"/>
      <c r="JHU107" s="395"/>
      <c r="JHV107" s="395"/>
      <c r="JHW107" s="395"/>
      <c r="JHX107" s="395"/>
      <c r="JHY107" s="396"/>
      <c r="JHZ107" s="394"/>
      <c r="JIA107" s="395"/>
      <c r="JIB107" s="395"/>
      <c r="JIC107" s="395"/>
      <c r="JID107" s="395"/>
      <c r="JIE107" s="395"/>
      <c r="JIF107" s="395"/>
      <c r="JIG107" s="395"/>
      <c r="JIH107" s="395"/>
      <c r="JII107" s="395"/>
      <c r="JIJ107" s="395"/>
      <c r="JIK107" s="395"/>
      <c r="JIL107" s="395"/>
      <c r="JIM107" s="395"/>
      <c r="JIN107" s="395"/>
      <c r="JIO107" s="395"/>
      <c r="JIP107" s="395"/>
      <c r="JIQ107" s="395"/>
      <c r="JIR107" s="395"/>
      <c r="JIS107" s="395"/>
      <c r="JIT107" s="395"/>
      <c r="JIU107" s="395"/>
      <c r="JIV107" s="395"/>
      <c r="JIW107" s="395"/>
      <c r="JIX107" s="395"/>
      <c r="JIY107" s="395"/>
      <c r="JIZ107" s="396"/>
      <c r="JJA107" s="394"/>
      <c r="JJB107" s="395"/>
      <c r="JJC107" s="395"/>
      <c r="JJD107" s="395"/>
      <c r="JJE107" s="395"/>
      <c r="JJF107" s="395"/>
      <c r="JJG107" s="395"/>
      <c r="JJH107" s="395"/>
      <c r="JJI107" s="395"/>
      <c r="JJJ107" s="395"/>
      <c r="JJK107" s="395"/>
      <c r="JJL107" s="395"/>
      <c r="JJM107" s="395"/>
      <c r="JJN107" s="395"/>
      <c r="JJO107" s="395"/>
      <c r="JJP107" s="395"/>
      <c r="JJQ107" s="395"/>
      <c r="JJR107" s="395"/>
      <c r="JJS107" s="395"/>
      <c r="JJT107" s="395"/>
      <c r="JJU107" s="395"/>
      <c r="JJV107" s="395"/>
      <c r="JJW107" s="395"/>
      <c r="JJX107" s="395"/>
      <c r="JJY107" s="395"/>
      <c r="JJZ107" s="395"/>
      <c r="JKA107" s="396"/>
      <c r="JKB107" s="394"/>
      <c r="JKC107" s="395"/>
      <c r="JKD107" s="395"/>
      <c r="JKE107" s="395"/>
      <c r="JKF107" s="395"/>
      <c r="JKG107" s="395"/>
      <c r="JKH107" s="395"/>
      <c r="JKI107" s="395"/>
      <c r="JKJ107" s="395"/>
      <c r="JKK107" s="395"/>
      <c r="JKL107" s="395"/>
      <c r="JKM107" s="395"/>
      <c r="JKN107" s="395"/>
      <c r="JKO107" s="395"/>
      <c r="JKP107" s="395"/>
      <c r="JKQ107" s="395"/>
      <c r="JKR107" s="395"/>
      <c r="JKS107" s="395"/>
      <c r="JKT107" s="395"/>
      <c r="JKU107" s="395"/>
      <c r="JKV107" s="395"/>
      <c r="JKW107" s="395"/>
      <c r="JKX107" s="395"/>
      <c r="JKY107" s="395"/>
      <c r="JKZ107" s="395"/>
      <c r="JLA107" s="395"/>
      <c r="JLB107" s="396"/>
      <c r="JLC107" s="394"/>
      <c r="JLD107" s="395"/>
      <c r="JLE107" s="395"/>
      <c r="JLF107" s="395"/>
      <c r="JLG107" s="395"/>
      <c r="JLH107" s="395"/>
      <c r="JLI107" s="395"/>
      <c r="JLJ107" s="395"/>
      <c r="JLK107" s="395"/>
      <c r="JLL107" s="395"/>
      <c r="JLM107" s="395"/>
      <c r="JLN107" s="395"/>
      <c r="JLO107" s="395"/>
      <c r="JLP107" s="395"/>
      <c r="JLQ107" s="395"/>
      <c r="JLR107" s="395"/>
      <c r="JLS107" s="395"/>
      <c r="JLT107" s="395"/>
      <c r="JLU107" s="395"/>
      <c r="JLV107" s="395"/>
      <c r="JLW107" s="395"/>
      <c r="JLX107" s="395"/>
      <c r="JLY107" s="395"/>
      <c r="JLZ107" s="395"/>
      <c r="JMA107" s="395"/>
      <c r="JMB107" s="395"/>
      <c r="JMC107" s="396"/>
      <c r="JMD107" s="394"/>
      <c r="JME107" s="395"/>
      <c r="JMF107" s="395"/>
      <c r="JMG107" s="395"/>
      <c r="JMH107" s="395"/>
      <c r="JMI107" s="395"/>
      <c r="JMJ107" s="395"/>
      <c r="JMK107" s="395"/>
      <c r="JML107" s="395"/>
      <c r="JMM107" s="395"/>
      <c r="JMN107" s="395"/>
      <c r="JMO107" s="395"/>
      <c r="JMP107" s="395"/>
      <c r="JMQ107" s="395"/>
      <c r="JMR107" s="395"/>
      <c r="JMS107" s="395"/>
      <c r="JMT107" s="395"/>
      <c r="JMU107" s="395"/>
      <c r="JMV107" s="395"/>
      <c r="JMW107" s="395"/>
      <c r="JMX107" s="395"/>
      <c r="JMY107" s="395"/>
      <c r="JMZ107" s="395"/>
      <c r="JNA107" s="395"/>
      <c r="JNB107" s="395"/>
      <c r="JNC107" s="395"/>
      <c r="JND107" s="396"/>
      <c r="JNE107" s="394"/>
      <c r="JNF107" s="395"/>
      <c r="JNG107" s="395"/>
      <c r="JNH107" s="395"/>
      <c r="JNI107" s="395"/>
      <c r="JNJ107" s="395"/>
      <c r="JNK107" s="395"/>
      <c r="JNL107" s="395"/>
      <c r="JNM107" s="395"/>
      <c r="JNN107" s="395"/>
      <c r="JNO107" s="395"/>
      <c r="JNP107" s="395"/>
      <c r="JNQ107" s="395"/>
      <c r="JNR107" s="395"/>
      <c r="JNS107" s="395"/>
      <c r="JNT107" s="395"/>
      <c r="JNU107" s="395"/>
      <c r="JNV107" s="395"/>
      <c r="JNW107" s="395"/>
      <c r="JNX107" s="395"/>
      <c r="JNY107" s="395"/>
      <c r="JNZ107" s="395"/>
      <c r="JOA107" s="395"/>
      <c r="JOB107" s="395"/>
      <c r="JOC107" s="395"/>
      <c r="JOD107" s="395"/>
      <c r="JOE107" s="396"/>
      <c r="JOF107" s="394"/>
      <c r="JOG107" s="395"/>
      <c r="JOH107" s="395"/>
      <c r="JOI107" s="395"/>
      <c r="JOJ107" s="395"/>
      <c r="JOK107" s="395"/>
      <c r="JOL107" s="395"/>
      <c r="JOM107" s="395"/>
      <c r="JON107" s="395"/>
      <c r="JOO107" s="395"/>
      <c r="JOP107" s="395"/>
      <c r="JOQ107" s="395"/>
      <c r="JOR107" s="395"/>
      <c r="JOS107" s="395"/>
      <c r="JOT107" s="395"/>
      <c r="JOU107" s="395"/>
      <c r="JOV107" s="395"/>
      <c r="JOW107" s="395"/>
      <c r="JOX107" s="395"/>
      <c r="JOY107" s="395"/>
      <c r="JOZ107" s="395"/>
      <c r="JPA107" s="395"/>
      <c r="JPB107" s="395"/>
      <c r="JPC107" s="395"/>
      <c r="JPD107" s="395"/>
      <c r="JPE107" s="395"/>
      <c r="JPF107" s="396"/>
      <c r="JPG107" s="394"/>
      <c r="JPH107" s="395"/>
      <c r="JPI107" s="395"/>
      <c r="JPJ107" s="395"/>
      <c r="JPK107" s="395"/>
      <c r="JPL107" s="395"/>
      <c r="JPM107" s="395"/>
      <c r="JPN107" s="395"/>
      <c r="JPO107" s="395"/>
      <c r="JPP107" s="395"/>
      <c r="JPQ107" s="395"/>
      <c r="JPR107" s="395"/>
      <c r="JPS107" s="395"/>
      <c r="JPT107" s="395"/>
      <c r="JPU107" s="395"/>
      <c r="JPV107" s="395"/>
      <c r="JPW107" s="395"/>
      <c r="JPX107" s="395"/>
      <c r="JPY107" s="395"/>
      <c r="JPZ107" s="395"/>
      <c r="JQA107" s="395"/>
      <c r="JQB107" s="395"/>
      <c r="JQC107" s="395"/>
      <c r="JQD107" s="395"/>
      <c r="JQE107" s="395"/>
      <c r="JQF107" s="395"/>
      <c r="JQG107" s="396"/>
      <c r="JQH107" s="394"/>
      <c r="JQI107" s="395"/>
      <c r="JQJ107" s="395"/>
      <c r="JQK107" s="395"/>
      <c r="JQL107" s="395"/>
      <c r="JQM107" s="395"/>
      <c r="JQN107" s="395"/>
      <c r="JQO107" s="395"/>
      <c r="JQP107" s="395"/>
      <c r="JQQ107" s="395"/>
      <c r="JQR107" s="395"/>
      <c r="JQS107" s="395"/>
      <c r="JQT107" s="395"/>
      <c r="JQU107" s="395"/>
      <c r="JQV107" s="395"/>
      <c r="JQW107" s="395"/>
      <c r="JQX107" s="395"/>
      <c r="JQY107" s="395"/>
      <c r="JQZ107" s="395"/>
      <c r="JRA107" s="395"/>
      <c r="JRB107" s="395"/>
      <c r="JRC107" s="395"/>
      <c r="JRD107" s="395"/>
      <c r="JRE107" s="395"/>
      <c r="JRF107" s="395"/>
      <c r="JRG107" s="395"/>
      <c r="JRH107" s="396"/>
      <c r="JRI107" s="394"/>
      <c r="JRJ107" s="395"/>
      <c r="JRK107" s="395"/>
      <c r="JRL107" s="395"/>
      <c r="JRM107" s="395"/>
      <c r="JRN107" s="395"/>
      <c r="JRO107" s="395"/>
      <c r="JRP107" s="395"/>
      <c r="JRQ107" s="395"/>
      <c r="JRR107" s="395"/>
      <c r="JRS107" s="395"/>
      <c r="JRT107" s="395"/>
      <c r="JRU107" s="395"/>
      <c r="JRV107" s="395"/>
      <c r="JRW107" s="395"/>
      <c r="JRX107" s="395"/>
      <c r="JRY107" s="395"/>
      <c r="JRZ107" s="395"/>
      <c r="JSA107" s="395"/>
      <c r="JSB107" s="395"/>
      <c r="JSC107" s="395"/>
      <c r="JSD107" s="395"/>
      <c r="JSE107" s="395"/>
      <c r="JSF107" s="395"/>
      <c r="JSG107" s="395"/>
      <c r="JSH107" s="395"/>
      <c r="JSI107" s="396"/>
      <c r="JSJ107" s="394"/>
      <c r="JSK107" s="395"/>
      <c r="JSL107" s="395"/>
      <c r="JSM107" s="395"/>
      <c r="JSN107" s="395"/>
      <c r="JSO107" s="395"/>
      <c r="JSP107" s="395"/>
      <c r="JSQ107" s="395"/>
      <c r="JSR107" s="395"/>
      <c r="JSS107" s="395"/>
      <c r="JST107" s="395"/>
      <c r="JSU107" s="395"/>
      <c r="JSV107" s="395"/>
      <c r="JSW107" s="395"/>
      <c r="JSX107" s="395"/>
      <c r="JSY107" s="395"/>
      <c r="JSZ107" s="395"/>
      <c r="JTA107" s="395"/>
      <c r="JTB107" s="395"/>
      <c r="JTC107" s="395"/>
      <c r="JTD107" s="395"/>
      <c r="JTE107" s="395"/>
      <c r="JTF107" s="395"/>
      <c r="JTG107" s="395"/>
      <c r="JTH107" s="395"/>
      <c r="JTI107" s="395"/>
      <c r="JTJ107" s="396"/>
      <c r="JTK107" s="394"/>
      <c r="JTL107" s="395"/>
      <c r="JTM107" s="395"/>
      <c r="JTN107" s="395"/>
      <c r="JTO107" s="395"/>
      <c r="JTP107" s="395"/>
      <c r="JTQ107" s="395"/>
      <c r="JTR107" s="395"/>
      <c r="JTS107" s="395"/>
      <c r="JTT107" s="395"/>
      <c r="JTU107" s="395"/>
      <c r="JTV107" s="395"/>
      <c r="JTW107" s="395"/>
      <c r="JTX107" s="395"/>
      <c r="JTY107" s="395"/>
      <c r="JTZ107" s="395"/>
      <c r="JUA107" s="395"/>
      <c r="JUB107" s="395"/>
      <c r="JUC107" s="395"/>
      <c r="JUD107" s="395"/>
      <c r="JUE107" s="395"/>
      <c r="JUF107" s="395"/>
      <c r="JUG107" s="395"/>
      <c r="JUH107" s="395"/>
      <c r="JUI107" s="395"/>
      <c r="JUJ107" s="395"/>
      <c r="JUK107" s="396"/>
      <c r="JUL107" s="394"/>
      <c r="JUM107" s="395"/>
      <c r="JUN107" s="395"/>
      <c r="JUO107" s="395"/>
      <c r="JUP107" s="395"/>
      <c r="JUQ107" s="395"/>
      <c r="JUR107" s="395"/>
      <c r="JUS107" s="395"/>
      <c r="JUT107" s="395"/>
      <c r="JUU107" s="395"/>
      <c r="JUV107" s="395"/>
      <c r="JUW107" s="395"/>
      <c r="JUX107" s="395"/>
      <c r="JUY107" s="395"/>
      <c r="JUZ107" s="395"/>
      <c r="JVA107" s="395"/>
      <c r="JVB107" s="395"/>
      <c r="JVC107" s="395"/>
      <c r="JVD107" s="395"/>
      <c r="JVE107" s="395"/>
      <c r="JVF107" s="395"/>
      <c r="JVG107" s="395"/>
      <c r="JVH107" s="395"/>
      <c r="JVI107" s="395"/>
      <c r="JVJ107" s="395"/>
      <c r="JVK107" s="395"/>
      <c r="JVL107" s="396"/>
      <c r="JVM107" s="394"/>
      <c r="JVN107" s="395"/>
      <c r="JVO107" s="395"/>
      <c r="JVP107" s="395"/>
      <c r="JVQ107" s="395"/>
      <c r="JVR107" s="395"/>
      <c r="JVS107" s="395"/>
      <c r="JVT107" s="395"/>
      <c r="JVU107" s="395"/>
      <c r="JVV107" s="395"/>
      <c r="JVW107" s="395"/>
      <c r="JVX107" s="395"/>
      <c r="JVY107" s="395"/>
      <c r="JVZ107" s="395"/>
      <c r="JWA107" s="395"/>
      <c r="JWB107" s="395"/>
      <c r="JWC107" s="395"/>
      <c r="JWD107" s="395"/>
      <c r="JWE107" s="395"/>
      <c r="JWF107" s="395"/>
      <c r="JWG107" s="395"/>
      <c r="JWH107" s="395"/>
      <c r="JWI107" s="395"/>
      <c r="JWJ107" s="395"/>
      <c r="JWK107" s="395"/>
      <c r="JWL107" s="395"/>
      <c r="JWM107" s="396"/>
      <c r="JWN107" s="394"/>
      <c r="JWO107" s="395"/>
      <c r="JWP107" s="395"/>
      <c r="JWQ107" s="395"/>
      <c r="JWR107" s="395"/>
      <c r="JWS107" s="395"/>
      <c r="JWT107" s="395"/>
      <c r="JWU107" s="395"/>
      <c r="JWV107" s="395"/>
      <c r="JWW107" s="395"/>
      <c r="JWX107" s="395"/>
      <c r="JWY107" s="395"/>
      <c r="JWZ107" s="395"/>
      <c r="JXA107" s="395"/>
      <c r="JXB107" s="395"/>
      <c r="JXC107" s="395"/>
      <c r="JXD107" s="395"/>
      <c r="JXE107" s="395"/>
      <c r="JXF107" s="395"/>
      <c r="JXG107" s="395"/>
      <c r="JXH107" s="395"/>
      <c r="JXI107" s="395"/>
      <c r="JXJ107" s="395"/>
      <c r="JXK107" s="395"/>
      <c r="JXL107" s="395"/>
      <c r="JXM107" s="395"/>
      <c r="JXN107" s="396"/>
      <c r="JXO107" s="394"/>
      <c r="JXP107" s="395"/>
      <c r="JXQ107" s="395"/>
      <c r="JXR107" s="395"/>
      <c r="JXS107" s="395"/>
      <c r="JXT107" s="395"/>
      <c r="JXU107" s="395"/>
      <c r="JXV107" s="395"/>
      <c r="JXW107" s="395"/>
      <c r="JXX107" s="395"/>
      <c r="JXY107" s="395"/>
      <c r="JXZ107" s="395"/>
      <c r="JYA107" s="395"/>
      <c r="JYB107" s="395"/>
      <c r="JYC107" s="395"/>
      <c r="JYD107" s="395"/>
      <c r="JYE107" s="395"/>
      <c r="JYF107" s="395"/>
      <c r="JYG107" s="395"/>
      <c r="JYH107" s="395"/>
      <c r="JYI107" s="395"/>
      <c r="JYJ107" s="395"/>
      <c r="JYK107" s="395"/>
      <c r="JYL107" s="395"/>
      <c r="JYM107" s="395"/>
      <c r="JYN107" s="395"/>
      <c r="JYO107" s="396"/>
      <c r="JYP107" s="394"/>
      <c r="JYQ107" s="395"/>
      <c r="JYR107" s="395"/>
      <c r="JYS107" s="395"/>
      <c r="JYT107" s="395"/>
      <c r="JYU107" s="395"/>
      <c r="JYV107" s="395"/>
      <c r="JYW107" s="395"/>
      <c r="JYX107" s="395"/>
      <c r="JYY107" s="395"/>
      <c r="JYZ107" s="395"/>
      <c r="JZA107" s="395"/>
      <c r="JZB107" s="395"/>
      <c r="JZC107" s="395"/>
      <c r="JZD107" s="395"/>
      <c r="JZE107" s="395"/>
      <c r="JZF107" s="395"/>
      <c r="JZG107" s="395"/>
      <c r="JZH107" s="395"/>
      <c r="JZI107" s="395"/>
      <c r="JZJ107" s="395"/>
      <c r="JZK107" s="395"/>
      <c r="JZL107" s="395"/>
      <c r="JZM107" s="395"/>
      <c r="JZN107" s="395"/>
      <c r="JZO107" s="395"/>
      <c r="JZP107" s="396"/>
      <c r="JZQ107" s="394"/>
      <c r="JZR107" s="395"/>
      <c r="JZS107" s="395"/>
      <c r="JZT107" s="395"/>
      <c r="JZU107" s="395"/>
      <c r="JZV107" s="395"/>
      <c r="JZW107" s="395"/>
      <c r="JZX107" s="395"/>
      <c r="JZY107" s="395"/>
      <c r="JZZ107" s="395"/>
      <c r="KAA107" s="395"/>
      <c r="KAB107" s="395"/>
      <c r="KAC107" s="395"/>
      <c r="KAD107" s="395"/>
      <c r="KAE107" s="395"/>
      <c r="KAF107" s="395"/>
      <c r="KAG107" s="395"/>
      <c r="KAH107" s="395"/>
      <c r="KAI107" s="395"/>
      <c r="KAJ107" s="395"/>
      <c r="KAK107" s="395"/>
      <c r="KAL107" s="395"/>
      <c r="KAM107" s="395"/>
      <c r="KAN107" s="395"/>
      <c r="KAO107" s="395"/>
      <c r="KAP107" s="395"/>
      <c r="KAQ107" s="396"/>
      <c r="KAR107" s="394"/>
      <c r="KAS107" s="395"/>
      <c r="KAT107" s="395"/>
      <c r="KAU107" s="395"/>
      <c r="KAV107" s="395"/>
      <c r="KAW107" s="395"/>
      <c r="KAX107" s="395"/>
      <c r="KAY107" s="395"/>
      <c r="KAZ107" s="395"/>
      <c r="KBA107" s="395"/>
      <c r="KBB107" s="395"/>
      <c r="KBC107" s="395"/>
      <c r="KBD107" s="395"/>
      <c r="KBE107" s="395"/>
      <c r="KBF107" s="395"/>
      <c r="KBG107" s="395"/>
      <c r="KBH107" s="395"/>
      <c r="KBI107" s="395"/>
      <c r="KBJ107" s="395"/>
      <c r="KBK107" s="395"/>
      <c r="KBL107" s="395"/>
      <c r="KBM107" s="395"/>
      <c r="KBN107" s="395"/>
      <c r="KBO107" s="395"/>
      <c r="KBP107" s="395"/>
      <c r="KBQ107" s="395"/>
      <c r="KBR107" s="396"/>
      <c r="KBS107" s="394"/>
      <c r="KBT107" s="395"/>
      <c r="KBU107" s="395"/>
      <c r="KBV107" s="395"/>
      <c r="KBW107" s="395"/>
      <c r="KBX107" s="395"/>
      <c r="KBY107" s="395"/>
      <c r="KBZ107" s="395"/>
      <c r="KCA107" s="395"/>
      <c r="KCB107" s="395"/>
      <c r="KCC107" s="395"/>
      <c r="KCD107" s="395"/>
      <c r="KCE107" s="395"/>
      <c r="KCF107" s="395"/>
      <c r="KCG107" s="395"/>
      <c r="KCH107" s="395"/>
      <c r="KCI107" s="395"/>
      <c r="KCJ107" s="395"/>
      <c r="KCK107" s="395"/>
      <c r="KCL107" s="395"/>
      <c r="KCM107" s="395"/>
      <c r="KCN107" s="395"/>
      <c r="KCO107" s="395"/>
      <c r="KCP107" s="395"/>
      <c r="KCQ107" s="395"/>
      <c r="KCR107" s="395"/>
      <c r="KCS107" s="396"/>
      <c r="KCT107" s="394"/>
      <c r="KCU107" s="395"/>
      <c r="KCV107" s="395"/>
      <c r="KCW107" s="395"/>
      <c r="KCX107" s="395"/>
      <c r="KCY107" s="395"/>
      <c r="KCZ107" s="395"/>
      <c r="KDA107" s="395"/>
      <c r="KDB107" s="395"/>
      <c r="KDC107" s="395"/>
      <c r="KDD107" s="395"/>
      <c r="KDE107" s="395"/>
      <c r="KDF107" s="395"/>
      <c r="KDG107" s="395"/>
      <c r="KDH107" s="395"/>
      <c r="KDI107" s="395"/>
      <c r="KDJ107" s="395"/>
      <c r="KDK107" s="395"/>
      <c r="KDL107" s="395"/>
      <c r="KDM107" s="395"/>
      <c r="KDN107" s="395"/>
      <c r="KDO107" s="395"/>
      <c r="KDP107" s="395"/>
      <c r="KDQ107" s="395"/>
      <c r="KDR107" s="395"/>
      <c r="KDS107" s="395"/>
      <c r="KDT107" s="396"/>
      <c r="KDU107" s="394"/>
      <c r="KDV107" s="395"/>
      <c r="KDW107" s="395"/>
      <c r="KDX107" s="395"/>
      <c r="KDY107" s="395"/>
      <c r="KDZ107" s="395"/>
      <c r="KEA107" s="395"/>
      <c r="KEB107" s="395"/>
      <c r="KEC107" s="395"/>
      <c r="KED107" s="395"/>
      <c r="KEE107" s="395"/>
      <c r="KEF107" s="395"/>
      <c r="KEG107" s="395"/>
      <c r="KEH107" s="395"/>
      <c r="KEI107" s="395"/>
      <c r="KEJ107" s="395"/>
      <c r="KEK107" s="395"/>
      <c r="KEL107" s="395"/>
      <c r="KEM107" s="395"/>
      <c r="KEN107" s="395"/>
      <c r="KEO107" s="395"/>
      <c r="KEP107" s="395"/>
      <c r="KEQ107" s="395"/>
      <c r="KER107" s="395"/>
      <c r="KES107" s="395"/>
      <c r="KET107" s="395"/>
      <c r="KEU107" s="396"/>
      <c r="KEV107" s="394"/>
      <c r="KEW107" s="395"/>
      <c r="KEX107" s="395"/>
      <c r="KEY107" s="395"/>
      <c r="KEZ107" s="395"/>
      <c r="KFA107" s="395"/>
      <c r="KFB107" s="395"/>
      <c r="KFC107" s="395"/>
      <c r="KFD107" s="395"/>
      <c r="KFE107" s="395"/>
      <c r="KFF107" s="395"/>
      <c r="KFG107" s="395"/>
      <c r="KFH107" s="395"/>
      <c r="KFI107" s="395"/>
      <c r="KFJ107" s="395"/>
      <c r="KFK107" s="395"/>
      <c r="KFL107" s="395"/>
      <c r="KFM107" s="395"/>
      <c r="KFN107" s="395"/>
      <c r="KFO107" s="395"/>
      <c r="KFP107" s="395"/>
      <c r="KFQ107" s="395"/>
      <c r="KFR107" s="395"/>
      <c r="KFS107" s="395"/>
      <c r="KFT107" s="395"/>
      <c r="KFU107" s="395"/>
      <c r="KFV107" s="396"/>
      <c r="KFW107" s="394"/>
      <c r="KFX107" s="395"/>
      <c r="KFY107" s="395"/>
      <c r="KFZ107" s="395"/>
      <c r="KGA107" s="395"/>
      <c r="KGB107" s="395"/>
      <c r="KGC107" s="395"/>
      <c r="KGD107" s="395"/>
      <c r="KGE107" s="395"/>
      <c r="KGF107" s="395"/>
      <c r="KGG107" s="395"/>
      <c r="KGH107" s="395"/>
      <c r="KGI107" s="395"/>
      <c r="KGJ107" s="395"/>
      <c r="KGK107" s="395"/>
      <c r="KGL107" s="395"/>
      <c r="KGM107" s="395"/>
      <c r="KGN107" s="395"/>
      <c r="KGO107" s="395"/>
      <c r="KGP107" s="395"/>
      <c r="KGQ107" s="395"/>
      <c r="KGR107" s="395"/>
      <c r="KGS107" s="395"/>
      <c r="KGT107" s="395"/>
      <c r="KGU107" s="395"/>
      <c r="KGV107" s="395"/>
      <c r="KGW107" s="396"/>
      <c r="KGX107" s="394"/>
      <c r="KGY107" s="395"/>
      <c r="KGZ107" s="395"/>
      <c r="KHA107" s="395"/>
      <c r="KHB107" s="395"/>
      <c r="KHC107" s="395"/>
      <c r="KHD107" s="395"/>
      <c r="KHE107" s="395"/>
      <c r="KHF107" s="395"/>
      <c r="KHG107" s="395"/>
      <c r="KHH107" s="395"/>
      <c r="KHI107" s="395"/>
      <c r="KHJ107" s="395"/>
      <c r="KHK107" s="395"/>
      <c r="KHL107" s="395"/>
      <c r="KHM107" s="395"/>
      <c r="KHN107" s="395"/>
      <c r="KHO107" s="395"/>
      <c r="KHP107" s="395"/>
      <c r="KHQ107" s="395"/>
      <c r="KHR107" s="395"/>
      <c r="KHS107" s="395"/>
      <c r="KHT107" s="395"/>
      <c r="KHU107" s="395"/>
      <c r="KHV107" s="395"/>
      <c r="KHW107" s="395"/>
      <c r="KHX107" s="396"/>
      <c r="KHY107" s="394"/>
      <c r="KHZ107" s="395"/>
      <c r="KIA107" s="395"/>
      <c r="KIB107" s="395"/>
      <c r="KIC107" s="395"/>
      <c r="KID107" s="395"/>
      <c r="KIE107" s="395"/>
      <c r="KIF107" s="395"/>
      <c r="KIG107" s="395"/>
      <c r="KIH107" s="395"/>
      <c r="KII107" s="395"/>
      <c r="KIJ107" s="395"/>
      <c r="KIK107" s="395"/>
      <c r="KIL107" s="395"/>
      <c r="KIM107" s="395"/>
      <c r="KIN107" s="395"/>
      <c r="KIO107" s="395"/>
      <c r="KIP107" s="395"/>
      <c r="KIQ107" s="395"/>
      <c r="KIR107" s="395"/>
      <c r="KIS107" s="395"/>
      <c r="KIT107" s="395"/>
      <c r="KIU107" s="395"/>
      <c r="KIV107" s="395"/>
      <c r="KIW107" s="395"/>
      <c r="KIX107" s="395"/>
      <c r="KIY107" s="396"/>
      <c r="KIZ107" s="394"/>
      <c r="KJA107" s="395"/>
      <c r="KJB107" s="395"/>
      <c r="KJC107" s="395"/>
      <c r="KJD107" s="395"/>
      <c r="KJE107" s="395"/>
      <c r="KJF107" s="395"/>
      <c r="KJG107" s="395"/>
      <c r="KJH107" s="395"/>
      <c r="KJI107" s="395"/>
      <c r="KJJ107" s="395"/>
      <c r="KJK107" s="395"/>
      <c r="KJL107" s="395"/>
      <c r="KJM107" s="395"/>
      <c r="KJN107" s="395"/>
      <c r="KJO107" s="395"/>
      <c r="KJP107" s="395"/>
      <c r="KJQ107" s="395"/>
      <c r="KJR107" s="395"/>
      <c r="KJS107" s="395"/>
      <c r="KJT107" s="395"/>
      <c r="KJU107" s="395"/>
      <c r="KJV107" s="395"/>
      <c r="KJW107" s="395"/>
      <c r="KJX107" s="395"/>
      <c r="KJY107" s="395"/>
      <c r="KJZ107" s="396"/>
      <c r="KKA107" s="394"/>
      <c r="KKB107" s="395"/>
      <c r="KKC107" s="395"/>
      <c r="KKD107" s="395"/>
      <c r="KKE107" s="395"/>
      <c r="KKF107" s="395"/>
      <c r="KKG107" s="395"/>
      <c r="KKH107" s="395"/>
      <c r="KKI107" s="395"/>
      <c r="KKJ107" s="395"/>
      <c r="KKK107" s="395"/>
      <c r="KKL107" s="395"/>
      <c r="KKM107" s="395"/>
      <c r="KKN107" s="395"/>
      <c r="KKO107" s="395"/>
      <c r="KKP107" s="395"/>
      <c r="KKQ107" s="395"/>
      <c r="KKR107" s="395"/>
      <c r="KKS107" s="395"/>
      <c r="KKT107" s="395"/>
      <c r="KKU107" s="395"/>
      <c r="KKV107" s="395"/>
      <c r="KKW107" s="395"/>
      <c r="KKX107" s="395"/>
      <c r="KKY107" s="395"/>
      <c r="KKZ107" s="395"/>
      <c r="KLA107" s="396"/>
      <c r="KLB107" s="394"/>
      <c r="KLC107" s="395"/>
      <c r="KLD107" s="395"/>
      <c r="KLE107" s="395"/>
      <c r="KLF107" s="395"/>
      <c r="KLG107" s="395"/>
      <c r="KLH107" s="395"/>
      <c r="KLI107" s="395"/>
      <c r="KLJ107" s="395"/>
      <c r="KLK107" s="395"/>
      <c r="KLL107" s="395"/>
      <c r="KLM107" s="395"/>
      <c r="KLN107" s="395"/>
      <c r="KLO107" s="395"/>
      <c r="KLP107" s="395"/>
      <c r="KLQ107" s="395"/>
      <c r="KLR107" s="395"/>
      <c r="KLS107" s="395"/>
      <c r="KLT107" s="395"/>
      <c r="KLU107" s="395"/>
      <c r="KLV107" s="395"/>
      <c r="KLW107" s="395"/>
      <c r="KLX107" s="395"/>
      <c r="KLY107" s="395"/>
      <c r="KLZ107" s="395"/>
      <c r="KMA107" s="395"/>
      <c r="KMB107" s="396"/>
      <c r="KMC107" s="394"/>
      <c r="KMD107" s="395"/>
      <c r="KME107" s="395"/>
      <c r="KMF107" s="395"/>
      <c r="KMG107" s="395"/>
      <c r="KMH107" s="395"/>
      <c r="KMI107" s="395"/>
      <c r="KMJ107" s="395"/>
      <c r="KMK107" s="395"/>
      <c r="KML107" s="395"/>
      <c r="KMM107" s="395"/>
      <c r="KMN107" s="395"/>
      <c r="KMO107" s="395"/>
      <c r="KMP107" s="395"/>
      <c r="KMQ107" s="395"/>
      <c r="KMR107" s="395"/>
      <c r="KMS107" s="395"/>
      <c r="KMT107" s="395"/>
      <c r="KMU107" s="395"/>
      <c r="KMV107" s="395"/>
      <c r="KMW107" s="395"/>
      <c r="KMX107" s="395"/>
      <c r="KMY107" s="395"/>
      <c r="KMZ107" s="395"/>
      <c r="KNA107" s="395"/>
      <c r="KNB107" s="395"/>
      <c r="KNC107" s="396"/>
      <c r="KND107" s="394"/>
      <c r="KNE107" s="395"/>
      <c r="KNF107" s="395"/>
      <c r="KNG107" s="395"/>
      <c r="KNH107" s="395"/>
      <c r="KNI107" s="395"/>
      <c r="KNJ107" s="395"/>
      <c r="KNK107" s="395"/>
      <c r="KNL107" s="395"/>
      <c r="KNM107" s="395"/>
      <c r="KNN107" s="395"/>
      <c r="KNO107" s="395"/>
      <c r="KNP107" s="395"/>
      <c r="KNQ107" s="395"/>
      <c r="KNR107" s="395"/>
      <c r="KNS107" s="395"/>
      <c r="KNT107" s="395"/>
      <c r="KNU107" s="395"/>
      <c r="KNV107" s="395"/>
      <c r="KNW107" s="395"/>
      <c r="KNX107" s="395"/>
      <c r="KNY107" s="395"/>
      <c r="KNZ107" s="395"/>
      <c r="KOA107" s="395"/>
      <c r="KOB107" s="395"/>
      <c r="KOC107" s="395"/>
      <c r="KOD107" s="396"/>
      <c r="KOE107" s="394"/>
      <c r="KOF107" s="395"/>
      <c r="KOG107" s="395"/>
      <c r="KOH107" s="395"/>
      <c r="KOI107" s="395"/>
      <c r="KOJ107" s="395"/>
      <c r="KOK107" s="395"/>
      <c r="KOL107" s="395"/>
      <c r="KOM107" s="395"/>
      <c r="KON107" s="395"/>
      <c r="KOO107" s="395"/>
      <c r="KOP107" s="395"/>
      <c r="KOQ107" s="395"/>
      <c r="KOR107" s="395"/>
      <c r="KOS107" s="395"/>
      <c r="KOT107" s="395"/>
      <c r="KOU107" s="395"/>
      <c r="KOV107" s="395"/>
      <c r="KOW107" s="395"/>
      <c r="KOX107" s="395"/>
      <c r="KOY107" s="395"/>
      <c r="KOZ107" s="395"/>
      <c r="KPA107" s="395"/>
      <c r="KPB107" s="395"/>
      <c r="KPC107" s="395"/>
      <c r="KPD107" s="395"/>
      <c r="KPE107" s="396"/>
      <c r="KPF107" s="394"/>
      <c r="KPG107" s="395"/>
      <c r="KPH107" s="395"/>
      <c r="KPI107" s="395"/>
      <c r="KPJ107" s="395"/>
      <c r="KPK107" s="395"/>
      <c r="KPL107" s="395"/>
      <c r="KPM107" s="395"/>
      <c r="KPN107" s="395"/>
      <c r="KPO107" s="395"/>
      <c r="KPP107" s="395"/>
      <c r="KPQ107" s="395"/>
      <c r="KPR107" s="395"/>
      <c r="KPS107" s="395"/>
      <c r="KPT107" s="395"/>
      <c r="KPU107" s="395"/>
      <c r="KPV107" s="395"/>
      <c r="KPW107" s="395"/>
      <c r="KPX107" s="395"/>
      <c r="KPY107" s="395"/>
      <c r="KPZ107" s="395"/>
      <c r="KQA107" s="395"/>
      <c r="KQB107" s="395"/>
      <c r="KQC107" s="395"/>
      <c r="KQD107" s="395"/>
      <c r="KQE107" s="395"/>
      <c r="KQF107" s="396"/>
      <c r="KQG107" s="394"/>
      <c r="KQH107" s="395"/>
      <c r="KQI107" s="395"/>
      <c r="KQJ107" s="395"/>
      <c r="KQK107" s="395"/>
      <c r="KQL107" s="395"/>
      <c r="KQM107" s="395"/>
      <c r="KQN107" s="395"/>
      <c r="KQO107" s="395"/>
      <c r="KQP107" s="395"/>
      <c r="KQQ107" s="395"/>
      <c r="KQR107" s="395"/>
      <c r="KQS107" s="395"/>
      <c r="KQT107" s="395"/>
      <c r="KQU107" s="395"/>
      <c r="KQV107" s="395"/>
      <c r="KQW107" s="395"/>
      <c r="KQX107" s="395"/>
      <c r="KQY107" s="395"/>
      <c r="KQZ107" s="395"/>
      <c r="KRA107" s="395"/>
      <c r="KRB107" s="395"/>
      <c r="KRC107" s="395"/>
      <c r="KRD107" s="395"/>
      <c r="KRE107" s="395"/>
      <c r="KRF107" s="395"/>
      <c r="KRG107" s="396"/>
      <c r="KRH107" s="394"/>
      <c r="KRI107" s="395"/>
      <c r="KRJ107" s="395"/>
      <c r="KRK107" s="395"/>
      <c r="KRL107" s="395"/>
      <c r="KRM107" s="395"/>
      <c r="KRN107" s="395"/>
      <c r="KRO107" s="395"/>
      <c r="KRP107" s="395"/>
      <c r="KRQ107" s="395"/>
      <c r="KRR107" s="395"/>
      <c r="KRS107" s="395"/>
      <c r="KRT107" s="395"/>
      <c r="KRU107" s="395"/>
      <c r="KRV107" s="395"/>
      <c r="KRW107" s="395"/>
      <c r="KRX107" s="395"/>
      <c r="KRY107" s="395"/>
      <c r="KRZ107" s="395"/>
      <c r="KSA107" s="395"/>
      <c r="KSB107" s="395"/>
      <c r="KSC107" s="395"/>
      <c r="KSD107" s="395"/>
      <c r="KSE107" s="395"/>
      <c r="KSF107" s="395"/>
      <c r="KSG107" s="395"/>
      <c r="KSH107" s="396"/>
      <c r="KSI107" s="394"/>
      <c r="KSJ107" s="395"/>
      <c r="KSK107" s="395"/>
      <c r="KSL107" s="395"/>
      <c r="KSM107" s="395"/>
      <c r="KSN107" s="395"/>
      <c r="KSO107" s="395"/>
      <c r="KSP107" s="395"/>
      <c r="KSQ107" s="395"/>
      <c r="KSR107" s="395"/>
      <c r="KSS107" s="395"/>
      <c r="KST107" s="395"/>
      <c r="KSU107" s="395"/>
      <c r="KSV107" s="395"/>
      <c r="KSW107" s="395"/>
      <c r="KSX107" s="395"/>
      <c r="KSY107" s="395"/>
      <c r="KSZ107" s="395"/>
      <c r="KTA107" s="395"/>
      <c r="KTB107" s="395"/>
      <c r="KTC107" s="395"/>
      <c r="KTD107" s="395"/>
      <c r="KTE107" s="395"/>
      <c r="KTF107" s="395"/>
      <c r="KTG107" s="395"/>
      <c r="KTH107" s="395"/>
      <c r="KTI107" s="396"/>
      <c r="KTJ107" s="394"/>
      <c r="KTK107" s="395"/>
      <c r="KTL107" s="395"/>
      <c r="KTM107" s="395"/>
      <c r="KTN107" s="395"/>
      <c r="KTO107" s="395"/>
      <c r="KTP107" s="395"/>
      <c r="KTQ107" s="395"/>
      <c r="KTR107" s="395"/>
      <c r="KTS107" s="395"/>
      <c r="KTT107" s="395"/>
      <c r="KTU107" s="395"/>
      <c r="KTV107" s="395"/>
      <c r="KTW107" s="395"/>
      <c r="KTX107" s="395"/>
      <c r="KTY107" s="395"/>
      <c r="KTZ107" s="395"/>
      <c r="KUA107" s="395"/>
      <c r="KUB107" s="395"/>
      <c r="KUC107" s="395"/>
      <c r="KUD107" s="395"/>
      <c r="KUE107" s="395"/>
      <c r="KUF107" s="395"/>
      <c r="KUG107" s="395"/>
      <c r="KUH107" s="395"/>
      <c r="KUI107" s="395"/>
      <c r="KUJ107" s="396"/>
      <c r="KUK107" s="394"/>
      <c r="KUL107" s="395"/>
      <c r="KUM107" s="395"/>
      <c r="KUN107" s="395"/>
      <c r="KUO107" s="395"/>
      <c r="KUP107" s="395"/>
      <c r="KUQ107" s="395"/>
      <c r="KUR107" s="395"/>
      <c r="KUS107" s="395"/>
      <c r="KUT107" s="395"/>
      <c r="KUU107" s="395"/>
      <c r="KUV107" s="395"/>
      <c r="KUW107" s="395"/>
      <c r="KUX107" s="395"/>
      <c r="KUY107" s="395"/>
      <c r="KUZ107" s="395"/>
      <c r="KVA107" s="395"/>
      <c r="KVB107" s="395"/>
      <c r="KVC107" s="395"/>
      <c r="KVD107" s="395"/>
      <c r="KVE107" s="395"/>
      <c r="KVF107" s="395"/>
      <c r="KVG107" s="395"/>
      <c r="KVH107" s="395"/>
      <c r="KVI107" s="395"/>
      <c r="KVJ107" s="395"/>
      <c r="KVK107" s="396"/>
      <c r="KVL107" s="394"/>
      <c r="KVM107" s="395"/>
      <c r="KVN107" s="395"/>
      <c r="KVO107" s="395"/>
      <c r="KVP107" s="395"/>
      <c r="KVQ107" s="395"/>
      <c r="KVR107" s="395"/>
      <c r="KVS107" s="395"/>
      <c r="KVT107" s="395"/>
      <c r="KVU107" s="395"/>
      <c r="KVV107" s="395"/>
      <c r="KVW107" s="395"/>
      <c r="KVX107" s="395"/>
      <c r="KVY107" s="395"/>
      <c r="KVZ107" s="395"/>
      <c r="KWA107" s="395"/>
      <c r="KWB107" s="395"/>
      <c r="KWC107" s="395"/>
      <c r="KWD107" s="395"/>
      <c r="KWE107" s="395"/>
      <c r="KWF107" s="395"/>
      <c r="KWG107" s="395"/>
      <c r="KWH107" s="395"/>
      <c r="KWI107" s="395"/>
      <c r="KWJ107" s="395"/>
      <c r="KWK107" s="395"/>
      <c r="KWL107" s="396"/>
      <c r="KWM107" s="394"/>
      <c r="KWN107" s="395"/>
      <c r="KWO107" s="395"/>
      <c r="KWP107" s="395"/>
      <c r="KWQ107" s="395"/>
      <c r="KWR107" s="395"/>
      <c r="KWS107" s="395"/>
      <c r="KWT107" s="395"/>
      <c r="KWU107" s="395"/>
      <c r="KWV107" s="395"/>
      <c r="KWW107" s="395"/>
      <c r="KWX107" s="395"/>
      <c r="KWY107" s="395"/>
      <c r="KWZ107" s="395"/>
      <c r="KXA107" s="395"/>
      <c r="KXB107" s="395"/>
      <c r="KXC107" s="395"/>
      <c r="KXD107" s="395"/>
      <c r="KXE107" s="395"/>
      <c r="KXF107" s="395"/>
      <c r="KXG107" s="395"/>
      <c r="KXH107" s="395"/>
      <c r="KXI107" s="395"/>
      <c r="KXJ107" s="395"/>
      <c r="KXK107" s="395"/>
      <c r="KXL107" s="395"/>
      <c r="KXM107" s="396"/>
      <c r="KXN107" s="394"/>
      <c r="KXO107" s="395"/>
      <c r="KXP107" s="395"/>
      <c r="KXQ107" s="395"/>
      <c r="KXR107" s="395"/>
      <c r="KXS107" s="395"/>
      <c r="KXT107" s="395"/>
      <c r="KXU107" s="395"/>
      <c r="KXV107" s="395"/>
      <c r="KXW107" s="395"/>
      <c r="KXX107" s="395"/>
      <c r="KXY107" s="395"/>
      <c r="KXZ107" s="395"/>
      <c r="KYA107" s="395"/>
      <c r="KYB107" s="395"/>
      <c r="KYC107" s="395"/>
      <c r="KYD107" s="395"/>
      <c r="KYE107" s="395"/>
      <c r="KYF107" s="395"/>
      <c r="KYG107" s="395"/>
      <c r="KYH107" s="395"/>
      <c r="KYI107" s="395"/>
      <c r="KYJ107" s="395"/>
      <c r="KYK107" s="395"/>
      <c r="KYL107" s="395"/>
      <c r="KYM107" s="395"/>
      <c r="KYN107" s="396"/>
      <c r="KYO107" s="394"/>
      <c r="KYP107" s="395"/>
      <c r="KYQ107" s="395"/>
      <c r="KYR107" s="395"/>
      <c r="KYS107" s="395"/>
      <c r="KYT107" s="395"/>
      <c r="KYU107" s="395"/>
      <c r="KYV107" s="395"/>
      <c r="KYW107" s="395"/>
      <c r="KYX107" s="395"/>
      <c r="KYY107" s="395"/>
      <c r="KYZ107" s="395"/>
      <c r="KZA107" s="395"/>
      <c r="KZB107" s="395"/>
      <c r="KZC107" s="395"/>
      <c r="KZD107" s="395"/>
      <c r="KZE107" s="395"/>
      <c r="KZF107" s="395"/>
      <c r="KZG107" s="395"/>
      <c r="KZH107" s="395"/>
      <c r="KZI107" s="395"/>
      <c r="KZJ107" s="395"/>
      <c r="KZK107" s="395"/>
      <c r="KZL107" s="395"/>
      <c r="KZM107" s="395"/>
      <c r="KZN107" s="395"/>
      <c r="KZO107" s="396"/>
      <c r="KZP107" s="394"/>
      <c r="KZQ107" s="395"/>
      <c r="KZR107" s="395"/>
      <c r="KZS107" s="395"/>
      <c r="KZT107" s="395"/>
      <c r="KZU107" s="395"/>
      <c r="KZV107" s="395"/>
      <c r="KZW107" s="395"/>
      <c r="KZX107" s="395"/>
      <c r="KZY107" s="395"/>
      <c r="KZZ107" s="395"/>
      <c r="LAA107" s="395"/>
      <c r="LAB107" s="395"/>
      <c r="LAC107" s="395"/>
      <c r="LAD107" s="395"/>
      <c r="LAE107" s="395"/>
      <c r="LAF107" s="395"/>
      <c r="LAG107" s="395"/>
      <c r="LAH107" s="395"/>
      <c r="LAI107" s="395"/>
      <c r="LAJ107" s="395"/>
      <c r="LAK107" s="395"/>
      <c r="LAL107" s="395"/>
      <c r="LAM107" s="395"/>
      <c r="LAN107" s="395"/>
      <c r="LAO107" s="395"/>
      <c r="LAP107" s="396"/>
      <c r="LAQ107" s="394"/>
      <c r="LAR107" s="395"/>
      <c r="LAS107" s="395"/>
      <c r="LAT107" s="395"/>
      <c r="LAU107" s="395"/>
      <c r="LAV107" s="395"/>
      <c r="LAW107" s="395"/>
      <c r="LAX107" s="395"/>
      <c r="LAY107" s="395"/>
      <c r="LAZ107" s="395"/>
      <c r="LBA107" s="395"/>
      <c r="LBB107" s="395"/>
      <c r="LBC107" s="395"/>
      <c r="LBD107" s="395"/>
      <c r="LBE107" s="395"/>
      <c r="LBF107" s="395"/>
      <c r="LBG107" s="395"/>
      <c r="LBH107" s="395"/>
      <c r="LBI107" s="395"/>
      <c r="LBJ107" s="395"/>
      <c r="LBK107" s="395"/>
      <c r="LBL107" s="395"/>
      <c r="LBM107" s="395"/>
      <c r="LBN107" s="395"/>
      <c r="LBO107" s="395"/>
      <c r="LBP107" s="395"/>
      <c r="LBQ107" s="396"/>
      <c r="LBR107" s="394"/>
      <c r="LBS107" s="395"/>
      <c r="LBT107" s="395"/>
      <c r="LBU107" s="395"/>
      <c r="LBV107" s="395"/>
      <c r="LBW107" s="395"/>
      <c r="LBX107" s="395"/>
      <c r="LBY107" s="395"/>
      <c r="LBZ107" s="395"/>
      <c r="LCA107" s="395"/>
      <c r="LCB107" s="395"/>
      <c r="LCC107" s="395"/>
      <c r="LCD107" s="395"/>
      <c r="LCE107" s="395"/>
      <c r="LCF107" s="395"/>
      <c r="LCG107" s="395"/>
      <c r="LCH107" s="395"/>
      <c r="LCI107" s="395"/>
      <c r="LCJ107" s="395"/>
      <c r="LCK107" s="395"/>
      <c r="LCL107" s="395"/>
      <c r="LCM107" s="395"/>
      <c r="LCN107" s="395"/>
      <c r="LCO107" s="395"/>
      <c r="LCP107" s="395"/>
      <c r="LCQ107" s="395"/>
      <c r="LCR107" s="396"/>
      <c r="LCS107" s="394"/>
      <c r="LCT107" s="395"/>
      <c r="LCU107" s="395"/>
      <c r="LCV107" s="395"/>
      <c r="LCW107" s="395"/>
      <c r="LCX107" s="395"/>
      <c r="LCY107" s="395"/>
      <c r="LCZ107" s="395"/>
      <c r="LDA107" s="395"/>
      <c r="LDB107" s="395"/>
      <c r="LDC107" s="395"/>
      <c r="LDD107" s="395"/>
      <c r="LDE107" s="395"/>
      <c r="LDF107" s="395"/>
      <c r="LDG107" s="395"/>
      <c r="LDH107" s="395"/>
      <c r="LDI107" s="395"/>
      <c r="LDJ107" s="395"/>
      <c r="LDK107" s="395"/>
      <c r="LDL107" s="395"/>
      <c r="LDM107" s="395"/>
      <c r="LDN107" s="395"/>
      <c r="LDO107" s="395"/>
      <c r="LDP107" s="395"/>
      <c r="LDQ107" s="395"/>
      <c r="LDR107" s="395"/>
      <c r="LDS107" s="396"/>
      <c r="LDT107" s="394"/>
      <c r="LDU107" s="395"/>
      <c r="LDV107" s="395"/>
      <c r="LDW107" s="395"/>
      <c r="LDX107" s="395"/>
      <c r="LDY107" s="395"/>
      <c r="LDZ107" s="395"/>
      <c r="LEA107" s="395"/>
      <c r="LEB107" s="395"/>
      <c r="LEC107" s="395"/>
      <c r="LED107" s="395"/>
      <c r="LEE107" s="395"/>
      <c r="LEF107" s="395"/>
      <c r="LEG107" s="395"/>
      <c r="LEH107" s="395"/>
      <c r="LEI107" s="395"/>
      <c r="LEJ107" s="395"/>
      <c r="LEK107" s="395"/>
      <c r="LEL107" s="395"/>
      <c r="LEM107" s="395"/>
      <c r="LEN107" s="395"/>
      <c r="LEO107" s="395"/>
      <c r="LEP107" s="395"/>
      <c r="LEQ107" s="395"/>
      <c r="LER107" s="395"/>
      <c r="LES107" s="395"/>
      <c r="LET107" s="396"/>
      <c r="LEU107" s="394"/>
      <c r="LEV107" s="395"/>
      <c r="LEW107" s="395"/>
      <c r="LEX107" s="395"/>
      <c r="LEY107" s="395"/>
      <c r="LEZ107" s="395"/>
      <c r="LFA107" s="395"/>
      <c r="LFB107" s="395"/>
      <c r="LFC107" s="395"/>
      <c r="LFD107" s="395"/>
      <c r="LFE107" s="395"/>
      <c r="LFF107" s="395"/>
      <c r="LFG107" s="395"/>
      <c r="LFH107" s="395"/>
      <c r="LFI107" s="395"/>
      <c r="LFJ107" s="395"/>
      <c r="LFK107" s="395"/>
      <c r="LFL107" s="395"/>
      <c r="LFM107" s="395"/>
      <c r="LFN107" s="395"/>
      <c r="LFO107" s="395"/>
      <c r="LFP107" s="395"/>
      <c r="LFQ107" s="395"/>
      <c r="LFR107" s="395"/>
      <c r="LFS107" s="395"/>
      <c r="LFT107" s="395"/>
      <c r="LFU107" s="396"/>
      <c r="LFV107" s="394"/>
      <c r="LFW107" s="395"/>
      <c r="LFX107" s="395"/>
      <c r="LFY107" s="395"/>
      <c r="LFZ107" s="395"/>
      <c r="LGA107" s="395"/>
      <c r="LGB107" s="395"/>
      <c r="LGC107" s="395"/>
      <c r="LGD107" s="395"/>
      <c r="LGE107" s="395"/>
      <c r="LGF107" s="395"/>
      <c r="LGG107" s="395"/>
      <c r="LGH107" s="395"/>
      <c r="LGI107" s="395"/>
      <c r="LGJ107" s="395"/>
      <c r="LGK107" s="395"/>
      <c r="LGL107" s="395"/>
      <c r="LGM107" s="395"/>
      <c r="LGN107" s="395"/>
      <c r="LGO107" s="395"/>
      <c r="LGP107" s="395"/>
      <c r="LGQ107" s="395"/>
      <c r="LGR107" s="395"/>
      <c r="LGS107" s="395"/>
      <c r="LGT107" s="395"/>
      <c r="LGU107" s="395"/>
      <c r="LGV107" s="396"/>
      <c r="LGW107" s="394"/>
      <c r="LGX107" s="395"/>
      <c r="LGY107" s="395"/>
      <c r="LGZ107" s="395"/>
      <c r="LHA107" s="395"/>
      <c r="LHB107" s="395"/>
      <c r="LHC107" s="395"/>
      <c r="LHD107" s="395"/>
      <c r="LHE107" s="395"/>
      <c r="LHF107" s="395"/>
      <c r="LHG107" s="395"/>
      <c r="LHH107" s="395"/>
      <c r="LHI107" s="395"/>
      <c r="LHJ107" s="395"/>
      <c r="LHK107" s="395"/>
      <c r="LHL107" s="395"/>
      <c r="LHM107" s="395"/>
      <c r="LHN107" s="395"/>
      <c r="LHO107" s="395"/>
      <c r="LHP107" s="395"/>
      <c r="LHQ107" s="395"/>
      <c r="LHR107" s="395"/>
      <c r="LHS107" s="395"/>
      <c r="LHT107" s="395"/>
      <c r="LHU107" s="395"/>
      <c r="LHV107" s="395"/>
      <c r="LHW107" s="396"/>
      <c r="LHX107" s="394"/>
      <c r="LHY107" s="395"/>
      <c r="LHZ107" s="395"/>
      <c r="LIA107" s="395"/>
      <c r="LIB107" s="395"/>
      <c r="LIC107" s="395"/>
      <c r="LID107" s="395"/>
      <c r="LIE107" s="395"/>
      <c r="LIF107" s="395"/>
      <c r="LIG107" s="395"/>
      <c r="LIH107" s="395"/>
      <c r="LII107" s="395"/>
      <c r="LIJ107" s="395"/>
      <c r="LIK107" s="395"/>
      <c r="LIL107" s="395"/>
      <c r="LIM107" s="395"/>
      <c r="LIN107" s="395"/>
      <c r="LIO107" s="395"/>
      <c r="LIP107" s="395"/>
      <c r="LIQ107" s="395"/>
      <c r="LIR107" s="395"/>
      <c r="LIS107" s="395"/>
      <c r="LIT107" s="395"/>
      <c r="LIU107" s="395"/>
      <c r="LIV107" s="395"/>
      <c r="LIW107" s="395"/>
      <c r="LIX107" s="396"/>
      <c r="LIY107" s="394"/>
      <c r="LIZ107" s="395"/>
      <c r="LJA107" s="395"/>
      <c r="LJB107" s="395"/>
      <c r="LJC107" s="395"/>
      <c r="LJD107" s="395"/>
      <c r="LJE107" s="395"/>
      <c r="LJF107" s="395"/>
      <c r="LJG107" s="395"/>
      <c r="LJH107" s="395"/>
      <c r="LJI107" s="395"/>
      <c r="LJJ107" s="395"/>
      <c r="LJK107" s="395"/>
      <c r="LJL107" s="395"/>
      <c r="LJM107" s="395"/>
      <c r="LJN107" s="395"/>
      <c r="LJO107" s="395"/>
      <c r="LJP107" s="395"/>
      <c r="LJQ107" s="395"/>
      <c r="LJR107" s="395"/>
      <c r="LJS107" s="395"/>
      <c r="LJT107" s="395"/>
      <c r="LJU107" s="395"/>
      <c r="LJV107" s="395"/>
      <c r="LJW107" s="395"/>
      <c r="LJX107" s="395"/>
      <c r="LJY107" s="396"/>
      <c r="LJZ107" s="394"/>
      <c r="LKA107" s="395"/>
      <c r="LKB107" s="395"/>
      <c r="LKC107" s="395"/>
      <c r="LKD107" s="395"/>
      <c r="LKE107" s="395"/>
      <c r="LKF107" s="395"/>
      <c r="LKG107" s="395"/>
      <c r="LKH107" s="395"/>
      <c r="LKI107" s="395"/>
      <c r="LKJ107" s="395"/>
      <c r="LKK107" s="395"/>
      <c r="LKL107" s="395"/>
      <c r="LKM107" s="395"/>
      <c r="LKN107" s="395"/>
      <c r="LKO107" s="395"/>
      <c r="LKP107" s="395"/>
      <c r="LKQ107" s="395"/>
      <c r="LKR107" s="395"/>
      <c r="LKS107" s="395"/>
      <c r="LKT107" s="395"/>
      <c r="LKU107" s="395"/>
      <c r="LKV107" s="395"/>
      <c r="LKW107" s="395"/>
      <c r="LKX107" s="395"/>
      <c r="LKY107" s="395"/>
      <c r="LKZ107" s="396"/>
      <c r="LLA107" s="394"/>
      <c r="LLB107" s="395"/>
      <c r="LLC107" s="395"/>
      <c r="LLD107" s="395"/>
      <c r="LLE107" s="395"/>
      <c r="LLF107" s="395"/>
      <c r="LLG107" s="395"/>
      <c r="LLH107" s="395"/>
      <c r="LLI107" s="395"/>
      <c r="LLJ107" s="395"/>
      <c r="LLK107" s="395"/>
      <c r="LLL107" s="395"/>
      <c r="LLM107" s="395"/>
      <c r="LLN107" s="395"/>
      <c r="LLO107" s="395"/>
      <c r="LLP107" s="395"/>
      <c r="LLQ107" s="395"/>
      <c r="LLR107" s="395"/>
      <c r="LLS107" s="395"/>
      <c r="LLT107" s="395"/>
      <c r="LLU107" s="395"/>
      <c r="LLV107" s="395"/>
      <c r="LLW107" s="395"/>
      <c r="LLX107" s="395"/>
      <c r="LLY107" s="395"/>
      <c r="LLZ107" s="395"/>
      <c r="LMA107" s="396"/>
      <c r="LMB107" s="394"/>
      <c r="LMC107" s="395"/>
      <c r="LMD107" s="395"/>
      <c r="LME107" s="395"/>
      <c r="LMF107" s="395"/>
      <c r="LMG107" s="395"/>
      <c r="LMH107" s="395"/>
      <c r="LMI107" s="395"/>
      <c r="LMJ107" s="395"/>
      <c r="LMK107" s="395"/>
      <c r="LML107" s="395"/>
      <c r="LMM107" s="395"/>
      <c r="LMN107" s="395"/>
      <c r="LMO107" s="395"/>
      <c r="LMP107" s="395"/>
      <c r="LMQ107" s="395"/>
      <c r="LMR107" s="395"/>
      <c r="LMS107" s="395"/>
      <c r="LMT107" s="395"/>
      <c r="LMU107" s="395"/>
      <c r="LMV107" s="395"/>
      <c r="LMW107" s="395"/>
      <c r="LMX107" s="395"/>
      <c r="LMY107" s="395"/>
      <c r="LMZ107" s="395"/>
      <c r="LNA107" s="395"/>
      <c r="LNB107" s="396"/>
      <c r="LNC107" s="394"/>
      <c r="LND107" s="395"/>
      <c r="LNE107" s="395"/>
      <c r="LNF107" s="395"/>
      <c r="LNG107" s="395"/>
      <c r="LNH107" s="395"/>
      <c r="LNI107" s="395"/>
      <c r="LNJ107" s="395"/>
      <c r="LNK107" s="395"/>
      <c r="LNL107" s="395"/>
      <c r="LNM107" s="395"/>
      <c r="LNN107" s="395"/>
      <c r="LNO107" s="395"/>
      <c r="LNP107" s="395"/>
      <c r="LNQ107" s="395"/>
      <c r="LNR107" s="395"/>
      <c r="LNS107" s="395"/>
      <c r="LNT107" s="395"/>
      <c r="LNU107" s="395"/>
      <c r="LNV107" s="395"/>
      <c r="LNW107" s="395"/>
      <c r="LNX107" s="395"/>
      <c r="LNY107" s="395"/>
      <c r="LNZ107" s="395"/>
      <c r="LOA107" s="395"/>
      <c r="LOB107" s="395"/>
      <c r="LOC107" s="396"/>
      <c r="LOD107" s="394"/>
      <c r="LOE107" s="395"/>
      <c r="LOF107" s="395"/>
      <c r="LOG107" s="395"/>
      <c r="LOH107" s="395"/>
      <c r="LOI107" s="395"/>
      <c r="LOJ107" s="395"/>
      <c r="LOK107" s="395"/>
      <c r="LOL107" s="395"/>
      <c r="LOM107" s="395"/>
      <c r="LON107" s="395"/>
      <c r="LOO107" s="395"/>
      <c r="LOP107" s="395"/>
      <c r="LOQ107" s="395"/>
      <c r="LOR107" s="395"/>
      <c r="LOS107" s="395"/>
      <c r="LOT107" s="395"/>
      <c r="LOU107" s="395"/>
      <c r="LOV107" s="395"/>
      <c r="LOW107" s="395"/>
      <c r="LOX107" s="395"/>
      <c r="LOY107" s="395"/>
      <c r="LOZ107" s="395"/>
      <c r="LPA107" s="395"/>
      <c r="LPB107" s="395"/>
      <c r="LPC107" s="395"/>
      <c r="LPD107" s="396"/>
      <c r="LPE107" s="394"/>
      <c r="LPF107" s="395"/>
      <c r="LPG107" s="395"/>
      <c r="LPH107" s="395"/>
      <c r="LPI107" s="395"/>
      <c r="LPJ107" s="395"/>
      <c r="LPK107" s="395"/>
      <c r="LPL107" s="395"/>
      <c r="LPM107" s="395"/>
      <c r="LPN107" s="395"/>
      <c r="LPO107" s="395"/>
      <c r="LPP107" s="395"/>
      <c r="LPQ107" s="395"/>
      <c r="LPR107" s="395"/>
      <c r="LPS107" s="395"/>
      <c r="LPT107" s="395"/>
      <c r="LPU107" s="395"/>
      <c r="LPV107" s="395"/>
      <c r="LPW107" s="395"/>
      <c r="LPX107" s="395"/>
      <c r="LPY107" s="395"/>
      <c r="LPZ107" s="395"/>
      <c r="LQA107" s="395"/>
      <c r="LQB107" s="395"/>
      <c r="LQC107" s="395"/>
      <c r="LQD107" s="395"/>
      <c r="LQE107" s="396"/>
      <c r="LQF107" s="394"/>
      <c r="LQG107" s="395"/>
      <c r="LQH107" s="395"/>
      <c r="LQI107" s="395"/>
      <c r="LQJ107" s="395"/>
      <c r="LQK107" s="395"/>
      <c r="LQL107" s="395"/>
      <c r="LQM107" s="395"/>
      <c r="LQN107" s="395"/>
      <c r="LQO107" s="395"/>
      <c r="LQP107" s="395"/>
      <c r="LQQ107" s="395"/>
      <c r="LQR107" s="395"/>
      <c r="LQS107" s="395"/>
      <c r="LQT107" s="395"/>
      <c r="LQU107" s="395"/>
      <c r="LQV107" s="395"/>
      <c r="LQW107" s="395"/>
      <c r="LQX107" s="395"/>
      <c r="LQY107" s="395"/>
      <c r="LQZ107" s="395"/>
      <c r="LRA107" s="395"/>
      <c r="LRB107" s="395"/>
      <c r="LRC107" s="395"/>
      <c r="LRD107" s="395"/>
      <c r="LRE107" s="395"/>
      <c r="LRF107" s="396"/>
      <c r="LRG107" s="394"/>
      <c r="LRH107" s="395"/>
      <c r="LRI107" s="395"/>
      <c r="LRJ107" s="395"/>
      <c r="LRK107" s="395"/>
      <c r="LRL107" s="395"/>
      <c r="LRM107" s="395"/>
      <c r="LRN107" s="395"/>
      <c r="LRO107" s="395"/>
      <c r="LRP107" s="395"/>
      <c r="LRQ107" s="395"/>
      <c r="LRR107" s="395"/>
      <c r="LRS107" s="395"/>
      <c r="LRT107" s="395"/>
      <c r="LRU107" s="395"/>
      <c r="LRV107" s="395"/>
      <c r="LRW107" s="395"/>
      <c r="LRX107" s="395"/>
      <c r="LRY107" s="395"/>
      <c r="LRZ107" s="395"/>
      <c r="LSA107" s="395"/>
      <c r="LSB107" s="395"/>
      <c r="LSC107" s="395"/>
      <c r="LSD107" s="395"/>
      <c r="LSE107" s="395"/>
      <c r="LSF107" s="395"/>
      <c r="LSG107" s="396"/>
      <c r="LSH107" s="394"/>
      <c r="LSI107" s="395"/>
      <c r="LSJ107" s="395"/>
      <c r="LSK107" s="395"/>
      <c r="LSL107" s="395"/>
      <c r="LSM107" s="395"/>
      <c r="LSN107" s="395"/>
      <c r="LSO107" s="395"/>
      <c r="LSP107" s="395"/>
      <c r="LSQ107" s="395"/>
      <c r="LSR107" s="395"/>
      <c r="LSS107" s="395"/>
      <c r="LST107" s="395"/>
      <c r="LSU107" s="395"/>
      <c r="LSV107" s="395"/>
      <c r="LSW107" s="395"/>
      <c r="LSX107" s="395"/>
      <c r="LSY107" s="395"/>
      <c r="LSZ107" s="395"/>
      <c r="LTA107" s="395"/>
      <c r="LTB107" s="395"/>
      <c r="LTC107" s="395"/>
      <c r="LTD107" s="395"/>
      <c r="LTE107" s="395"/>
      <c r="LTF107" s="395"/>
      <c r="LTG107" s="395"/>
      <c r="LTH107" s="396"/>
      <c r="LTI107" s="394"/>
      <c r="LTJ107" s="395"/>
      <c r="LTK107" s="395"/>
      <c r="LTL107" s="395"/>
      <c r="LTM107" s="395"/>
      <c r="LTN107" s="395"/>
      <c r="LTO107" s="395"/>
      <c r="LTP107" s="395"/>
      <c r="LTQ107" s="395"/>
      <c r="LTR107" s="395"/>
      <c r="LTS107" s="395"/>
      <c r="LTT107" s="395"/>
      <c r="LTU107" s="395"/>
      <c r="LTV107" s="395"/>
      <c r="LTW107" s="395"/>
      <c r="LTX107" s="395"/>
      <c r="LTY107" s="395"/>
      <c r="LTZ107" s="395"/>
      <c r="LUA107" s="395"/>
      <c r="LUB107" s="395"/>
      <c r="LUC107" s="395"/>
      <c r="LUD107" s="395"/>
      <c r="LUE107" s="395"/>
      <c r="LUF107" s="395"/>
      <c r="LUG107" s="395"/>
      <c r="LUH107" s="395"/>
      <c r="LUI107" s="396"/>
      <c r="LUJ107" s="394"/>
      <c r="LUK107" s="395"/>
      <c r="LUL107" s="395"/>
      <c r="LUM107" s="395"/>
      <c r="LUN107" s="395"/>
      <c r="LUO107" s="395"/>
      <c r="LUP107" s="395"/>
      <c r="LUQ107" s="395"/>
      <c r="LUR107" s="395"/>
      <c r="LUS107" s="395"/>
      <c r="LUT107" s="395"/>
      <c r="LUU107" s="395"/>
      <c r="LUV107" s="395"/>
      <c r="LUW107" s="395"/>
      <c r="LUX107" s="395"/>
      <c r="LUY107" s="395"/>
      <c r="LUZ107" s="395"/>
      <c r="LVA107" s="395"/>
      <c r="LVB107" s="395"/>
      <c r="LVC107" s="395"/>
      <c r="LVD107" s="395"/>
      <c r="LVE107" s="395"/>
      <c r="LVF107" s="395"/>
      <c r="LVG107" s="395"/>
      <c r="LVH107" s="395"/>
      <c r="LVI107" s="395"/>
      <c r="LVJ107" s="396"/>
      <c r="LVK107" s="394"/>
      <c r="LVL107" s="395"/>
      <c r="LVM107" s="395"/>
      <c r="LVN107" s="395"/>
      <c r="LVO107" s="395"/>
      <c r="LVP107" s="395"/>
      <c r="LVQ107" s="395"/>
      <c r="LVR107" s="395"/>
      <c r="LVS107" s="395"/>
      <c r="LVT107" s="395"/>
      <c r="LVU107" s="395"/>
      <c r="LVV107" s="395"/>
      <c r="LVW107" s="395"/>
      <c r="LVX107" s="395"/>
      <c r="LVY107" s="395"/>
      <c r="LVZ107" s="395"/>
      <c r="LWA107" s="395"/>
      <c r="LWB107" s="395"/>
      <c r="LWC107" s="395"/>
      <c r="LWD107" s="395"/>
      <c r="LWE107" s="395"/>
      <c r="LWF107" s="395"/>
      <c r="LWG107" s="395"/>
      <c r="LWH107" s="395"/>
      <c r="LWI107" s="395"/>
      <c r="LWJ107" s="395"/>
      <c r="LWK107" s="396"/>
      <c r="LWL107" s="394"/>
      <c r="LWM107" s="395"/>
      <c r="LWN107" s="395"/>
      <c r="LWO107" s="395"/>
      <c r="LWP107" s="395"/>
      <c r="LWQ107" s="395"/>
      <c r="LWR107" s="395"/>
      <c r="LWS107" s="395"/>
      <c r="LWT107" s="395"/>
      <c r="LWU107" s="395"/>
      <c r="LWV107" s="395"/>
      <c r="LWW107" s="395"/>
      <c r="LWX107" s="395"/>
      <c r="LWY107" s="395"/>
      <c r="LWZ107" s="395"/>
      <c r="LXA107" s="395"/>
      <c r="LXB107" s="395"/>
      <c r="LXC107" s="395"/>
      <c r="LXD107" s="395"/>
      <c r="LXE107" s="395"/>
      <c r="LXF107" s="395"/>
      <c r="LXG107" s="395"/>
      <c r="LXH107" s="395"/>
      <c r="LXI107" s="395"/>
      <c r="LXJ107" s="395"/>
      <c r="LXK107" s="395"/>
      <c r="LXL107" s="396"/>
      <c r="LXM107" s="394"/>
      <c r="LXN107" s="395"/>
      <c r="LXO107" s="395"/>
      <c r="LXP107" s="395"/>
      <c r="LXQ107" s="395"/>
      <c r="LXR107" s="395"/>
      <c r="LXS107" s="395"/>
      <c r="LXT107" s="395"/>
      <c r="LXU107" s="395"/>
      <c r="LXV107" s="395"/>
      <c r="LXW107" s="395"/>
      <c r="LXX107" s="395"/>
      <c r="LXY107" s="395"/>
      <c r="LXZ107" s="395"/>
      <c r="LYA107" s="395"/>
      <c r="LYB107" s="395"/>
      <c r="LYC107" s="395"/>
      <c r="LYD107" s="395"/>
      <c r="LYE107" s="395"/>
      <c r="LYF107" s="395"/>
      <c r="LYG107" s="395"/>
      <c r="LYH107" s="395"/>
      <c r="LYI107" s="395"/>
      <c r="LYJ107" s="395"/>
      <c r="LYK107" s="395"/>
      <c r="LYL107" s="395"/>
      <c r="LYM107" s="396"/>
      <c r="LYN107" s="394"/>
      <c r="LYO107" s="395"/>
      <c r="LYP107" s="395"/>
      <c r="LYQ107" s="395"/>
      <c r="LYR107" s="395"/>
      <c r="LYS107" s="395"/>
      <c r="LYT107" s="395"/>
      <c r="LYU107" s="395"/>
      <c r="LYV107" s="395"/>
      <c r="LYW107" s="395"/>
      <c r="LYX107" s="395"/>
      <c r="LYY107" s="395"/>
      <c r="LYZ107" s="395"/>
      <c r="LZA107" s="395"/>
      <c r="LZB107" s="395"/>
      <c r="LZC107" s="395"/>
      <c r="LZD107" s="395"/>
      <c r="LZE107" s="395"/>
      <c r="LZF107" s="395"/>
      <c r="LZG107" s="395"/>
      <c r="LZH107" s="395"/>
      <c r="LZI107" s="395"/>
      <c r="LZJ107" s="395"/>
      <c r="LZK107" s="395"/>
      <c r="LZL107" s="395"/>
      <c r="LZM107" s="395"/>
      <c r="LZN107" s="396"/>
      <c r="LZO107" s="394"/>
      <c r="LZP107" s="395"/>
      <c r="LZQ107" s="395"/>
      <c r="LZR107" s="395"/>
      <c r="LZS107" s="395"/>
      <c r="LZT107" s="395"/>
      <c r="LZU107" s="395"/>
      <c r="LZV107" s="395"/>
      <c r="LZW107" s="395"/>
      <c r="LZX107" s="395"/>
      <c r="LZY107" s="395"/>
      <c r="LZZ107" s="395"/>
      <c r="MAA107" s="395"/>
      <c r="MAB107" s="395"/>
      <c r="MAC107" s="395"/>
      <c r="MAD107" s="395"/>
      <c r="MAE107" s="395"/>
      <c r="MAF107" s="395"/>
      <c r="MAG107" s="395"/>
      <c r="MAH107" s="395"/>
      <c r="MAI107" s="395"/>
      <c r="MAJ107" s="395"/>
      <c r="MAK107" s="395"/>
      <c r="MAL107" s="395"/>
      <c r="MAM107" s="395"/>
      <c r="MAN107" s="395"/>
      <c r="MAO107" s="396"/>
      <c r="MAP107" s="394"/>
      <c r="MAQ107" s="395"/>
      <c r="MAR107" s="395"/>
      <c r="MAS107" s="395"/>
      <c r="MAT107" s="395"/>
      <c r="MAU107" s="395"/>
      <c r="MAV107" s="395"/>
      <c r="MAW107" s="395"/>
      <c r="MAX107" s="395"/>
      <c r="MAY107" s="395"/>
      <c r="MAZ107" s="395"/>
      <c r="MBA107" s="395"/>
      <c r="MBB107" s="395"/>
      <c r="MBC107" s="395"/>
      <c r="MBD107" s="395"/>
      <c r="MBE107" s="395"/>
      <c r="MBF107" s="395"/>
      <c r="MBG107" s="395"/>
      <c r="MBH107" s="395"/>
      <c r="MBI107" s="395"/>
      <c r="MBJ107" s="395"/>
      <c r="MBK107" s="395"/>
      <c r="MBL107" s="395"/>
      <c r="MBM107" s="395"/>
      <c r="MBN107" s="395"/>
      <c r="MBO107" s="395"/>
      <c r="MBP107" s="396"/>
      <c r="MBQ107" s="394"/>
      <c r="MBR107" s="395"/>
      <c r="MBS107" s="395"/>
      <c r="MBT107" s="395"/>
      <c r="MBU107" s="395"/>
      <c r="MBV107" s="395"/>
      <c r="MBW107" s="395"/>
      <c r="MBX107" s="395"/>
      <c r="MBY107" s="395"/>
      <c r="MBZ107" s="395"/>
      <c r="MCA107" s="395"/>
      <c r="MCB107" s="395"/>
      <c r="MCC107" s="395"/>
      <c r="MCD107" s="395"/>
      <c r="MCE107" s="395"/>
      <c r="MCF107" s="395"/>
      <c r="MCG107" s="395"/>
      <c r="MCH107" s="395"/>
      <c r="MCI107" s="395"/>
      <c r="MCJ107" s="395"/>
      <c r="MCK107" s="395"/>
      <c r="MCL107" s="395"/>
      <c r="MCM107" s="395"/>
      <c r="MCN107" s="395"/>
      <c r="MCO107" s="395"/>
      <c r="MCP107" s="395"/>
      <c r="MCQ107" s="396"/>
      <c r="MCR107" s="394"/>
      <c r="MCS107" s="395"/>
      <c r="MCT107" s="395"/>
      <c r="MCU107" s="395"/>
      <c r="MCV107" s="395"/>
      <c r="MCW107" s="395"/>
      <c r="MCX107" s="395"/>
      <c r="MCY107" s="395"/>
      <c r="MCZ107" s="395"/>
      <c r="MDA107" s="395"/>
      <c r="MDB107" s="395"/>
      <c r="MDC107" s="395"/>
      <c r="MDD107" s="395"/>
      <c r="MDE107" s="395"/>
      <c r="MDF107" s="395"/>
      <c r="MDG107" s="395"/>
      <c r="MDH107" s="395"/>
      <c r="MDI107" s="395"/>
      <c r="MDJ107" s="395"/>
      <c r="MDK107" s="395"/>
      <c r="MDL107" s="395"/>
      <c r="MDM107" s="395"/>
      <c r="MDN107" s="395"/>
      <c r="MDO107" s="395"/>
      <c r="MDP107" s="395"/>
      <c r="MDQ107" s="395"/>
      <c r="MDR107" s="396"/>
      <c r="MDS107" s="394"/>
      <c r="MDT107" s="395"/>
      <c r="MDU107" s="395"/>
      <c r="MDV107" s="395"/>
      <c r="MDW107" s="395"/>
      <c r="MDX107" s="395"/>
      <c r="MDY107" s="395"/>
      <c r="MDZ107" s="395"/>
      <c r="MEA107" s="395"/>
      <c r="MEB107" s="395"/>
      <c r="MEC107" s="395"/>
      <c r="MED107" s="395"/>
      <c r="MEE107" s="395"/>
      <c r="MEF107" s="395"/>
      <c r="MEG107" s="395"/>
      <c r="MEH107" s="395"/>
      <c r="MEI107" s="395"/>
      <c r="MEJ107" s="395"/>
      <c r="MEK107" s="395"/>
      <c r="MEL107" s="395"/>
      <c r="MEM107" s="395"/>
      <c r="MEN107" s="395"/>
      <c r="MEO107" s="395"/>
      <c r="MEP107" s="395"/>
      <c r="MEQ107" s="395"/>
      <c r="MER107" s="395"/>
      <c r="MES107" s="396"/>
      <c r="MET107" s="394"/>
      <c r="MEU107" s="395"/>
      <c r="MEV107" s="395"/>
      <c r="MEW107" s="395"/>
      <c r="MEX107" s="395"/>
      <c r="MEY107" s="395"/>
      <c r="MEZ107" s="395"/>
      <c r="MFA107" s="395"/>
      <c r="MFB107" s="395"/>
      <c r="MFC107" s="395"/>
      <c r="MFD107" s="395"/>
      <c r="MFE107" s="395"/>
      <c r="MFF107" s="395"/>
      <c r="MFG107" s="395"/>
      <c r="MFH107" s="395"/>
      <c r="MFI107" s="395"/>
      <c r="MFJ107" s="395"/>
      <c r="MFK107" s="395"/>
      <c r="MFL107" s="395"/>
      <c r="MFM107" s="395"/>
      <c r="MFN107" s="395"/>
      <c r="MFO107" s="395"/>
      <c r="MFP107" s="395"/>
      <c r="MFQ107" s="395"/>
      <c r="MFR107" s="395"/>
      <c r="MFS107" s="395"/>
      <c r="MFT107" s="396"/>
      <c r="MFU107" s="394"/>
      <c r="MFV107" s="395"/>
      <c r="MFW107" s="395"/>
      <c r="MFX107" s="395"/>
      <c r="MFY107" s="395"/>
      <c r="MFZ107" s="395"/>
      <c r="MGA107" s="395"/>
      <c r="MGB107" s="395"/>
      <c r="MGC107" s="395"/>
      <c r="MGD107" s="395"/>
      <c r="MGE107" s="395"/>
      <c r="MGF107" s="395"/>
      <c r="MGG107" s="395"/>
      <c r="MGH107" s="395"/>
      <c r="MGI107" s="395"/>
      <c r="MGJ107" s="395"/>
      <c r="MGK107" s="395"/>
      <c r="MGL107" s="395"/>
      <c r="MGM107" s="395"/>
      <c r="MGN107" s="395"/>
      <c r="MGO107" s="395"/>
      <c r="MGP107" s="395"/>
      <c r="MGQ107" s="395"/>
      <c r="MGR107" s="395"/>
      <c r="MGS107" s="395"/>
      <c r="MGT107" s="395"/>
      <c r="MGU107" s="396"/>
      <c r="MGV107" s="394"/>
      <c r="MGW107" s="395"/>
      <c r="MGX107" s="395"/>
      <c r="MGY107" s="395"/>
      <c r="MGZ107" s="395"/>
      <c r="MHA107" s="395"/>
      <c r="MHB107" s="395"/>
      <c r="MHC107" s="395"/>
      <c r="MHD107" s="395"/>
      <c r="MHE107" s="395"/>
      <c r="MHF107" s="395"/>
      <c r="MHG107" s="395"/>
      <c r="MHH107" s="395"/>
      <c r="MHI107" s="395"/>
      <c r="MHJ107" s="395"/>
      <c r="MHK107" s="395"/>
      <c r="MHL107" s="395"/>
      <c r="MHM107" s="395"/>
      <c r="MHN107" s="395"/>
      <c r="MHO107" s="395"/>
      <c r="MHP107" s="395"/>
      <c r="MHQ107" s="395"/>
      <c r="MHR107" s="395"/>
      <c r="MHS107" s="395"/>
      <c r="MHT107" s="395"/>
      <c r="MHU107" s="395"/>
      <c r="MHV107" s="396"/>
      <c r="MHW107" s="394"/>
      <c r="MHX107" s="395"/>
      <c r="MHY107" s="395"/>
      <c r="MHZ107" s="395"/>
      <c r="MIA107" s="395"/>
      <c r="MIB107" s="395"/>
      <c r="MIC107" s="395"/>
      <c r="MID107" s="395"/>
      <c r="MIE107" s="395"/>
      <c r="MIF107" s="395"/>
      <c r="MIG107" s="395"/>
      <c r="MIH107" s="395"/>
      <c r="MII107" s="395"/>
      <c r="MIJ107" s="395"/>
      <c r="MIK107" s="395"/>
      <c r="MIL107" s="395"/>
      <c r="MIM107" s="395"/>
      <c r="MIN107" s="395"/>
      <c r="MIO107" s="395"/>
      <c r="MIP107" s="395"/>
      <c r="MIQ107" s="395"/>
      <c r="MIR107" s="395"/>
      <c r="MIS107" s="395"/>
      <c r="MIT107" s="395"/>
      <c r="MIU107" s="395"/>
      <c r="MIV107" s="395"/>
      <c r="MIW107" s="396"/>
      <c r="MIX107" s="394"/>
      <c r="MIY107" s="395"/>
      <c r="MIZ107" s="395"/>
      <c r="MJA107" s="395"/>
      <c r="MJB107" s="395"/>
      <c r="MJC107" s="395"/>
      <c r="MJD107" s="395"/>
      <c r="MJE107" s="395"/>
      <c r="MJF107" s="395"/>
      <c r="MJG107" s="395"/>
      <c r="MJH107" s="395"/>
      <c r="MJI107" s="395"/>
      <c r="MJJ107" s="395"/>
      <c r="MJK107" s="395"/>
      <c r="MJL107" s="395"/>
      <c r="MJM107" s="395"/>
      <c r="MJN107" s="395"/>
      <c r="MJO107" s="395"/>
      <c r="MJP107" s="395"/>
      <c r="MJQ107" s="395"/>
      <c r="MJR107" s="395"/>
      <c r="MJS107" s="395"/>
      <c r="MJT107" s="395"/>
      <c r="MJU107" s="395"/>
      <c r="MJV107" s="395"/>
      <c r="MJW107" s="395"/>
      <c r="MJX107" s="396"/>
      <c r="MJY107" s="394"/>
      <c r="MJZ107" s="395"/>
      <c r="MKA107" s="395"/>
      <c r="MKB107" s="395"/>
      <c r="MKC107" s="395"/>
      <c r="MKD107" s="395"/>
      <c r="MKE107" s="395"/>
      <c r="MKF107" s="395"/>
      <c r="MKG107" s="395"/>
      <c r="MKH107" s="395"/>
      <c r="MKI107" s="395"/>
      <c r="MKJ107" s="395"/>
      <c r="MKK107" s="395"/>
      <c r="MKL107" s="395"/>
      <c r="MKM107" s="395"/>
      <c r="MKN107" s="395"/>
      <c r="MKO107" s="395"/>
      <c r="MKP107" s="395"/>
      <c r="MKQ107" s="395"/>
      <c r="MKR107" s="395"/>
      <c r="MKS107" s="395"/>
      <c r="MKT107" s="395"/>
      <c r="MKU107" s="395"/>
      <c r="MKV107" s="395"/>
      <c r="MKW107" s="395"/>
      <c r="MKX107" s="395"/>
      <c r="MKY107" s="396"/>
      <c r="MKZ107" s="394"/>
      <c r="MLA107" s="395"/>
      <c r="MLB107" s="395"/>
      <c r="MLC107" s="395"/>
      <c r="MLD107" s="395"/>
      <c r="MLE107" s="395"/>
      <c r="MLF107" s="395"/>
      <c r="MLG107" s="395"/>
      <c r="MLH107" s="395"/>
      <c r="MLI107" s="395"/>
      <c r="MLJ107" s="395"/>
      <c r="MLK107" s="395"/>
      <c r="MLL107" s="395"/>
      <c r="MLM107" s="395"/>
      <c r="MLN107" s="395"/>
      <c r="MLO107" s="395"/>
      <c r="MLP107" s="395"/>
      <c r="MLQ107" s="395"/>
      <c r="MLR107" s="395"/>
      <c r="MLS107" s="395"/>
      <c r="MLT107" s="395"/>
      <c r="MLU107" s="395"/>
      <c r="MLV107" s="395"/>
      <c r="MLW107" s="395"/>
      <c r="MLX107" s="395"/>
      <c r="MLY107" s="395"/>
      <c r="MLZ107" s="396"/>
      <c r="MMA107" s="394"/>
      <c r="MMB107" s="395"/>
      <c r="MMC107" s="395"/>
      <c r="MMD107" s="395"/>
      <c r="MME107" s="395"/>
      <c r="MMF107" s="395"/>
      <c r="MMG107" s="395"/>
      <c r="MMH107" s="395"/>
      <c r="MMI107" s="395"/>
      <c r="MMJ107" s="395"/>
      <c r="MMK107" s="395"/>
      <c r="MML107" s="395"/>
      <c r="MMM107" s="395"/>
      <c r="MMN107" s="395"/>
      <c r="MMO107" s="395"/>
      <c r="MMP107" s="395"/>
      <c r="MMQ107" s="395"/>
      <c r="MMR107" s="395"/>
      <c r="MMS107" s="395"/>
      <c r="MMT107" s="395"/>
      <c r="MMU107" s="395"/>
      <c r="MMV107" s="395"/>
      <c r="MMW107" s="395"/>
      <c r="MMX107" s="395"/>
      <c r="MMY107" s="395"/>
      <c r="MMZ107" s="395"/>
      <c r="MNA107" s="396"/>
      <c r="MNB107" s="394"/>
      <c r="MNC107" s="395"/>
      <c r="MND107" s="395"/>
      <c r="MNE107" s="395"/>
      <c r="MNF107" s="395"/>
      <c r="MNG107" s="395"/>
      <c r="MNH107" s="395"/>
      <c r="MNI107" s="395"/>
      <c r="MNJ107" s="395"/>
      <c r="MNK107" s="395"/>
      <c r="MNL107" s="395"/>
      <c r="MNM107" s="395"/>
      <c r="MNN107" s="395"/>
      <c r="MNO107" s="395"/>
      <c r="MNP107" s="395"/>
      <c r="MNQ107" s="395"/>
      <c r="MNR107" s="395"/>
      <c r="MNS107" s="395"/>
      <c r="MNT107" s="395"/>
      <c r="MNU107" s="395"/>
      <c r="MNV107" s="395"/>
      <c r="MNW107" s="395"/>
      <c r="MNX107" s="395"/>
      <c r="MNY107" s="395"/>
      <c r="MNZ107" s="395"/>
      <c r="MOA107" s="395"/>
      <c r="MOB107" s="396"/>
      <c r="MOC107" s="394"/>
      <c r="MOD107" s="395"/>
      <c r="MOE107" s="395"/>
      <c r="MOF107" s="395"/>
      <c r="MOG107" s="395"/>
      <c r="MOH107" s="395"/>
      <c r="MOI107" s="395"/>
      <c r="MOJ107" s="395"/>
      <c r="MOK107" s="395"/>
      <c r="MOL107" s="395"/>
      <c r="MOM107" s="395"/>
      <c r="MON107" s="395"/>
      <c r="MOO107" s="395"/>
      <c r="MOP107" s="395"/>
      <c r="MOQ107" s="395"/>
      <c r="MOR107" s="395"/>
      <c r="MOS107" s="395"/>
      <c r="MOT107" s="395"/>
      <c r="MOU107" s="395"/>
      <c r="MOV107" s="395"/>
      <c r="MOW107" s="395"/>
      <c r="MOX107" s="395"/>
      <c r="MOY107" s="395"/>
      <c r="MOZ107" s="395"/>
      <c r="MPA107" s="395"/>
      <c r="MPB107" s="395"/>
      <c r="MPC107" s="396"/>
      <c r="MPD107" s="394"/>
      <c r="MPE107" s="395"/>
      <c r="MPF107" s="395"/>
      <c r="MPG107" s="395"/>
      <c r="MPH107" s="395"/>
      <c r="MPI107" s="395"/>
      <c r="MPJ107" s="395"/>
      <c r="MPK107" s="395"/>
      <c r="MPL107" s="395"/>
      <c r="MPM107" s="395"/>
      <c r="MPN107" s="395"/>
      <c r="MPO107" s="395"/>
      <c r="MPP107" s="395"/>
      <c r="MPQ107" s="395"/>
      <c r="MPR107" s="395"/>
      <c r="MPS107" s="395"/>
      <c r="MPT107" s="395"/>
      <c r="MPU107" s="395"/>
      <c r="MPV107" s="395"/>
      <c r="MPW107" s="395"/>
      <c r="MPX107" s="395"/>
      <c r="MPY107" s="395"/>
      <c r="MPZ107" s="395"/>
      <c r="MQA107" s="395"/>
      <c r="MQB107" s="395"/>
      <c r="MQC107" s="395"/>
      <c r="MQD107" s="396"/>
      <c r="MQE107" s="394"/>
      <c r="MQF107" s="395"/>
      <c r="MQG107" s="395"/>
      <c r="MQH107" s="395"/>
      <c r="MQI107" s="395"/>
      <c r="MQJ107" s="395"/>
      <c r="MQK107" s="395"/>
      <c r="MQL107" s="395"/>
      <c r="MQM107" s="395"/>
      <c r="MQN107" s="395"/>
      <c r="MQO107" s="395"/>
      <c r="MQP107" s="395"/>
      <c r="MQQ107" s="395"/>
      <c r="MQR107" s="395"/>
      <c r="MQS107" s="395"/>
      <c r="MQT107" s="395"/>
      <c r="MQU107" s="395"/>
      <c r="MQV107" s="395"/>
      <c r="MQW107" s="395"/>
      <c r="MQX107" s="395"/>
      <c r="MQY107" s="395"/>
      <c r="MQZ107" s="395"/>
      <c r="MRA107" s="395"/>
      <c r="MRB107" s="395"/>
      <c r="MRC107" s="395"/>
      <c r="MRD107" s="395"/>
      <c r="MRE107" s="396"/>
      <c r="MRF107" s="394"/>
      <c r="MRG107" s="395"/>
      <c r="MRH107" s="395"/>
      <c r="MRI107" s="395"/>
      <c r="MRJ107" s="395"/>
      <c r="MRK107" s="395"/>
      <c r="MRL107" s="395"/>
      <c r="MRM107" s="395"/>
      <c r="MRN107" s="395"/>
      <c r="MRO107" s="395"/>
      <c r="MRP107" s="395"/>
      <c r="MRQ107" s="395"/>
      <c r="MRR107" s="395"/>
      <c r="MRS107" s="395"/>
      <c r="MRT107" s="395"/>
      <c r="MRU107" s="395"/>
      <c r="MRV107" s="395"/>
      <c r="MRW107" s="395"/>
      <c r="MRX107" s="395"/>
      <c r="MRY107" s="395"/>
      <c r="MRZ107" s="395"/>
      <c r="MSA107" s="395"/>
      <c r="MSB107" s="395"/>
      <c r="MSC107" s="395"/>
      <c r="MSD107" s="395"/>
      <c r="MSE107" s="395"/>
      <c r="MSF107" s="396"/>
      <c r="MSG107" s="394"/>
      <c r="MSH107" s="395"/>
      <c r="MSI107" s="395"/>
      <c r="MSJ107" s="395"/>
      <c r="MSK107" s="395"/>
      <c r="MSL107" s="395"/>
      <c r="MSM107" s="395"/>
      <c r="MSN107" s="395"/>
      <c r="MSO107" s="395"/>
      <c r="MSP107" s="395"/>
      <c r="MSQ107" s="395"/>
      <c r="MSR107" s="395"/>
      <c r="MSS107" s="395"/>
      <c r="MST107" s="395"/>
      <c r="MSU107" s="395"/>
      <c r="MSV107" s="395"/>
      <c r="MSW107" s="395"/>
      <c r="MSX107" s="395"/>
      <c r="MSY107" s="395"/>
      <c r="MSZ107" s="395"/>
      <c r="MTA107" s="395"/>
      <c r="MTB107" s="395"/>
      <c r="MTC107" s="395"/>
      <c r="MTD107" s="395"/>
      <c r="MTE107" s="395"/>
      <c r="MTF107" s="395"/>
      <c r="MTG107" s="396"/>
      <c r="MTH107" s="394"/>
      <c r="MTI107" s="395"/>
      <c r="MTJ107" s="395"/>
      <c r="MTK107" s="395"/>
      <c r="MTL107" s="395"/>
      <c r="MTM107" s="395"/>
      <c r="MTN107" s="395"/>
      <c r="MTO107" s="395"/>
      <c r="MTP107" s="395"/>
      <c r="MTQ107" s="395"/>
      <c r="MTR107" s="395"/>
      <c r="MTS107" s="395"/>
      <c r="MTT107" s="395"/>
      <c r="MTU107" s="395"/>
      <c r="MTV107" s="395"/>
      <c r="MTW107" s="395"/>
      <c r="MTX107" s="395"/>
      <c r="MTY107" s="395"/>
      <c r="MTZ107" s="395"/>
      <c r="MUA107" s="395"/>
      <c r="MUB107" s="395"/>
      <c r="MUC107" s="395"/>
      <c r="MUD107" s="395"/>
      <c r="MUE107" s="395"/>
      <c r="MUF107" s="395"/>
      <c r="MUG107" s="395"/>
      <c r="MUH107" s="396"/>
      <c r="MUI107" s="394"/>
      <c r="MUJ107" s="395"/>
      <c r="MUK107" s="395"/>
      <c r="MUL107" s="395"/>
      <c r="MUM107" s="395"/>
      <c r="MUN107" s="395"/>
      <c r="MUO107" s="395"/>
      <c r="MUP107" s="395"/>
      <c r="MUQ107" s="395"/>
      <c r="MUR107" s="395"/>
      <c r="MUS107" s="395"/>
      <c r="MUT107" s="395"/>
      <c r="MUU107" s="395"/>
      <c r="MUV107" s="395"/>
      <c r="MUW107" s="395"/>
      <c r="MUX107" s="395"/>
      <c r="MUY107" s="395"/>
      <c r="MUZ107" s="395"/>
      <c r="MVA107" s="395"/>
      <c r="MVB107" s="395"/>
      <c r="MVC107" s="395"/>
      <c r="MVD107" s="395"/>
      <c r="MVE107" s="395"/>
      <c r="MVF107" s="395"/>
      <c r="MVG107" s="395"/>
      <c r="MVH107" s="395"/>
      <c r="MVI107" s="396"/>
      <c r="MVJ107" s="394"/>
      <c r="MVK107" s="395"/>
      <c r="MVL107" s="395"/>
      <c r="MVM107" s="395"/>
      <c r="MVN107" s="395"/>
      <c r="MVO107" s="395"/>
      <c r="MVP107" s="395"/>
      <c r="MVQ107" s="395"/>
      <c r="MVR107" s="395"/>
      <c r="MVS107" s="395"/>
      <c r="MVT107" s="395"/>
      <c r="MVU107" s="395"/>
      <c r="MVV107" s="395"/>
      <c r="MVW107" s="395"/>
      <c r="MVX107" s="395"/>
      <c r="MVY107" s="395"/>
      <c r="MVZ107" s="395"/>
      <c r="MWA107" s="395"/>
      <c r="MWB107" s="395"/>
      <c r="MWC107" s="395"/>
      <c r="MWD107" s="395"/>
      <c r="MWE107" s="395"/>
      <c r="MWF107" s="395"/>
      <c r="MWG107" s="395"/>
      <c r="MWH107" s="395"/>
      <c r="MWI107" s="395"/>
      <c r="MWJ107" s="396"/>
      <c r="MWK107" s="394"/>
      <c r="MWL107" s="395"/>
      <c r="MWM107" s="395"/>
      <c r="MWN107" s="395"/>
      <c r="MWO107" s="395"/>
      <c r="MWP107" s="395"/>
      <c r="MWQ107" s="395"/>
      <c r="MWR107" s="395"/>
      <c r="MWS107" s="395"/>
      <c r="MWT107" s="395"/>
      <c r="MWU107" s="395"/>
      <c r="MWV107" s="395"/>
      <c r="MWW107" s="395"/>
      <c r="MWX107" s="395"/>
      <c r="MWY107" s="395"/>
      <c r="MWZ107" s="395"/>
      <c r="MXA107" s="395"/>
      <c r="MXB107" s="395"/>
      <c r="MXC107" s="395"/>
      <c r="MXD107" s="395"/>
      <c r="MXE107" s="395"/>
      <c r="MXF107" s="395"/>
      <c r="MXG107" s="395"/>
      <c r="MXH107" s="395"/>
      <c r="MXI107" s="395"/>
      <c r="MXJ107" s="395"/>
      <c r="MXK107" s="396"/>
      <c r="MXL107" s="394"/>
      <c r="MXM107" s="395"/>
      <c r="MXN107" s="395"/>
      <c r="MXO107" s="395"/>
      <c r="MXP107" s="395"/>
      <c r="MXQ107" s="395"/>
      <c r="MXR107" s="395"/>
      <c r="MXS107" s="395"/>
      <c r="MXT107" s="395"/>
      <c r="MXU107" s="395"/>
      <c r="MXV107" s="395"/>
      <c r="MXW107" s="395"/>
      <c r="MXX107" s="395"/>
      <c r="MXY107" s="395"/>
      <c r="MXZ107" s="395"/>
      <c r="MYA107" s="395"/>
      <c r="MYB107" s="395"/>
      <c r="MYC107" s="395"/>
      <c r="MYD107" s="395"/>
      <c r="MYE107" s="395"/>
      <c r="MYF107" s="395"/>
      <c r="MYG107" s="395"/>
      <c r="MYH107" s="395"/>
      <c r="MYI107" s="395"/>
      <c r="MYJ107" s="395"/>
      <c r="MYK107" s="395"/>
      <c r="MYL107" s="396"/>
      <c r="MYM107" s="394"/>
      <c r="MYN107" s="395"/>
      <c r="MYO107" s="395"/>
      <c r="MYP107" s="395"/>
      <c r="MYQ107" s="395"/>
      <c r="MYR107" s="395"/>
      <c r="MYS107" s="395"/>
      <c r="MYT107" s="395"/>
      <c r="MYU107" s="395"/>
      <c r="MYV107" s="395"/>
      <c r="MYW107" s="395"/>
      <c r="MYX107" s="395"/>
      <c r="MYY107" s="395"/>
      <c r="MYZ107" s="395"/>
      <c r="MZA107" s="395"/>
      <c r="MZB107" s="395"/>
      <c r="MZC107" s="395"/>
      <c r="MZD107" s="395"/>
      <c r="MZE107" s="395"/>
      <c r="MZF107" s="395"/>
      <c r="MZG107" s="395"/>
      <c r="MZH107" s="395"/>
      <c r="MZI107" s="395"/>
      <c r="MZJ107" s="395"/>
      <c r="MZK107" s="395"/>
      <c r="MZL107" s="395"/>
      <c r="MZM107" s="396"/>
      <c r="MZN107" s="394"/>
      <c r="MZO107" s="395"/>
      <c r="MZP107" s="395"/>
      <c r="MZQ107" s="395"/>
      <c r="MZR107" s="395"/>
      <c r="MZS107" s="395"/>
      <c r="MZT107" s="395"/>
      <c r="MZU107" s="395"/>
      <c r="MZV107" s="395"/>
      <c r="MZW107" s="395"/>
      <c r="MZX107" s="395"/>
      <c r="MZY107" s="395"/>
      <c r="MZZ107" s="395"/>
      <c r="NAA107" s="395"/>
      <c r="NAB107" s="395"/>
      <c r="NAC107" s="395"/>
      <c r="NAD107" s="395"/>
      <c r="NAE107" s="395"/>
      <c r="NAF107" s="395"/>
      <c r="NAG107" s="395"/>
      <c r="NAH107" s="395"/>
      <c r="NAI107" s="395"/>
      <c r="NAJ107" s="395"/>
      <c r="NAK107" s="395"/>
      <c r="NAL107" s="395"/>
      <c r="NAM107" s="395"/>
      <c r="NAN107" s="396"/>
      <c r="NAO107" s="394"/>
      <c r="NAP107" s="395"/>
      <c r="NAQ107" s="395"/>
      <c r="NAR107" s="395"/>
      <c r="NAS107" s="395"/>
      <c r="NAT107" s="395"/>
      <c r="NAU107" s="395"/>
      <c r="NAV107" s="395"/>
      <c r="NAW107" s="395"/>
      <c r="NAX107" s="395"/>
      <c r="NAY107" s="395"/>
      <c r="NAZ107" s="395"/>
      <c r="NBA107" s="395"/>
      <c r="NBB107" s="395"/>
      <c r="NBC107" s="395"/>
      <c r="NBD107" s="395"/>
      <c r="NBE107" s="395"/>
      <c r="NBF107" s="395"/>
      <c r="NBG107" s="395"/>
      <c r="NBH107" s="395"/>
      <c r="NBI107" s="395"/>
      <c r="NBJ107" s="395"/>
      <c r="NBK107" s="395"/>
      <c r="NBL107" s="395"/>
      <c r="NBM107" s="395"/>
      <c r="NBN107" s="395"/>
      <c r="NBO107" s="396"/>
      <c r="NBP107" s="394"/>
      <c r="NBQ107" s="395"/>
      <c r="NBR107" s="395"/>
      <c r="NBS107" s="395"/>
      <c r="NBT107" s="395"/>
      <c r="NBU107" s="395"/>
      <c r="NBV107" s="395"/>
      <c r="NBW107" s="395"/>
      <c r="NBX107" s="395"/>
      <c r="NBY107" s="395"/>
      <c r="NBZ107" s="395"/>
      <c r="NCA107" s="395"/>
      <c r="NCB107" s="395"/>
      <c r="NCC107" s="395"/>
      <c r="NCD107" s="395"/>
      <c r="NCE107" s="395"/>
      <c r="NCF107" s="395"/>
      <c r="NCG107" s="395"/>
      <c r="NCH107" s="395"/>
      <c r="NCI107" s="395"/>
      <c r="NCJ107" s="395"/>
      <c r="NCK107" s="395"/>
      <c r="NCL107" s="395"/>
      <c r="NCM107" s="395"/>
      <c r="NCN107" s="395"/>
      <c r="NCO107" s="395"/>
      <c r="NCP107" s="396"/>
      <c r="NCQ107" s="394"/>
      <c r="NCR107" s="395"/>
      <c r="NCS107" s="395"/>
      <c r="NCT107" s="395"/>
      <c r="NCU107" s="395"/>
      <c r="NCV107" s="395"/>
      <c r="NCW107" s="395"/>
      <c r="NCX107" s="395"/>
      <c r="NCY107" s="395"/>
      <c r="NCZ107" s="395"/>
      <c r="NDA107" s="395"/>
      <c r="NDB107" s="395"/>
      <c r="NDC107" s="395"/>
      <c r="NDD107" s="395"/>
      <c r="NDE107" s="395"/>
      <c r="NDF107" s="395"/>
      <c r="NDG107" s="395"/>
      <c r="NDH107" s="395"/>
      <c r="NDI107" s="395"/>
      <c r="NDJ107" s="395"/>
      <c r="NDK107" s="395"/>
      <c r="NDL107" s="395"/>
      <c r="NDM107" s="395"/>
      <c r="NDN107" s="395"/>
      <c r="NDO107" s="395"/>
      <c r="NDP107" s="395"/>
      <c r="NDQ107" s="396"/>
      <c r="NDR107" s="394"/>
      <c r="NDS107" s="395"/>
      <c r="NDT107" s="395"/>
      <c r="NDU107" s="395"/>
      <c r="NDV107" s="395"/>
      <c r="NDW107" s="395"/>
      <c r="NDX107" s="395"/>
      <c r="NDY107" s="395"/>
      <c r="NDZ107" s="395"/>
      <c r="NEA107" s="395"/>
      <c r="NEB107" s="395"/>
      <c r="NEC107" s="395"/>
      <c r="NED107" s="395"/>
      <c r="NEE107" s="395"/>
      <c r="NEF107" s="395"/>
      <c r="NEG107" s="395"/>
      <c r="NEH107" s="395"/>
      <c r="NEI107" s="395"/>
      <c r="NEJ107" s="395"/>
      <c r="NEK107" s="395"/>
      <c r="NEL107" s="395"/>
      <c r="NEM107" s="395"/>
      <c r="NEN107" s="395"/>
      <c r="NEO107" s="395"/>
      <c r="NEP107" s="395"/>
      <c r="NEQ107" s="395"/>
      <c r="NER107" s="396"/>
      <c r="NES107" s="394"/>
      <c r="NET107" s="395"/>
      <c r="NEU107" s="395"/>
      <c r="NEV107" s="395"/>
      <c r="NEW107" s="395"/>
      <c r="NEX107" s="395"/>
      <c r="NEY107" s="395"/>
      <c r="NEZ107" s="395"/>
      <c r="NFA107" s="395"/>
      <c r="NFB107" s="395"/>
      <c r="NFC107" s="395"/>
      <c r="NFD107" s="395"/>
      <c r="NFE107" s="395"/>
      <c r="NFF107" s="395"/>
      <c r="NFG107" s="395"/>
      <c r="NFH107" s="395"/>
      <c r="NFI107" s="395"/>
      <c r="NFJ107" s="395"/>
      <c r="NFK107" s="395"/>
      <c r="NFL107" s="395"/>
      <c r="NFM107" s="395"/>
      <c r="NFN107" s="395"/>
      <c r="NFO107" s="395"/>
      <c r="NFP107" s="395"/>
      <c r="NFQ107" s="395"/>
      <c r="NFR107" s="395"/>
      <c r="NFS107" s="396"/>
      <c r="NFT107" s="394"/>
      <c r="NFU107" s="395"/>
      <c r="NFV107" s="395"/>
      <c r="NFW107" s="395"/>
      <c r="NFX107" s="395"/>
      <c r="NFY107" s="395"/>
      <c r="NFZ107" s="395"/>
      <c r="NGA107" s="395"/>
      <c r="NGB107" s="395"/>
      <c r="NGC107" s="395"/>
      <c r="NGD107" s="395"/>
      <c r="NGE107" s="395"/>
      <c r="NGF107" s="395"/>
      <c r="NGG107" s="395"/>
      <c r="NGH107" s="395"/>
      <c r="NGI107" s="395"/>
      <c r="NGJ107" s="395"/>
      <c r="NGK107" s="395"/>
      <c r="NGL107" s="395"/>
      <c r="NGM107" s="395"/>
      <c r="NGN107" s="395"/>
      <c r="NGO107" s="395"/>
      <c r="NGP107" s="395"/>
      <c r="NGQ107" s="395"/>
      <c r="NGR107" s="395"/>
      <c r="NGS107" s="395"/>
      <c r="NGT107" s="396"/>
      <c r="NGU107" s="394"/>
      <c r="NGV107" s="395"/>
      <c r="NGW107" s="395"/>
      <c r="NGX107" s="395"/>
      <c r="NGY107" s="395"/>
      <c r="NGZ107" s="395"/>
      <c r="NHA107" s="395"/>
      <c r="NHB107" s="395"/>
      <c r="NHC107" s="395"/>
      <c r="NHD107" s="395"/>
      <c r="NHE107" s="395"/>
      <c r="NHF107" s="395"/>
      <c r="NHG107" s="395"/>
      <c r="NHH107" s="395"/>
      <c r="NHI107" s="395"/>
      <c r="NHJ107" s="395"/>
      <c r="NHK107" s="395"/>
      <c r="NHL107" s="395"/>
      <c r="NHM107" s="395"/>
      <c r="NHN107" s="395"/>
      <c r="NHO107" s="395"/>
      <c r="NHP107" s="395"/>
      <c r="NHQ107" s="395"/>
      <c r="NHR107" s="395"/>
      <c r="NHS107" s="395"/>
      <c r="NHT107" s="395"/>
      <c r="NHU107" s="396"/>
      <c r="NHV107" s="394"/>
      <c r="NHW107" s="395"/>
      <c r="NHX107" s="395"/>
      <c r="NHY107" s="395"/>
      <c r="NHZ107" s="395"/>
      <c r="NIA107" s="395"/>
      <c r="NIB107" s="395"/>
      <c r="NIC107" s="395"/>
      <c r="NID107" s="395"/>
      <c r="NIE107" s="395"/>
      <c r="NIF107" s="395"/>
      <c r="NIG107" s="395"/>
      <c r="NIH107" s="395"/>
      <c r="NII107" s="395"/>
      <c r="NIJ107" s="395"/>
      <c r="NIK107" s="395"/>
      <c r="NIL107" s="395"/>
      <c r="NIM107" s="395"/>
      <c r="NIN107" s="395"/>
      <c r="NIO107" s="395"/>
      <c r="NIP107" s="395"/>
      <c r="NIQ107" s="395"/>
      <c r="NIR107" s="395"/>
      <c r="NIS107" s="395"/>
      <c r="NIT107" s="395"/>
      <c r="NIU107" s="395"/>
      <c r="NIV107" s="396"/>
      <c r="NIW107" s="394"/>
      <c r="NIX107" s="395"/>
      <c r="NIY107" s="395"/>
      <c r="NIZ107" s="395"/>
      <c r="NJA107" s="395"/>
      <c r="NJB107" s="395"/>
      <c r="NJC107" s="395"/>
      <c r="NJD107" s="395"/>
      <c r="NJE107" s="395"/>
      <c r="NJF107" s="395"/>
      <c r="NJG107" s="395"/>
      <c r="NJH107" s="395"/>
      <c r="NJI107" s="395"/>
      <c r="NJJ107" s="395"/>
      <c r="NJK107" s="395"/>
      <c r="NJL107" s="395"/>
      <c r="NJM107" s="395"/>
      <c r="NJN107" s="395"/>
      <c r="NJO107" s="395"/>
      <c r="NJP107" s="395"/>
      <c r="NJQ107" s="395"/>
      <c r="NJR107" s="395"/>
      <c r="NJS107" s="395"/>
      <c r="NJT107" s="395"/>
      <c r="NJU107" s="395"/>
      <c r="NJV107" s="395"/>
      <c r="NJW107" s="396"/>
      <c r="NJX107" s="394"/>
      <c r="NJY107" s="395"/>
      <c r="NJZ107" s="395"/>
      <c r="NKA107" s="395"/>
      <c r="NKB107" s="395"/>
      <c r="NKC107" s="395"/>
      <c r="NKD107" s="395"/>
      <c r="NKE107" s="395"/>
      <c r="NKF107" s="395"/>
      <c r="NKG107" s="395"/>
      <c r="NKH107" s="395"/>
      <c r="NKI107" s="395"/>
      <c r="NKJ107" s="395"/>
      <c r="NKK107" s="395"/>
      <c r="NKL107" s="395"/>
      <c r="NKM107" s="395"/>
      <c r="NKN107" s="395"/>
      <c r="NKO107" s="395"/>
      <c r="NKP107" s="395"/>
      <c r="NKQ107" s="395"/>
      <c r="NKR107" s="395"/>
      <c r="NKS107" s="395"/>
      <c r="NKT107" s="395"/>
      <c r="NKU107" s="395"/>
      <c r="NKV107" s="395"/>
      <c r="NKW107" s="395"/>
      <c r="NKX107" s="396"/>
      <c r="NKY107" s="394"/>
      <c r="NKZ107" s="395"/>
      <c r="NLA107" s="395"/>
      <c r="NLB107" s="395"/>
      <c r="NLC107" s="395"/>
      <c r="NLD107" s="395"/>
      <c r="NLE107" s="395"/>
      <c r="NLF107" s="395"/>
      <c r="NLG107" s="395"/>
      <c r="NLH107" s="395"/>
      <c r="NLI107" s="395"/>
      <c r="NLJ107" s="395"/>
      <c r="NLK107" s="395"/>
      <c r="NLL107" s="395"/>
      <c r="NLM107" s="395"/>
      <c r="NLN107" s="395"/>
      <c r="NLO107" s="395"/>
      <c r="NLP107" s="395"/>
      <c r="NLQ107" s="395"/>
      <c r="NLR107" s="395"/>
      <c r="NLS107" s="395"/>
      <c r="NLT107" s="395"/>
      <c r="NLU107" s="395"/>
      <c r="NLV107" s="395"/>
      <c r="NLW107" s="395"/>
      <c r="NLX107" s="395"/>
      <c r="NLY107" s="396"/>
      <c r="NLZ107" s="394"/>
      <c r="NMA107" s="395"/>
      <c r="NMB107" s="395"/>
      <c r="NMC107" s="395"/>
      <c r="NMD107" s="395"/>
      <c r="NME107" s="395"/>
      <c r="NMF107" s="395"/>
      <c r="NMG107" s="395"/>
      <c r="NMH107" s="395"/>
      <c r="NMI107" s="395"/>
      <c r="NMJ107" s="395"/>
      <c r="NMK107" s="395"/>
      <c r="NML107" s="395"/>
      <c r="NMM107" s="395"/>
      <c r="NMN107" s="395"/>
      <c r="NMO107" s="395"/>
      <c r="NMP107" s="395"/>
      <c r="NMQ107" s="395"/>
      <c r="NMR107" s="395"/>
      <c r="NMS107" s="395"/>
      <c r="NMT107" s="395"/>
      <c r="NMU107" s="395"/>
      <c r="NMV107" s="395"/>
      <c r="NMW107" s="395"/>
      <c r="NMX107" s="395"/>
      <c r="NMY107" s="395"/>
      <c r="NMZ107" s="396"/>
      <c r="NNA107" s="394"/>
      <c r="NNB107" s="395"/>
      <c r="NNC107" s="395"/>
      <c r="NND107" s="395"/>
      <c r="NNE107" s="395"/>
      <c r="NNF107" s="395"/>
      <c r="NNG107" s="395"/>
      <c r="NNH107" s="395"/>
      <c r="NNI107" s="395"/>
      <c r="NNJ107" s="395"/>
      <c r="NNK107" s="395"/>
      <c r="NNL107" s="395"/>
      <c r="NNM107" s="395"/>
      <c r="NNN107" s="395"/>
      <c r="NNO107" s="395"/>
      <c r="NNP107" s="395"/>
      <c r="NNQ107" s="395"/>
      <c r="NNR107" s="395"/>
      <c r="NNS107" s="395"/>
      <c r="NNT107" s="395"/>
      <c r="NNU107" s="395"/>
      <c r="NNV107" s="395"/>
      <c r="NNW107" s="395"/>
      <c r="NNX107" s="395"/>
      <c r="NNY107" s="395"/>
      <c r="NNZ107" s="395"/>
      <c r="NOA107" s="396"/>
      <c r="NOB107" s="394"/>
      <c r="NOC107" s="395"/>
      <c r="NOD107" s="395"/>
      <c r="NOE107" s="395"/>
      <c r="NOF107" s="395"/>
      <c r="NOG107" s="395"/>
      <c r="NOH107" s="395"/>
      <c r="NOI107" s="395"/>
      <c r="NOJ107" s="395"/>
      <c r="NOK107" s="395"/>
      <c r="NOL107" s="395"/>
      <c r="NOM107" s="395"/>
      <c r="NON107" s="395"/>
      <c r="NOO107" s="395"/>
      <c r="NOP107" s="395"/>
      <c r="NOQ107" s="395"/>
      <c r="NOR107" s="395"/>
      <c r="NOS107" s="395"/>
      <c r="NOT107" s="395"/>
      <c r="NOU107" s="395"/>
      <c r="NOV107" s="395"/>
      <c r="NOW107" s="395"/>
      <c r="NOX107" s="395"/>
      <c r="NOY107" s="395"/>
      <c r="NOZ107" s="395"/>
      <c r="NPA107" s="395"/>
      <c r="NPB107" s="396"/>
      <c r="NPC107" s="394"/>
      <c r="NPD107" s="395"/>
      <c r="NPE107" s="395"/>
      <c r="NPF107" s="395"/>
      <c r="NPG107" s="395"/>
      <c r="NPH107" s="395"/>
      <c r="NPI107" s="395"/>
      <c r="NPJ107" s="395"/>
      <c r="NPK107" s="395"/>
      <c r="NPL107" s="395"/>
      <c r="NPM107" s="395"/>
      <c r="NPN107" s="395"/>
      <c r="NPO107" s="395"/>
      <c r="NPP107" s="395"/>
      <c r="NPQ107" s="395"/>
      <c r="NPR107" s="395"/>
      <c r="NPS107" s="395"/>
      <c r="NPT107" s="395"/>
      <c r="NPU107" s="395"/>
      <c r="NPV107" s="395"/>
      <c r="NPW107" s="395"/>
      <c r="NPX107" s="395"/>
      <c r="NPY107" s="395"/>
      <c r="NPZ107" s="395"/>
      <c r="NQA107" s="395"/>
      <c r="NQB107" s="395"/>
      <c r="NQC107" s="396"/>
      <c r="NQD107" s="394"/>
      <c r="NQE107" s="395"/>
      <c r="NQF107" s="395"/>
      <c r="NQG107" s="395"/>
      <c r="NQH107" s="395"/>
      <c r="NQI107" s="395"/>
      <c r="NQJ107" s="395"/>
      <c r="NQK107" s="395"/>
      <c r="NQL107" s="395"/>
      <c r="NQM107" s="395"/>
      <c r="NQN107" s="395"/>
      <c r="NQO107" s="395"/>
      <c r="NQP107" s="395"/>
      <c r="NQQ107" s="395"/>
      <c r="NQR107" s="395"/>
      <c r="NQS107" s="395"/>
      <c r="NQT107" s="395"/>
      <c r="NQU107" s="395"/>
      <c r="NQV107" s="395"/>
      <c r="NQW107" s="395"/>
      <c r="NQX107" s="395"/>
      <c r="NQY107" s="395"/>
      <c r="NQZ107" s="395"/>
      <c r="NRA107" s="395"/>
      <c r="NRB107" s="395"/>
      <c r="NRC107" s="395"/>
      <c r="NRD107" s="396"/>
      <c r="NRE107" s="394"/>
      <c r="NRF107" s="395"/>
      <c r="NRG107" s="395"/>
      <c r="NRH107" s="395"/>
      <c r="NRI107" s="395"/>
      <c r="NRJ107" s="395"/>
      <c r="NRK107" s="395"/>
      <c r="NRL107" s="395"/>
      <c r="NRM107" s="395"/>
      <c r="NRN107" s="395"/>
      <c r="NRO107" s="395"/>
      <c r="NRP107" s="395"/>
      <c r="NRQ107" s="395"/>
      <c r="NRR107" s="395"/>
      <c r="NRS107" s="395"/>
      <c r="NRT107" s="395"/>
      <c r="NRU107" s="395"/>
      <c r="NRV107" s="395"/>
      <c r="NRW107" s="395"/>
      <c r="NRX107" s="395"/>
      <c r="NRY107" s="395"/>
      <c r="NRZ107" s="395"/>
      <c r="NSA107" s="395"/>
      <c r="NSB107" s="395"/>
      <c r="NSC107" s="395"/>
      <c r="NSD107" s="395"/>
      <c r="NSE107" s="396"/>
      <c r="NSF107" s="394"/>
      <c r="NSG107" s="395"/>
      <c r="NSH107" s="395"/>
      <c r="NSI107" s="395"/>
      <c r="NSJ107" s="395"/>
      <c r="NSK107" s="395"/>
      <c r="NSL107" s="395"/>
      <c r="NSM107" s="395"/>
      <c r="NSN107" s="395"/>
      <c r="NSO107" s="395"/>
      <c r="NSP107" s="395"/>
      <c r="NSQ107" s="395"/>
      <c r="NSR107" s="395"/>
      <c r="NSS107" s="395"/>
      <c r="NST107" s="395"/>
      <c r="NSU107" s="395"/>
      <c r="NSV107" s="395"/>
      <c r="NSW107" s="395"/>
      <c r="NSX107" s="395"/>
      <c r="NSY107" s="395"/>
      <c r="NSZ107" s="395"/>
      <c r="NTA107" s="395"/>
      <c r="NTB107" s="395"/>
      <c r="NTC107" s="395"/>
      <c r="NTD107" s="395"/>
      <c r="NTE107" s="395"/>
      <c r="NTF107" s="396"/>
      <c r="NTG107" s="394"/>
      <c r="NTH107" s="395"/>
      <c r="NTI107" s="395"/>
      <c r="NTJ107" s="395"/>
      <c r="NTK107" s="395"/>
      <c r="NTL107" s="395"/>
      <c r="NTM107" s="395"/>
      <c r="NTN107" s="395"/>
      <c r="NTO107" s="395"/>
      <c r="NTP107" s="395"/>
      <c r="NTQ107" s="395"/>
      <c r="NTR107" s="395"/>
      <c r="NTS107" s="395"/>
      <c r="NTT107" s="395"/>
      <c r="NTU107" s="395"/>
      <c r="NTV107" s="395"/>
      <c r="NTW107" s="395"/>
      <c r="NTX107" s="395"/>
      <c r="NTY107" s="395"/>
      <c r="NTZ107" s="395"/>
      <c r="NUA107" s="395"/>
      <c r="NUB107" s="395"/>
      <c r="NUC107" s="395"/>
      <c r="NUD107" s="395"/>
      <c r="NUE107" s="395"/>
      <c r="NUF107" s="395"/>
      <c r="NUG107" s="396"/>
      <c r="NUH107" s="394"/>
      <c r="NUI107" s="395"/>
      <c r="NUJ107" s="395"/>
      <c r="NUK107" s="395"/>
      <c r="NUL107" s="395"/>
      <c r="NUM107" s="395"/>
      <c r="NUN107" s="395"/>
      <c r="NUO107" s="395"/>
      <c r="NUP107" s="395"/>
      <c r="NUQ107" s="395"/>
      <c r="NUR107" s="395"/>
      <c r="NUS107" s="395"/>
      <c r="NUT107" s="395"/>
      <c r="NUU107" s="395"/>
      <c r="NUV107" s="395"/>
      <c r="NUW107" s="395"/>
      <c r="NUX107" s="395"/>
      <c r="NUY107" s="395"/>
      <c r="NUZ107" s="395"/>
      <c r="NVA107" s="395"/>
      <c r="NVB107" s="395"/>
      <c r="NVC107" s="395"/>
      <c r="NVD107" s="395"/>
      <c r="NVE107" s="395"/>
      <c r="NVF107" s="395"/>
      <c r="NVG107" s="395"/>
      <c r="NVH107" s="396"/>
      <c r="NVI107" s="394"/>
      <c r="NVJ107" s="395"/>
      <c r="NVK107" s="395"/>
      <c r="NVL107" s="395"/>
      <c r="NVM107" s="395"/>
      <c r="NVN107" s="395"/>
      <c r="NVO107" s="395"/>
      <c r="NVP107" s="395"/>
      <c r="NVQ107" s="395"/>
      <c r="NVR107" s="395"/>
      <c r="NVS107" s="395"/>
      <c r="NVT107" s="395"/>
      <c r="NVU107" s="395"/>
      <c r="NVV107" s="395"/>
      <c r="NVW107" s="395"/>
      <c r="NVX107" s="395"/>
      <c r="NVY107" s="395"/>
      <c r="NVZ107" s="395"/>
      <c r="NWA107" s="395"/>
      <c r="NWB107" s="395"/>
      <c r="NWC107" s="395"/>
      <c r="NWD107" s="395"/>
      <c r="NWE107" s="395"/>
      <c r="NWF107" s="395"/>
      <c r="NWG107" s="395"/>
      <c r="NWH107" s="395"/>
      <c r="NWI107" s="396"/>
      <c r="NWJ107" s="394"/>
      <c r="NWK107" s="395"/>
      <c r="NWL107" s="395"/>
      <c r="NWM107" s="395"/>
      <c r="NWN107" s="395"/>
      <c r="NWO107" s="395"/>
      <c r="NWP107" s="395"/>
      <c r="NWQ107" s="395"/>
      <c r="NWR107" s="395"/>
      <c r="NWS107" s="395"/>
      <c r="NWT107" s="395"/>
      <c r="NWU107" s="395"/>
      <c r="NWV107" s="395"/>
      <c r="NWW107" s="395"/>
      <c r="NWX107" s="395"/>
      <c r="NWY107" s="395"/>
      <c r="NWZ107" s="395"/>
      <c r="NXA107" s="395"/>
      <c r="NXB107" s="395"/>
      <c r="NXC107" s="395"/>
      <c r="NXD107" s="395"/>
      <c r="NXE107" s="395"/>
      <c r="NXF107" s="395"/>
      <c r="NXG107" s="395"/>
      <c r="NXH107" s="395"/>
      <c r="NXI107" s="395"/>
      <c r="NXJ107" s="396"/>
      <c r="NXK107" s="394"/>
      <c r="NXL107" s="395"/>
      <c r="NXM107" s="395"/>
      <c r="NXN107" s="395"/>
      <c r="NXO107" s="395"/>
      <c r="NXP107" s="395"/>
      <c r="NXQ107" s="395"/>
      <c r="NXR107" s="395"/>
      <c r="NXS107" s="395"/>
      <c r="NXT107" s="395"/>
      <c r="NXU107" s="395"/>
      <c r="NXV107" s="395"/>
      <c r="NXW107" s="395"/>
      <c r="NXX107" s="395"/>
      <c r="NXY107" s="395"/>
      <c r="NXZ107" s="395"/>
      <c r="NYA107" s="395"/>
      <c r="NYB107" s="395"/>
      <c r="NYC107" s="395"/>
      <c r="NYD107" s="395"/>
      <c r="NYE107" s="395"/>
      <c r="NYF107" s="395"/>
      <c r="NYG107" s="395"/>
      <c r="NYH107" s="395"/>
      <c r="NYI107" s="395"/>
      <c r="NYJ107" s="395"/>
      <c r="NYK107" s="396"/>
      <c r="NYL107" s="394"/>
      <c r="NYM107" s="395"/>
      <c r="NYN107" s="395"/>
      <c r="NYO107" s="395"/>
      <c r="NYP107" s="395"/>
      <c r="NYQ107" s="395"/>
      <c r="NYR107" s="395"/>
      <c r="NYS107" s="395"/>
      <c r="NYT107" s="395"/>
      <c r="NYU107" s="395"/>
      <c r="NYV107" s="395"/>
      <c r="NYW107" s="395"/>
      <c r="NYX107" s="395"/>
      <c r="NYY107" s="395"/>
      <c r="NYZ107" s="395"/>
      <c r="NZA107" s="395"/>
      <c r="NZB107" s="395"/>
      <c r="NZC107" s="395"/>
      <c r="NZD107" s="395"/>
      <c r="NZE107" s="395"/>
      <c r="NZF107" s="395"/>
      <c r="NZG107" s="395"/>
      <c r="NZH107" s="395"/>
      <c r="NZI107" s="395"/>
      <c r="NZJ107" s="395"/>
      <c r="NZK107" s="395"/>
      <c r="NZL107" s="396"/>
      <c r="NZM107" s="394"/>
      <c r="NZN107" s="395"/>
      <c r="NZO107" s="395"/>
      <c r="NZP107" s="395"/>
      <c r="NZQ107" s="395"/>
      <c r="NZR107" s="395"/>
      <c r="NZS107" s="395"/>
      <c r="NZT107" s="395"/>
      <c r="NZU107" s="395"/>
      <c r="NZV107" s="395"/>
      <c r="NZW107" s="395"/>
      <c r="NZX107" s="395"/>
      <c r="NZY107" s="395"/>
      <c r="NZZ107" s="395"/>
      <c r="OAA107" s="395"/>
      <c r="OAB107" s="395"/>
      <c r="OAC107" s="395"/>
      <c r="OAD107" s="395"/>
      <c r="OAE107" s="395"/>
      <c r="OAF107" s="395"/>
      <c r="OAG107" s="395"/>
      <c r="OAH107" s="395"/>
      <c r="OAI107" s="395"/>
      <c r="OAJ107" s="395"/>
      <c r="OAK107" s="395"/>
      <c r="OAL107" s="395"/>
      <c r="OAM107" s="396"/>
      <c r="OAN107" s="394"/>
      <c r="OAO107" s="395"/>
      <c r="OAP107" s="395"/>
      <c r="OAQ107" s="395"/>
      <c r="OAR107" s="395"/>
      <c r="OAS107" s="395"/>
      <c r="OAT107" s="395"/>
      <c r="OAU107" s="395"/>
      <c r="OAV107" s="395"/>
      <c r="OAW107" s="395"/>
      <c r="OAX107" s="395"/>
      <c r="OAY107" s="395"/>
      <c r="OAZ107" s="395"/>
      <c r="OBA107" s="395"/>
      <c r="OBB107" s="395"/>
      <c r="OBC107" s="395"/>
      <c r="OBD107" s="395"/>
      <c r="OBE107" s="395"/>
      <c r="OBF107" s="395"/>
      <c r="OBG107" s="395"/>
      <c r="OBH107" s="395"/>
      <c r="OBI107" s="395"/>
      <c r="OBJ107" s="395"/>
      <c r="OBK107" s="395"/>
      <c r="OBL107" s="395"/>
      <c r="OBM107" s="395"/>
      <c r="OBN107" s="396"/>
      <c r="OBO107" s="394"/>
      <c r="OBP107" s="395"/>
      <c r="OBQ107" s="395"/>
      <c r="OBR107" s="395"/>
      <c r="OBS107" s="395"/>
      <c r="OBT107" s="395"/>
      <c r="OBU107" s="395"/>
      <c r="OBV107" s="395"/>
      <c r="OBW107" s="395"/>
      <c r="OBX107" s="395"/>
      <c r="OBY107" s="395"/>
      <c r="OBZ107" s="395"/>
      <c r="OCA107" s="395"/>
      <c r="OCB107" s="395"/>
      <c r="OCC107" s="395"/>
      <c r="OCD107" s="395"/>
      <c r="OCE107" s="395"/>
      <c r="OCF107" s="395"/>
      <c r="OCG107" s="395"/>
      <c r="OCH107" s="395"/>
      <c r="OCI107" s="395"/>
      <c r="OCJ107" s="395"/>
      <c r="OCK107" s="395"/>
      <c r="OCL107" s="395"/>
      <c r="OCM107" s="395"/>
      <c r="OCN107" s="395"/>
      <c r="OCO107" s="396"/>
      <c r="OCP107" s="394"/>
      <c r="OCQ107" s="395"/>
      <c r="OCR107" s="395"/>
      <c r="OCS107" s="395"/>
      <c r="OCT107" s="395"/>
      <c r="OCU107" s="395"/>
      <c r="OCV107" s="395"/>
      <c r="OCW107" s="395"/>
      <c r="OCX107" s="395"/>
      <c r="OCY107" s="395"/>
      <c r="OCZ107" s="395"/>
      <c r="ODA107" s="395"/>
      <c r="ODB107" s="395"/>
      <c r="ODC107" s="395"/>
      <c r="ODD107" s="395"/>
      <c r="ODE107" s="395"/>
      <c r="ODF107" s="395"/>
      <c r="ODG107" s="395"/>
      <c r="ODH107" s="395"/>
      <c r="ODI107" s="395"/>
      <c r="ODJ107" s="395"/>
      <c r="ODK107" s="395"/>
      <c r="ODL107" s="395"/>
      <c r="ODM107" s="395"/>
      <c r="ODN107" s="395"/>
      <c r="ODO107" s="395"/>
      <c r="ODP107" s="396"/>
      <c r="ODQ107" s="394"/>
      <c r="ODR107" s="395"/>
      <c r="ODS107" s="395"/>
      <c r="ODT107" s="395"/>
      <c r="ODU107" s="395"/>
      <c r="ODV107" s="395"/>
      <c r="ODW107" s="395"/>
      <c r="ODX107" s="395"/>
      <c r="ODY107" s="395"/>
      <c r="ODZ107" s="395"/>
      <c r="OEA107" s="395"/>
      <c r="OEB107" s="395"/>
      <c r="OEC107" s="395"/>
      <c r="OED107" s="395"/>
      <c r="OEE107" s="395"/>
      <c r="OEF107" s="395"/>
      <c r="OEG107" s="395"/>
      <c r="OEH107" s="395"/>
      <c r="OEI107" s="395"/>
      <c r="OEJ107" s="395"/>
      <c r="OEK107" s="395"/>
      <c r="OEL107" s="395"/>
      <c r="OEM107" s="395"/>
      <c r="OEN107" s="395"/>
      <c r="OEO107" s="395"/>
      <c r="OEP107" s="395"/>
      <c r="OEQ107" s="396"/>
      <c r="OER107" s="394"/>
      <c r="OES107" s="395"/>
      <c r="OET107" s="395"/>
      <c r="OEU107" s="395"/>
      <c r="OEV107" s="395"/>
      <c r="OEW107" s="395"/>
      <c r="OEX107" s="395"/>
      <c r="OEY107" s="395"/>
      <c r="OEZ107" s="395"/>
      <c r="OFA107" s="395"/>
      <c r="OFB107" s="395"/>
      <c r="OFC107" s="395"/>
      <c r="OFD107" s="395"/>
      <c r="OFE107" s="395"/>
      <c r="OFF107" s="395"/>
      <c r="OFG107" s="395"/>
      <c r="OFH107" s="395"/>
      <c r="OFI107" s="395"/>
      <c r="OFJ107" s="395"/>
      <c r="OFK107" s="395"/>
      <c r="OFL107" s="395"/>
      <c r="OFM107" s="395"/>
      <c r="OFN107" s="395"/>
      <c r="OFO107" s="395"/>
      <c r="OFP107" s="395"/>
      <c r="OFQ107" s="395"/>
      <c r="OFR107" s="396"/>
      <c r="OFS107" s="394"/>
      <c r="OFT107" s="395"/>
      <c r="OFU107" s="395"/>
      <c r="OFV107" s="395"/>
      <c r="OFW107" s="395"/>
      <c r="OFX107" s="395"/>
      <c r="OFY107" s="395"/>
      <c r="OFZ107" s="395"/>
      <c r="OGA107" s="395"/>
      <c r="OGB107" s="395"/>
      <c r="OGC107" s="395"/>
      <c r="OGD107" s="395"/>
      <c r="OGE107" s="395"/>
      <c r="OGF107" s="395"/>
      <c r="OGG107" s="395"/>
      <c r="OGH107" s="395"/>
      <c r="OGI107" s="395"/>
      <c r="OGJ107" s="395"/>
      <c r="OGK107" s="395"/>
      <c r="OGL107" s="395"/>
      <c r="OGM107" s="395"/>
      <c r="OGN107" s="395"/>
      <c r="OGO107" s="395"/>
      <c r="OGP107" s="395"/>
      <c r="OGQ107" s="395"/>
      <c r="OGR107" s="395"/>
      <c r="OGS107" s="396"/>
      <c r="OGT107" s="394"/>
      <c r="OGU107" s="395"/>
      <c r="OGV107" s="395"/>
      <c r="OGW107" s="395"/>
      <c r="OGX107" s="395"/>
      <c r="OGY107" s="395"/>
      <c r="OGZ107" s="395"/>
      <c r="OHA107" s="395"/>
      <c r="OHB107" s="395"/>
      <c r="OHC107" s="395"/>
      <c r="OHD107" s="395"/>
      <c r="OHE107" s="395"/>
      <c r="OHF107" s="395"/>
      <c r="OHG107" s="395"/>
      <c r="OHH107" s="395"/>
      <c r="OHI107" s="395"/>
      <c r="OHJ107" s="395"/>
      <c r="OHK107" s="395"/>
      <c r="OHL107" s="395"/>
      <c r="OHM107" s="395"/>
      <c r="OHN107" s="395"/>
      <c r="OHO107" s="395"/>
      <c r="OHP107" s="395"/>
      <c r="OHQ107" s="395"/>
      <c r="OHR107" s="395"/>
      <c r="OHS107" s="395"/>
      <c r="OHT107" s="396"/>
      <c r="OHU107" s="394"/>
      <c r="OHV107" s="395"/>
      <c r="OHW107" s="395"/>
      <c r="OHX107" s="395"/>
      <c r="OHY107" s="395"/>
      <c r="OHZ107" s="395"/>
      <c r="OIA107" s="395"/>
      <c r="OIB107" s="395"/>
      <c r="OIC107" s="395"/>
      <c r="OID107" s="395"/>
      <c r="OIE107" s="395"/>
      <c r="OIF107" s="395"/>
      <c r="OIG107" s="395"/>
      <c r="OIH107" s="395"/>
      <c r="OII107" s="395"/>
      <c r="OIJ107" s="395"/>
      <c r="OIK107" s="395"/>
      <c r="OIL107" s="395"/>
      <c r="OIM107" s="395"/>
      <c r="OIN107" s="395"/>
      <c r="OIO107" s="395"/>
      <c r="OIP107" s="395"/>
      <c r="OIQ107" s="395"/>
      <c r="OIR107" s="395"/>
      <c r="OIS107" s="395"/>
      <c r="OIT107" s="395"/>
      <c r="OIU107" s="396"/>
      <c r="OIV107" s="394"/>
      <c r="OIW107" s="395"/>
      <c r="OIX107" s="395"/>
      <c r="OIY107" s="395"/>
      <c r="OIZ107" s="395"/>
      <c r="OJA107" s="395"/>
      <c r="OJB107" s="395"/>
      <c r="OJC107" s="395"/>
      <c r="OJD107" s="395"/>
      <c r="OJE107" s="395"/>
      <c r="OJF107" s="395"/>
      <c r="OJG107" s="395"/>
      <c r="OJH107" s="395"/>
      <c r="OJI107" s="395"/>
      <c r="OJJ107" s="395"/>
      <c r="OJK107" s="395"/>
      <c r="OJL107" s="395"/>
      <c r="OJM107" s="395"/>
      <c r="OJN107" s="395"/>
      <c r="OJO107" s="395"/>
      <c r="OJP107" s="395"/>
      <c r="OJQ107" s="395"/>
      <c r="OJR107" s="395"/>
      <c r="OJS107" s="395"/>
      <c r="OJT107" s="395"/>
      <c r="OJU107" s="395"/>
      <c r="OJV107" s="396"/>
      <c r="OJW107" s="394"/>
      <c r="OJX107" s="395"/>
      <c r="OJY107" s="395"/>
      <c r="OJZ107" s="395"/>
      <c r="OKA107" s="395"/>
      <c r="OKB107" s="395"/>
      <c r="OKC107" s="395"/>
      <c r="OKD107" s="395"/>
      <c r="OKE107" s="395"/>
      <c r="OKF107" s="395"/>
      <c r="OKG107" s="395"/>
      <c r="OKH107" s="395"/>
      <c r="OKI107" s="395"/>
      <c r="OKJ107" s="395"/>
      <c r="OKK107" s="395"/>
      <c r="OKL107" s="395"/>
      <c r="OKM107" s="395"/>
      <c r="OKN107" s="395"/>
      <c r="OKO107" s="395"/>
      <c r="OKP107" s="395"/>
      <c r="OKQ107" s="395"/>
      <c r="OKR107" s="395"/>
      <c r="OKS107" s="395"/>
      <c r="OKT107" s="395"/>
      <c r="OKU107" s="395"/>
      <c r="OKV107" s="395"/>
      <c r="OKW107" s="396"/>
      <c r="OKX107" s="394"/>
      <c r="OKY107" s="395"/>
      <c r="OKZ107" s="395"/>
      <c r="OLA107" s="395"/>
      <c r="OLB107" s="395"/>
      <c r="OLC107" s="395"/>
      <c r="OLD107" s="395"/>
      <c r="OLE107" s="395"/>
      <c r="OLF107" s="395"/>
      <c r="OLG107" s="395"/>
      <c r="OLH107" s="395"/>
      <c r="OLI107" s="395"/>
      <c r="OLJ107" s="395"/>
      <c r="OLK107" s="395"/>
      <c r="OLL107" s="395"/>
      <c r="OLM107" s="395"/>
      <c r="OLN107" s="395"/>
      <c r="OLO107" s="395"/>
      <c r="OLP107" s="395"/>
      <c r="OLQ107" s="395"/>
      <c r="OLR107" s="395"/>
      <c r="OLS107" s="395"/>
      <c r="OLT107" s="395"/>
      <c r="OLU107" s="395"/>
      <c r="OLV107" s="395"/>
      <c r="OLW107" s="395"/>
      <c r="OLX107" s="396"/>
      <c r="OLY107" s="394"/>
      <c r="OLZ107" s="395"/>
      <c r="OMA107" s="395"/>
      <c r="OMB107" s="395"/>
      <c r="OMC107" s="395"/>
      <c r="OMD107" s="395"/>
      <c r="OME107" s="395"/>
      <c r="OMF107" s="395"/>
      <c r="OMG107" s="395"/>
      <c r="OMH107" s="395"/>
      <c r="OMI107" s="395"/>
      <c r="OMJ107" s="395"/>
      <c r="OMK107" s="395"/>
      <c r="OML107" s="395"/>
      <c r="OMM107" s="395"/>
      <c r="OMN107" s="395"/>
      <c r="OMO107" s="395"/>
      <c r="OMP107" s="395"/>
      <c r="OMQ107" s="395"/>
      <c r="OMR107" s="395"/>
      <c r="OMS107" s="395"/>
      <c r="OMT107" s="395"/>
      <c r="OMU107" s="395"/>
      <c r="OMV107" s="395"/>
      <c r="OMW107" s="395"/>
      <c r="OMX107" s="395"/>
      <c r="OMY107" s="396"/>
      <c r="OMZ107" s="394"/>
      <c r="ONA107" s="395"/>
      <c r="ONB107" s="395"/>
      <c r="ONC107" s="395"/>
      <c r="OND107" s="395"/>
      <c r="ONE107" s="395"/>
      <c r="ONF107" s="395"/>
      <c r="ONG107" s="395"/>
      <c r="ONH107" s="395"/>
      <c r="ONI107" s="395"/>
      <c r="ONJ107" s="395"/>
      <c r="ONK107" s="395"/>
      <c r="ONL107" s="395"/>
      <c r="ONM107" s="395"/>
      <c r="ONN107" s="395"/>
      <c r="ONO107" s="395"/>
      <c r="ONP107" s="395"/>
      <c r="ONQ107" s="395"/>
      <c r="ONR107" s="395"/>
      <c r="ONS107" s="395"/>
      <c r="ONT107" s="395"/>
      <c r="ONU107" s="395"/>
      <c r="ONV107" s="395"/>
      <c r="ONW107" s="395"/>
      <c r="ONX107" s="395"/>
      <c r="ONY107" s="395"/>
      <c r="ONZ107" s="396"/>
      <c r="OOA107" s="394"/>
      <c r="OOB107" s="395"/>
      <c r="OOC107" s="395"/>
      <c r="OOD107" s="395"/>
      <c r="OOE107" s="395"/>
      <c r="OOF107" s="395"/>
      <c r="OOG107" s="395"/>
      <c r="OOH107" s="395"/>
      <c r="OOI107" s="395"/>
      <c r="OOJ107" s="395"/>
      <c r="OOK107" s="395"/>
      <c r="OOL107" s="395"/>
      <c r="OOM107" s="395"/>
      <c r="OON107" s="395"/>
      <c r="OOO107" s="395"/>
      <c r="OOP107" s="395"/>
      <c r="OOQ107" s="395"/>
      <c r="OOR107" s="395"/>
      <c r="OOS107" s="395"/>
      <c r="OOT107" s="395"/>
      <c r="OOU107" s="395"/>
      <c r="OOV107" s="395"/>
      <c r="OOW107" s="395"/>
      <c r="OOX107" s="395"/>
      <c r="OOY107" s="395"/>
      <c r="OOZ107" s="395"/>
      <c r="OPA107" s="396"/>
      <c r="OPB107" s="394"/>
      <c r="OPC107" s="395"/>
      <c r="OPD107" s="395"/>
      <c r="OPE107" s="395"/>
      <c r="OPF107" s="395"/>
      <c r="OPG107" s="395"/>
      <c r="OPH107" s="395"/>
      <c r="OPI107" s="395"/>
      <c r="OPJ107" s="395"/>
      <c r="OPK107" s="395"/>
      <c r="OPL107" s="395"/>
      <c r="OPM107" s="395"/>
      <c r="OPN107" s="395"/>
      <c r="OPO107" s="395"/>
      <c r="OPP107" s="395"/>
      <c r="OPQ107" s="395"/>
      <c r="OPR107" s="395"/>
      <c r="OPS107" s="395"/>
      <c r="OPT107" s="395"/>
      <c r="OPU107" s="395"/>
      <c r="OPV107" s="395"/>
      <c r="OPW107" s="395"/>
      <c r="OPX107" s="395"/>
      <c r="OPY107" s="395"/>
      <c r="OPZ107" s="395"/>
      <c r="OQA107" s="395"/>
      <c r="OQB107" s="396"/>
      <c r="OQC107" s="394"/>
      <c r="OQD107" s="395"/>
      <c r="OQE107" s="395"/>
      <c r="OQF107" s="395"/>
      <c r="OQG107" s="395"/>
      <c r="OQH107" s="395"/>
      <c r="OQI107" s="395"/>
      <c r="OQJ107" s="395"/>
      <c r="OQK107" s="395"/>
      <c r="OQL107" s="395"/>
      <c r="OQM107" s="395"/>
      <c r="OQN107" s="395"/>
      <c r="OQO107" s="395"/>
      <c r="OQP107" s="395"/>
      <c r="OQQ107" s="395"/>
      <c r="OQR107" s="395"/>
      <c r="OQS107" s="395"/>
      <c r="OQT107" s="395"/>
      <c r="OQU107" s="395"/>
      <c r="OQV107" s="395"/>
      <c r="OQW107" s="395"/>
      <c r="OQX107" s="395"/>
      <c r="OQY107" s="395"/>
      <c r="OQZ107" s="395"/>
      <c r="ORA107" s="395"/>
      <c r="ORB107" s="395"/>
      <c r="ORC107" s="396"/>
      <c r="ORD107" s="394"/>
      <c r="ORE107" s="395"/>
      <c r="ORF107" s="395"/>
      <c r="ORG107" s="395"/>
      <c r="ORH107" s="395"/>
      <c r="ORI107" s="395"/>
      <c r="ORJ107" s="395"/>
      <c r="ORK107" s="395"/>
      <c r="ORL107" s="395"/>
      <c r="ORM107" s="395"/>
      <c r="ORN107" s="395"/>
      <c r="ORO107" s="395"/>
      <c r="ORP107" s="395"/>
      <c r="ORQ107" s="395"/>
      <c r="ORR107" s="395"/>
      <c r="ORS107" s="395"/>
      <c r="ORT107" s="395"/>
      <c r="ORU107" s="395"/>
      <c r="ORV107" s="395"/>
      <c r="ORW107" s="395"/>
      <c r="ORX107" s="395"/>
      <c r="ORY107" s="395"/>
      <c r="ORZ107" s="395"/>
      <c r="OSA107" s="395"/>
      <c r="OSB107" s="395"/>
      <c r="OSC107" s="395"/>
      <c r="OSD107" s="396"/>
      <c r="OSE107" s="394"/>
      <c r="OSF107" s="395"/>
      <c r="OSG107" s="395"/>
      <c r="OSH107" s="395"/>
      <c r="OSI107" s="395"/>
      <c r="OSJ107" s="395"/>
      <c r="OSK107" s="395"/>
      <c r="OSL107" s="395"/>
      <c r="OSM107" s="395"/>
      <c r="OSN107" s="395"/>
      <c r="OSO107" s="395"/>
      <c r="OSP107" s="395"/>
      <c r="OSQ107" s="395"/>
      <c r="OSR107" s="395"/>
      <c r="OSS107" s="395"/>
      <c r="OST107" s="395"/>
      <c r="OSU107" s="395"/>
      <c r="OSV107" s="395"/>
      <c r="OSW107" s="395"/>
      <c r="OSX107" s="395"/>
      <c r="OSY107" s="395"/>
      <c r="OSZ107" s="395"/>
      <c r="OTA107" s="395"/>
      <c r="OTB107" s="395"/>
      <c r="OTC107" s="395"/>
      <c r="OTD107" s="395"/>
      <c r="OTE107" s="396"/>
      <c r="OTF107" s="394"/>
      <c r="OTG107" s="395"/>
      <c r="OTH107" s="395"/>
      <c r="OTI107" s="395"/>
      <c r="OTJ107" s="395"/>
      <c r="OTK107" s="395"/>
      <c r="OTL107" s="395"/>
      <c r="OTM107" s="395"/>
      <c r="OTN107" s="395"/>
      <c r="OTO107" s="395"/>
      <c r="OTP107" s="395"/>
      <c r="OTQ107" s="395"/>
      <c r="OTR107" s="395"/>
      <c r="OTS107" s="395"/>
      <c r="OTT107" s="395"/>
      <c r="OTU107" s="395"/>
      <c r="OTV107" s="395"/>
      <c r="OTW107" s="395"/>
      <c r="OTX107" s="395"/>
      <c r="OTY107" s="395"/>
      <c r="OTZ107" s="395"/>
      <c r="OUA107" s="395"/>
      <c r="OUB107" s="395"/>
      <c r="OUC107" s="395"/>
      <c r="OUD107" s="395"/>
      <c r="OUE107" s="395"/>
      <c r="OUF107" s="396"/>
      <c r="OUG107" s="394"/>
      <c r="OUH107" s="395"/>
      <c r="OUI107" s="395"/>
      <c r="OUJ107" s="395"/>
      <c r="OUK107" s="395"/>
      <c r="OUL107" s="395"/>
      <c r="OUM107" s="395"/>
      <c r="OUN107" s="395"/>
      <c r="OUO107" s="395"/>
      <c r="OUP107" s="395"/>
      <c r="OUQ107" s="395"/>
      <c r="OUR107" s="395"/>
      <c r="OUS107" s="395"/>
      <c r="OUT107" s="395"/>
      <c r="OUU107" s="395"/>
      <c r="OUV107" s="395"/>
      <c r="OUW107" s="395"/>
      <c r="OUX107" s="395"/>
      <c r="OUY107" s="395"/>
      <c r="OUZ107" s="395"/>
      <c r="OVA107" s="395"/>
      <c r="OVB107" s="395"/>
      <c r="OVC107" s="395"/>
      <c r="OVD107" s="395"/>
      <c r="OVE107" s="395"/>
      <c r="OVF107" s="395"/>
      <c r="OVG107" s="396"/>
      <c r="OVH107" s="394"/>
      <c r="OVI107" s="395"/>
      <c r="OVJ107" s="395"/>
      <c r="OVK107" s="395"/>
      <c r="OVL107" s="395"/>
      <c r="OVM107" s="395"/>
      <c r="OVN107" s="395"/>
      <c r="OVO107" s="395"/>
      <c r="OVP107" s="395"/>
      <c r="OVQ107" s="395"/>
      <c r="OVR107" s="395"/>
      <c r="OVS107" s="395"/>
      <c r="OVT107" s="395"/>
      <c r="OVU107" s="395"/>
      <c r="OVV107" s="395"/>
      <c r="OVW107" s="395"/>
      <c r="OVX107" s="395"/>
      <c r="OVY107" s="395"/>
      <c r="OVZ107" s="395"/>
      <c r="OWA107" s="395"/>
      <c r="OWB107" s="395"/>
      <c r="OWC107" s="395"/>
      <c r="OWD107" s="395"/>
      <c r="OWE107" s="395"/>
      <c r="OWF107" s="395"/>
      <c r="OWG107" s="395"/>
      <c r="OWH107" s="396"/>
      <c r="OWI107" s="394"/>
      <c r="OWJ107" s="395"/>
      <c r="OWK107" s="395"/>
      <c r="OWL107" s="395"/>
      <c r="OWM107" s="395"/>
      <c r="OWN107" s="395"/>
      <c r="OWO107" s="395"/>
      <c r="OWP107" s="395"/>
      <c r="OWQ107" s="395"/>
      <c r="OWR107" s="395"/>
      <c r="OWS107" s="395"/>
      <c r="OWT107" s="395"/>
      <c r="OWU107" s="395"/>
      <c r="OWV107" s="395"/>
      <c r="OWW107" s="395"/>
      <c r="OWX107" s="395"/>
      <c r="OWY107" s="395"/>
      <c r="OWZ107" s="395"/>
      <c r="OXA107" s="395"/>
      <c r="OXB107" s="395"/>
      <c r="OXC107" s="395"/>
      <c r="OXD107" s="395"/>
      <c r="OXE107" s="395"/>
      <c r="OXF107" s="395"/>
      <c r="OXG107" s="395"/>
      <c r="OXH107" s="395"/>
      <c r="OXI107" s="396"/>
      <c r="OXJ107" s="394"/>
      <c r="OXK107" s="395"/>
      <c r="OXL107" s="395"/>
      <c r="OXM107" s="395"/>
      <c r="OXN107" s="395"/>
      <c r="OXO107" s="395"/>
      <c r="OXP107" s="395"/>
      <c r="OXQ107" s="395"/>
      <c r="OXR107" s="395"/>
      <c r="OXS107" s="395"/>
      <c r="OXT107" s="395"/>
      <c r="OXU107" s="395"/>
      <c r="OXV107" s="395"/>
      <c r="OXW107" s="395"/>
      <c r="OXX107" s="395"/>
      <c r="OXY107" s="395"/>
      <c r="OXZ107" s="395"/>
      <c r="OYA107" s="395"/>
      <c r="OYB107" s="395"/>
      <c r="OYC107" s="395"/>
      <c r="OYD107" s="395"/>
      <c r="OYE107" s="395"/>
      <c r="OYF107" s="395"/>
      <c r="OYG107" s="395"/>
      <c r="OYH107" s="395"/>
      <c r="OYI107" s="395"/>
      <c r="OYJ107" s="396"/>
      <c r="OYK107" s="394"/>
      <c r="OYL107" s="395"/>
      <c r="OYM107" s="395"/>
      <c r="OYN107" s="395"/>
      <c r="OYO107" s="395"/>
      <c r="OYP107" s="395"/>
      <c r="OYQ107" s="395"/>
      <c r="OYR107" s="395"/>
      <c r="OYS107" s="395"/>
      <c r="OYT107" s="395"/>
      <c r="OYU107" s="395"/>
      <c r="OYV107" s="395"/>
      <c r="OYW107" s="395"/>
      <c r="OYX107" s="395"/>
      <c r="OYY107" s="395"/>
      <c r="OYZ107" s="395"/>
      <c r="OZA107" s="395"/>
      <c r="OZB107" s="395"/>
      <c r="OZC107" s="395"/>
      <c r="OZD107" s="395"/>
      <c r="OZE107" s="395"/>
      <c r="OZF107" s="395"/>
      <c r="OZG107" s="395"/>
      <c r="OZH107" s="395"/>
      <c r="OZI107" s="395"/>
      <c r="OZJ107" s="395"/>
      <c r="OZK107" s="396"/>
      <c r="OZL107" s="394"/>
      <c r="OZM107" s="395"/>
      <c r="OZN107" s="395"/>
      <c r="OZO107" s="395"/>
      <c r="OZP107" s="395"/>
      <c r="OZQ107" s="395"/>
      <c r="OZR107" s="395"/>
      <c r="OZS107" s="395"/>
      <c r="OZT107" s="395"/>
      <c r="OZU107" s="395"/>
      <c r="OZV107" s="395"/>
      <c r="OZW107" s="395"/>
      <c r="OZX107" s="395"/>
      <c r="OZY107" s="395"/>
      <c r="OZZ107" s="395"/>
      <c r="PAA107" s="395"/>
      <c r="PAB107" s="395"/>
      <c r="PAC107" s="395"/>
      <c r="PAD107" s="395"/>
      <c r="PAE107" s="395"/>
      <c r="PAF107" s="395"/>
      <c r="PAG107" s="395"/>
      <c r="PAH107" s="395"/>
      <c r="PAI107" s="395"/>
      <c r="PAJ107" s="395"/>
      <c r="PAK107" s="395"/>
      <c r="PAL107" s="396"/>
      <c r="PAM107" s="394"/>
      <c r="PAN107" s="395"/>
      <c r="PAO107" s="395"/>
      <c r="PAP107" s="395"/>
      <c r="PAQ107" s="395"/>
      <c r="PAR107" s="395"/>
      <c r="PAS107" s="395"/>
      <c r="PAT107" s="395"/>
      <c r="PAU107" s="395"/>
      <c r="PAV107" s="395"/>
      <c r="PAW107" s="395"/>
      <c r="PAX107" s="395"/>
      <c r="PAY107" s="395"/>
      <c r="PAZ107" s="395"/>
      <c r="PBA107" s="395"/>
      <c r="PBB107" s="395"/>
      <c r="PBC107" s="395"/>
      <c r="PBD107" s="395"/>
      <c r="PBE107" s="395"/>
      <c r="PBF107" s="395"/>
      <c r="PBG107" s="395"/>
      <c r="PBH107" s="395"/>
      <c r="PBI107" s="395"/>
      <c r="PBJ107" s="395"/>
      <c r="PBK107" s="395"/>
      <c r="PBL107" s="395"/>
      <c r="PBM107" s="396"/>
      <c r="PBN107" s="394"/>
      <c r="PBO107" s="395"/>
      <c r="PBP107" s="395"/>
      <c r="PBQ107" s="395"/>
      <c r="PBR107" s="395"/>
      <c r="PBS107" s="395"/>
      <c r="PBT107" s="395"/>
      <c r="PBU107" s="395"/>
      <c r="PBV107" s="395"/>
      <c r="PBW107" s="395"/>
      <c r="PBX107" s="395"/>
      <c r="PBY107" s="395"/>
      <c r="PBZ107" s="395"/>
      <c r="PCA107" s="395"/>
      <c r="PCB107" s="395"/>
      <c r="PCC107" s="395"/>
      <c r="PCD107" s="395"/>
      <c r="PCE107" s="395"/>
      <c r="PCF107" s="395"/>
      <c r="PCG107" s="395"/>
      <c r="PCH107" s="395"/>
      <c r="PCI107" s="395"/>
      <c r="PCJ107" s="395"/>
      <c r="PCK107" s="395"/>
      <c r="PCL107" s="395"/>
      <c r="PCM107" s="395"/>
      <c r="PCN107" s="396"/>
      <c r="PCO107" s="394"/>
      <c r="PCP107" s="395"/>
      <c r="PCQ107" s="395"/>
      <c r="PCR107" s="395"/>
      <c r="PCS107" s="395"/>
      <c r="PCT107" s="395"/>
      <c r="PCU107" s="395"/>
      <c r="PCV107" s="395"/>
      <c r="PCW107" s="395"/>
      <c r="PCX107" s="395"/>
      <c r="PCY107" s="395"/>
      <c r="PCZ107" s="395"/>
      <c r="PDA107" s="395"/>
      <c r="PDB107" s="395"/>
      <c r="PDC107" s="395"/>
      <c r="PDD107" s="395"/>
      <c r="PDE107" s="395"/>
      <c r="PDF107" s="395"/>
      <c r="PDG107" s="395"/>
      <c r="PDH107" s="395"/>
      <c r="PDI107" s="395"/>
      <c r="PDJ107" s="395"/>
      <c r="PDK107" s="395"/>
      <c r="PDL107" s="395"/>
      <c r="PDM107" s="395"/>
      <c r="PDN107" s="395"/>
      <c r="PDO107" s="396"/>
      <c r="PDP107" s="394"/>
      <c r="PDQ107" s="395"/>
      <c r="PDR107" s="395"/>
      <c r="PDS107" s="395"/>
      <c r="PDT107" s="395"/>
      <c r="PDU107" s="395"/>
      <c r="PDV107" s="395"/>
      <c r="PDW107" s="395"/>
      <c r="PDX107" s="395"/>
      <c r="PDY107" s="395"/>
      <c r="PDZ107" s="395"/>
      <c r="PEA107" s="395"/>
      <c r="PEB107" s="395"/>
      <c r="PEC107" s="395"/>
      <c r="PED107" s="395"/>
      <c r="PEE107" s="395"/>
      <c r="PEF107" s="395"/>
      <c r="PEG107" s="395"/>
      <c r="PEH107" s="395"/>
      <c r="PEI107" s="395"/>
      <c r="PEJ107" s="395"/>
      <c r="PEK107" s="395"/>
      <c r="PEL107" s="395"/>
      <c r="PEM107" s="395"/>
      <c r="PEN107" s="395"/>
      <c r="PEO107" s="395"/>
      <c r="PEP107" s="396"/>
      <c r="PEQ107" s="394"/>
      <c r="PER107" s="395"/>
      <c r="PES107" s="395"/>
      <c r="PET107" s="395"/>
      <c r="PEU107" s="395"/>
      <c r="PEV107" s="395"/>
      <c r="PEW107" s="395"/>
      <c r="PEX107" s="395"/>
      <c r="PEY107" s="395"/>
      <c r="PEZ107" s="395"/>
      <c r="PFA107" s="395"/>
      <c r="PFB107" s="395"/>
      <c r="PFC107" s="395"/>
      <c r="PFD107" s="395"/>
      <c r="PFE107" s="395"/>
      <c r="PFF107" s="395"/>
      <c r="PFG107" s="395"/>
      <c r="PFH107" s="395"/>
      <c r="PFI107" s="395"/>
      <c r="PFJ107" s="395"/>
      <c r="PFK107" s="395"/>
      <c r="PFL107" s="395"/>
      <c r="PFM107" s="395"/>
      <c r="PFN107" s="395"/>
      <c r="PFO107" s="395"/>
      <c r="PFP107" s="395"/>
      <c r="PFQ107" s="396"/>
      <c r="PFR107" s="394"/>
      <c r="PFS107" s="395"/>
      <c r="PFT107" s="395"/>
      <c r="PFU107" s="395"/>
      <c r="PFV107" s="395"/>
      <c r="PFW107" s="395"/>
      <c r="PFX107" s="395"/>
      <c r="PFY107" s="395"/>
      <c r="PFZ107" s="395"/>
      <c r="PGA107" s="395"/>
      <c r="PGB107" s="395"/>
      <c r="PGC107" s="395"/>
      <c r="PGD107" s="395"/>
      <c r="PGE107" s="395"/>
      <c r="PGF107" s="395"/>
      <c r="PGG107" s="395"/>
      <c r="PGH107" s="395"/>
      <c r="PGI107" s="395"/>
      <c r="PGJ107" s="395"/>
      <c r="PGK107" s="395"/>
      <c r="PGL107" s="395"/>
      <c r="PGM107" s="395"/>
      <c r="PGN107" s="395"/>
      <c r="PGO107" s="395"/>
      <c r="PGP107" s="395"/>
      <c r="PGQ107" s="395"/>
      <c r="PGR107" s="396"/>
      <c r="PGS107" s="394"/>
      <c r="PGT107" s="395"/>
      <c r="PGU107" s="395"/>
      <c r="PGV107" s="395"/>
      <c r="PGW107" s="395"/>
      <c r="PGX107" s="395"/>
      <c r="PGY107" s="395"/>
      <c r="PGZ107" s="395"/>
      <c r="PHA107" s="395"/>
      <c r="PHB107" s="395"/>
      <c r="PHC107" s="395"/>
      <c r="PHD107" s="395"/>
      <c r="PHE107" s="395"/>
      <c r="PHF107" s="395"/>
      <c r="PHG107" s="395"/>
      <c r="PHH107" s="395"/>
      <c r="PHI107" s="395"/>
      <c r="PHJ107" s="395"/>
      <c r="PHK107" s="395"/>
      <c r="PHL107" s="395"/>
      <c r="PHM107" s="395"/>
      <c r="PHN107" s="395"/>
      <c r="PHO107" s="395"/>
      <c r="PHP107" s="395"/>
      <c r="PHQ107" s="395"/>
      <c r="PHR107" s="395"/>
      <c r="PHS107" s="396"/>
      <c r="PHT107" s="394"/>
      <c r="PHU107" s="395"/>
      <c r="PHV107" s="395"/>
      <c r="PHW107" s="395"/>
      <c r="PHX107" s="395"/>
      <c r="PHY107" s="395"/>
      <c r="PHZ107" s="395"/>
      <c r="PIA107" s="395"/>
      <c r="PIB107" s="395"/>
      <c r="PIC107" s="395"/>
      <c r="PID107" s="395"/>
      <c r="PIE107" s="395"/>
      <c r="PIF107" s="395"/>
      <c r="PIG107" s="395"/>
      <c r="PIH107" s="395"/>
      <c r="PII107" s="395"/>
      <c r="PIJ107" s="395"/>
      <c r="PIK107" s="395"/>
      <c r="PIL107" s="395"/>
      <c r="PIM107" s="395"/>
      <c r="PIN107" s="395"/>
      <c r="PIO107" s="395"/>
      <c r="PIP107" s="395"/>
      <c r="PIQ107" s="395"/>
      <c r="PIR107" s="395"/>
      <c r="PIS107" s="395"/>
      <c r="PIT107" s="396"/>
      <c r="PIU107" s="394"/>
      <c r="PIV107" s="395"/>
      <c r="PIW107" s="395"/>
      <c r="PIX107" s="395"/>
      <c r="PIY107" s="395"/>
      <c r="PIZ107" s="395"/>
      <c r="PJA107" s="395"/>
      <c r="PJB107" s="395"/>
      <c r="PJC107" s="395"/>
      <c r="PJD107" s="395"/>
      <c r="PJE107" s="395"/>
      <c r="PJF107" s="395"/>
      <c r="PJG107" s="395"/>
      <c r="PJH107" s="395"/>
      <c r="PJI107" s="395"/>
      <c r="PJJ107" s="395"/>
      <c r="PJK107" s="395"/>
      <c r="PJL107" s="395"/>
      <c r="PJM107" s="395"/>
      <c r="PJN107" s="395"/>
      <c r="PJO107" s="395"/>
      <c r="PJP107" s="395"/>
      <c r="PJQ107" s="395"/>
      <c r="PJR107" s="395"/>
      <c r="PJS107" s="395"/>
      <c r="PJT107" s="395"/>
      <c r="PJU107" s="396"/>
      <c r="PJV107" s="394"/>
      <c r="PJW107" s="395"/>
      <c r="PJX107" s="395"/>
      <c r="PJY107" s="395"/>
      <c r="PJZ107" s="395"/>
      <c r="PKA107" s="395"/>
      <c r="PKB107" s="395"/>
      <c r="PKC107" s="395"/>
      <c r="PKD107" s="395"/>
      <c r="PKE107" s="395"/>
      <c r="PKF107" s="395"/>
      <c r="PKG107" s="395"/>
      <c r="PKH107" s="395"/>
      <c r="PKI107" s="395"/>
      <c r="PKJ107" s="395"/>
      <c r="PKK107" s="395"/>
      <c r="PKL107" s="395"/>
      <c r="PKM107" s="395"/>
      <c r="PKN107" s="395"/>
      <c r="PKO107" s="395"/>
      <c r="PKP107" s="395"/>
      <c r="PKQ107" s="395"/>
      <c r="PKR107" s="395"/>
      <c r="PKS107" s="395"/>
      <c r="PKT107" s="395"/>
      <c r="PKU107" s="395"/>
      <c r="PKV107" s="396"/>
      <c r="PKW107" s="394"/>
      <c r="PKX107" s="395"/>
      <c r="PKY107" s="395"/>
      <c r="PKZ107" s="395"/>
      <c r="PLA107" s="395"/>
      <c r="PLB107" s="395"/>
      <c r="PLC107" s="395"/>
      <c r="PLD107" s="395"/>
      <c r="PLE107" s="395"/>
      <c r="PLF107" s="395"/>
      <c r="PLG107" s="395"/>
      <c r="PLH107" s="395"/>
      <c r="PLI107" s="395"/>
      <c r="PLJ107" s="395"/>
      <c r="PLK107" s="395"/>
      <c r="PLL107" s="395"/>
      <c r="PLM107" s="395"/>
      <c r="PLN107" s="395"/>
      <c r="PLO107" s="395"/>
      <c r="PLP107" s="395"/>
      <c r="PLQ107" s="395"/>
      <c r="PLR107" s="395"/>
      <c r="PLS107" s="395"/>
      <c r="PLT107" s="395"/>
      <c r="PLU107" s="395"/>
      <c r="PLV107" s="395"/>
      <c r="PLW107" s="396"/>
      <c r="PLX107" s="394"/>
      <c r="PLY107" s="395"/>
      <c r="PLZ107" s="395"/>
      <c r="PMA107" s="395"/>
      <c r="PMB107" s="395"/>
      <c r="PMC107" s="395"/>
      <c r="PMD107" s="395"/>
      <c r="PME107" s="395"/>
      <c r="PMF107" s="395"/>
      <c r="PMG107" s="395"/>
      <c r="PMH107" s="395"/>
      <c r="PMI107" s="395"/>
      <c r="PMJ107" s="395"/>
      <c r="PMK107" s="395"/>
      <c r="PML107" s="395"/>
      <c r="PMM107" s="395"/>
      <c r="PMN107" s="395"/>
      <c r="PMO107" s="395"/>
      <c r="PMP107" s="395"/>
      <c r="PMQ107" s="395"/>
      <c r="PMR107" s="395"/>
      <c r="PMS107" s="395"/>
      <c r="PMT107" s="395"/>
      <c r="PMU107" s="395"/>
      <c r="PMV107" s="395"/>
      <c r="PMW107" s="395"/>
      <c r="PMX107" s="396"/>
      <c r="PMY107" s="394"/>
      <c r="PMZ107" s="395"/>
      <c r="PNA107" s="395"/>
      <c r="PNB107" s="395"/>
      <c r="PNC107" s="395"/>
      <c r="PND107" s="395"/>
      <c r="PNE107" s="395"/>
      <c r="PNF107" s="395"/>
      <c r="PNG107" s="395"/>
      <c r="PNH107" s="395"/>
      <c r="PNI107" s="395"/>
      <c r="PNJ107" s="395"/>
      <c r="PNK107" s="395"/>
      <c r="PNL107" s="395"/>
      <c r="PNM107" s="395"/>
      <c r="PNN107" s="395"/>
      <c r="PNO107" s="395"/>
      <c r="PNP107" s="395"/>
      <c r="PNQ107" s="395"/>
      <c r="PNR107" s="395"/>
      <c r="PNS107" s="395"/>
      <c r="PNT107" s="395"/>
      <c r="PNU107" s="395"/>
      <c r="PNV107" s="395"/>
      <c r="PNW107" s="395"/>
      <c r="PNX107" s="395"/>
      <c r="PNY107" s="396"/>
      <c r="PNZ107" s="394"/>
      <c r="POA107" s="395"/>
      <c r="POB107" s="395"/>
      <c r="POC107" s="395"/>
      <c r="POD107" s="395"/>
      <c r="POE107" s="395"/>
      <c r="POF107" s="395"/>
      <c r="POG107" s="395"/>
      <c r="POH107" s="395"/>
      <c r="POI107" s="395"/>
      <c r="POJ107" s="395"/>
      <c r="POK107" s="395"/>
      <c r="POL107" s="395"/>
      <c r="POM107" s="395"/>
      <c r="PON107" s="395"/>
      <c r="POO107" s="395"/>
      <c r="POP107" s="395"/>
      <c r="POQ107" s="395"/>
      <c r="POR107" s="395"/>
      <c r="POS107" s="395"/>
      <c r="POT107" s="395"/>
      <c r="POU107" s="395"/>
      <c r="POV107" s="395"/>
      <c r="POW107" s="395"/>
      <c r="POX107" s="395"/>
      <c r="POY107" s="395"/>
      <c r="POZ107" s="396"/>
      <c r="PPA107" s="394"/>
      <c r="PPB107" s="395"/>
      <c r="PPC107" s="395"/>
      <c r="PPD107" s="395"/>
      <c r="PPE107" s="395"/>
      <c r="PPF107" s="395"/>
      <c r="PPG107" s="395"/>
      <c r="PPH107" s="395"/>
      <c r="PPI107" s="395"/>
      <c r="PPJ107" s="395"/>
      <c r="PPK107" s="395"/>
      <c r="PPL107" s="395"/>
      <c r="PPM107" s="395"/>
      <c r="PPN107" s="395"/>
      <c r="PPO107" s="395"/>
      <c r="PPP107" s="395"/>
      <c r="PPQ107" s="395"/>
      <c r="PPR107" s="395"/>
      <c r="PPS107" s="395"/>
      <c r="PPT107" s="395"/>
      <c r="PPU107" s="395"/>
      <c r="PPV107" s="395"/>
      <c r="PPW107" s="395"/>
      <c r="PPX107" s="395"/>
      <c r="PPY107" s="395"/>
      <c r="PPZ107" s="395"/>
      <c r="PQA107" s="396"/>
      <c r="PQB107" s="394"/>
      <c r="PQC107" s="395"/>
      <c r="PQD107" s="395"/>
      <c r="PQE107" s="395"/>
      <c r="PQF107" s="395"/>
      <c r="PQG107" s="395"/>
      <c r="PQH107" s="395"/>
      <c r="PQI107" s="395"/>
      <c r="PQJ107" s="395"/>
      <c r="PQK107" s="395"/>
      <c r="PQL107" s="395"/>
      <c r="PQM107" s="395"/>
      <c r="PQN107" s="395"/>
      <c r="PQO107" s="395"/>
      <c r="PQP107" s="395"/>
      <c r="PQQ107" s="395"/>
      <c r="PQR107" s="395"/>
      <c r="PQS107" s="395"/>
      <c r="PQT107" s="395"/>
      <c r="PQU107" s="395"/>
      <c r="PQV107" s="395"/>
      <c r="PQW107" s="395"/>
      <c r="PQX107" s="395"/>
      <c r="PQY107" s="395"/>
      <c r="PQZ107" s="395"/>
      <c r="PRA107" s="395"/>
      <c r="PRB107" s="396"/>
      <c r="PRC107" s="394"/>
      <c r="PRD107" s="395"/>
      <c r="PRE107" s="395"/>
      <c r="PRF107" s="395"/>
      <c r="PRG107" s="395"/>
      <c r="PRH107" s="395"/>
      <c r="PRI107" s="395"/>
      <c r="PRJ107" s="395"/>
      <c r="PRK107" s="395"/>
      <c r="PRL107" s="395"/>
      <c r="PRM107" s="395"/>
      <c r="PRN107" s="395"/>
      <c r="PRO107" s="395"/>
      <c r="PRP107" s="395"/>
      <c r="PRQ107" s="395"/>
      <c r="PRR107" s="395"/>
      <c r="PRS107" s="395"/>
      <c r="PRT107" s="395"/>
      <c r="PRU107" s="395"/>
      <c r="PRV107" s="395"/>
      <c r="PRW107" s="395"/>
      <c r="PRX107" s="395"/>
      <c r="PRY107" s="395"/>
      <c r="PRZ107" s="395"/>
      <c r="PSA107" s="395"/>
      <c r="PSB107" s="395"/>
      <c r="PSC107" s="396"/>
      <c r="PSD107" s="394"/>
      <c r="PSE107" s="395"/>
      <c r="PSF107" s="395"/>
      <c r="PSG107" s="395"/>
      <c r="PSH107" s="395"/>
      <c r="PSI107" s="395"/>
      <c r="PSJ107" s="395"/>
      <c r="PSK107" s="395"/>
      <c r="PSL107" s="395"/>
      <c r="PSM107" s="395"/>
      <c r="PSN107" s="395"/>
      <c r="PSO107" s="395"/>
      <c r="PSP107" s="395"/>
      <c r="PSQ107" s="395"/>
      <c r="PSR107" s="395"/>
      <c r="PSS107" s="395"/>
      <c r="PST107" s="395"/>
      <c r="PSU107" s="395"/>
      <c r="PSV107" s="395"/>
      <c r="PSW107" s="395"/>
      <c r="PSX107" s="395"/>
      <c r="PSY107" s="395"/>
      <c r="PSZ107" s="395"/>
      <c r="PTA107" s="395"/>
      <c r="PTB107" s="395"/>
      <c r="PTC107" s="395"/>
      <c r="PTD107" s="396"/>
      <c r="PTE107" s="394"/>
      <c r="PTF107" s="395"/>
      <c r="PTG107" s="395"/>
      <c r="PTH107" s="395"/>
      <c r="PTI107" s="395"/>
      <c r="PTJ107" s="395"/>
      <c r="PTK107" s="395"/>
      <c r="PTL107" s="395"/>
      <c r="PTM107" s="395"/>
      <c r="PTN107" s="395"/>
      <c r="PTO107" s="395"/>
      <c r="PTP107" s="395"/>
      <c r="PTQ107" s="395"/>
      <c r="PTR107" s="395"/>
      <c r="PTS107" s="395"/>
      <c r="PTT107" s="395"/>
      <c r="PTU107" s="395"/>
      <c r="PTV107" s="395"/>
      <c r="PTW107" s="395"/>
      <c r="PTX107" s="395"/>
      <c r="PTY107" s="395"/>
      <c r="PTZ107" s="395"/>
      <c r="PUA107" s="395"/>
      <c r="PUB107" s="395"/>
      <c r="PUC107" s="395"/>
      <c r="PUD107" s="395"/>
      <c r="PUE107" s="396"/>
      <c r="PUF107" s="394"/>
      <c r="PUG107" s="395"/>
      <c r="PUH107" s="395"/>
      <c r="PUI107" s="395"/>
      <c r="PUJ107" s="395"/>
      <c r="PUK107" s="395"/>
      <c r="PUL107" s="395"/>
      <c r="PUM107" s="395"/>
      <c r="PUN107" s="395"/>
      <c r="PUO107" s="395"/>
      <c r="PUP107" s="395"/>
      <c r="PUQ107" s="395"/>
      <c r="PUR107" s="395"/>
      <c r="PUS107" s="395"/>
      <c r="PUT107" s="395"/>
      <c r="PUU107" s="395"/>
      <c r="PUV107" s="395"/>
      <c r="PUW107" s="395"/>
      <c r="PUX107" s="395"/>
      <c r="PUY107" s="395"/>
      <c r="PUZ107" s="395"/>
      <c r="PVA107" s="395"/>
      <c r="PVB107" s="395"/>
      <c r="PVC107" s="395"/>
      <c r="PVD107" s="395"/>
      <c r="PVE107" s="395"/>
      <c r="PVF107" s="396"/>
      <c r="PVG107" s="394"/>
      <c r="PVH107" s="395"/>
      <c r="PVI107" s="395"/>
      <c r="PVJ107" s="395"/>
      <c r="PVK107" s="395"/>
      <c r="PVL107" s="395"/>
      <c r="PVM107" s="395"/>
      <c r="PVN107" s="395"/>
      <c r="PVO107" s="395"/>
      <c r="PVP107" s="395"/>
      <c r="PVQ107" s="395"/>
      <c r="PVR107" s="395"/>
      <c r="PVS107" s="395"/>
      <c r="PVT107" s="395"/>
      <c r="PVU107" s="395"/>
      <c r="PVV107" s="395"/>
      <c r="PVW107" s="395"/>
      <c r="PVX107" s="395"/>
      <c r="PVY107" s="395"/>
      <c r="PVZ107" s="395"/>
      <c r="PWA107" s="395"/>
      <c r="PWB107" s="395"/>
      <c r="PWC107" s="395"/>
      <c r="PWD107" s="395"/>
      <c r="PWE107" s="395"/>
      <c r="PWF107" s="395"/>
      <c r="PWG107" s="396"/>
      <c r="PWH107" s="394"/>
      <c r="PWI107" s="395"/>
      <c r="PWJ107" s="395"/>
      <c r="PWK107" s="395"/>
      <c r="PWL107" s="395"/>
      <c r="PWM107" s="395"/>
      <c r="PWN107" s="395"/>
      <c r="PWO107" s="395"/>
      <c r="PWP107" s="395"/>
      <c r="PWQ107" s="395"/>
      <c r="PWR107" s="395"/>
      <c r="PWS107" s="395"/>
      <c r="PWT107" s="395"/>
      <c r="PWU107" s="395"/>
      <c r="PWV107" s="395"/>
      <c r="PWW107" s="395"/>
      <c r="PWX107" s="395"/>
      <c r="PWY107" s="395"/>
      <c r="PWZ107" s="395"/>
      <c r="PXA107" s="395"/>
      <c r="PXB107" s="395"/>
      <c r="PXC107" s="395"/>
      <c r="PXD107" s="395"/>
      <c r="PXE107" s="395"/>
      <c r="PXF107" s="395"/>
      <c r="PXG107" s="395"/>
      <c r="PXH107" s="396"/>
      <c r="PXI107" s="394"/>
      <c r="PXJ107" s="395"/>
      <c r="PXK107" s="395"/>
      <c r="PXL107" s="395"/>
      <c r="PXM107" s="395"/>
      <c r="PXN107" s="395"/>
      <c r="PXO107" s="395"/>
      <c r="PXP107" s="395"/>
      <c r="PXQ107" s="395"/>
      <c r="PXR107" s="395"/>
      <c r="PXS107" s="395"/>
      <c r="PXT107" s="395"/>
      <c r="PXU107" s="395"/>
      <c r="PXV107" s="395"/>
      <c r="PXW107" s="395"/>
      <c r="PXX107" s="395"/>
      <c r="PXY107" s="395"/>
      <c r="PXZ107" s="395"/>
      <c r="PYA107" s="395"/>
      <c r="PYB107" s="395"/>
      <c r="PYC107" s="395"/>
      <c r="PYD107" s="395"/>
      <c r="PYE107" s="395"/>
      <c r="PYF107" s="395"/>
      <c r="PYG107" s="395"/>
      <c r="PYH107" s="395"/>
      <c r="PYI107" s="396"/>
      <c r="PYJ107" s="394"/>
      <c r="PYK107" s="395"/>
      <c r="PYL107" s="395"/>
      <c r="PYM107" s="395"/>
      <c r="PYN107" s="395"/>
      <c r="PYO107" s="395"/>
      <c r="PYP107" s="395"/>
      <c r="PYQ107" s="395"/>
      <c r="PYR107" s="395"/>
      <c r="PYS107" s="395"/>
      <c r="PYT107" s="395"/>
      <c r="PYU107" s="395"/>
      <c r="PYV107" s="395"/>
      <c r="PYW107" s="395"/>
      <c r="PYX107" s="395"/>
      <c r="PYY107" s="395"/>
      <c r="PYZ107" s="395"/>
      <c r="PZA107" s="395"/>
      <c r="PZB107" s="395"/>
      <c r="PZC107" s="395"/>
      <c r="PZD107" s="395"/>
      <c r="PZE107" s="395"/>
      <c r="PZF107" s="395"/>
      <c r="PZG107" s="395"/>
      <c r="PZH107" s="395"/>
      <c r="PZI107" s="395"/>
      <c r="PZJ107" s="396"/>
      <c r="PZK107" s="394"/>
      <c r="PZL107" s="395"/>
      <c r="PZM107" s="395"/>
      <c r="PZN107" s="395"/>
      <c r="PZO107" s="395"/>
      <c r="PZP107" s="395"/>
      <c r="PZQ107" s="395"/>
      <c r="PZR107" s="395"/>
      <c r="PZS107" s="395"/>
      <c r="PZT107" s="395"/>
      <c r="PZU107" s="395"/>
      <c r="PZV107" s="395"/>
      <c r="PZW107" s="395"/>
      <c r="PZX107" s="395"/>
      <c r="PZY107" s="395"/>
      <c r="PZZ107" s="395"/>
      <c r="QAA107" s="395"/>
      <c r="QAB107" s="395"/>
      <c r="QAC107" s="395"/>
      <c r="QAD107" s="395"/>
      <c r="QAE107" s="395"/>
      <c r="QAF107" s="395"/>
      <c r="QAG107" s="395"/>
      <c r="QAH107" s="395"/>
      <c r="QAI107" s="395"/>
      <c r="QAJ107" s="395"/>
      <c r="QAK107" s="396"/>
      <c r="QAL107" s="394"/>
      <c r="QAM107" s="395"/>
      <c r="QAN107" s="395"/>
      <c r="QAO107" s="395"/>
      <c r="QAP107" s="395"/>
      <c r="QAQ107" s="395"/>
      <c r="QAR107" s="395"/>
      <c r="QAS107" s="395"/>
      <c r="QAT107" s="395"/>
      <c r="QAU107" s="395"/>
      <c r="QAV107" s="395"/>
      <c r="QAW107" s="395"/>
      <c r="QAX107" s="395"/>
      <c r="QAY107" s="395"/>
      <c r="QAZ107" s="395"/>
      <c r="QBA107" s="395"/>
      <c r="QBB107" s="395"/>
      <c r="QBC107" s="395"/>
      <c r="QBD107" s="395"/>
      <c r="QBE107" s="395"/>
      <c r="QBF107" s="395"/>
      <c r="QBG107" s="395"/>
      <c r="QBH107" s="395"/>
      <c r="QBI107" s="395"/>
      <c r="QBJ107" s="395"/>
      <c r="QBK107" s="395"/>
      <c r="QBL107" s="396"/>
      <c r="QBM107" s="394"/>
      <c r="QBN107" s="395"/>
      <c r="QBO107" s="395"/>
      <c r="QBP107" s="395"/>
      <c r="QBQ107" s="395"/>
      <c r="QBR107" s="395"/>
      <c r="QBS107" s="395"/>
      <c r="QBT107" s="395"/>
      <c r="QBU107" s="395"/>
      <c r="QBV107" s="395"/>
      <c r="QBW107" s="395"/>
      <c r="QBX107" s="395"/>
      <c r="QBY107" s="395"/>
      <c r="QBZ107" s="395"/>
      <c r="QCA107" s="395"/>
      <c r="QCB107" s="395"/>
      <c r="QCC107" s="395"/>
      <c r="QCD107" s="395"/>
      <c r="QCE107" s="395"/>
      <c r="QCF107" s="395"/>
      <c r="QCG107" s="395"/>
      <c r="QCH107" s="395"/>
      <c r="QCI107" s="395"/>
      <c r="QCJ107" s="395"/>
      <c r="QCK107" s="395"/>
      <c r="QCL107" s="395"/>
      <c r="QCM107" s="396"/>
      <c r="QCN107" s="394"/>
      <c r="QCO107" s="395"/>
      <c r="QCP107" s="395"/>
      <c r="QCQ107" s="395"/>
      <c r="QCR107" s="395"/>
      <c r="QCS107" s="395"/>
      <c r="QCT107" s="395"/>
      <c r="QCU107" s="395"/>
      <c r="QCV107" s="395"/>
      <c r="QCW107" s="395"/>
      <c r="QCX107" s="395"/>
      <c r="QCY107" s="395"/>
      <c r="QCZ107" s="395"/>
      <c r="QDA107" s="395"/>
      <c r="QDB107" s="395"/>
      <c r="QDC107" s="395"/>
      <c r="QDD107" s="395"/>
      <c r="QDE107" s="395"/>
      <c r="QDF107" s="395"/>
      <c r="QDG107" s="395"/>
      <c r="QDH107" s="395"/>
      <c r="QDI107" s="395"/>
      <c r="QDJ107" s="395"/>
      <c r="QDK107" s="395"/>
      <c r="QDL107" s="395"/>
      <c r="QDM107" s="395"/>
      <c r="QDN107" s="396"/>
      <c r="QDO107" s="394"/>
      <c r="QDP107" s="395"/>
      <c r="QDQ107" s="395"/>
      <c r="QDR107" s="395"/>
      <c r="QDS107" s="395"/>
      <c r="QDT107" s="395"/>
      <c r="QDU107" s="395"/>
      <c r="QDV107" s="395"/>
      <c r="QDW107" s="395"/>
      <c r="QDX107" s="395"/>
      <c r="QDY107" s="395"/>
      <c r="QDZ107" s="395"/>
      <c r="QEA107" s="395"/>
      <c r="QEB107" s="395"/>
      <c r="QEC107" s="395"/>
      <c r="QED107" s="395"/>
      <c r="QEE107" s="395"/>
      <c r="QEF107" s="395"/>
      <c r="QEG107" s="395"/>
      <c r="QEH107" s="395"/>
      <c r="QEI107" s="395"/>
      <c r="QEJ107" s="395"/>
      <c r="QEK107" s="395"/>
      <c r="QEL107" s="395"/>
      <c r="QEM107" s="395"/>
      <c r="QEN107" s="395"/>
      <c r="QEO107" s="396"/>
      <c r="QEP107" s="394"/>
      <c r="QEQ107" s="395"/>
      <c r="QER107" s="395"/>
      <c r="QES107" s="395"/>
      <c r="QET107" s="395"/>
      <c r="QEU107" s="395"/>
      <c r="QEV107" s="395"/>
      <c r="QEW107" s="395"/>
      <c r="QEX107" s="395"/>
      <c r="QEY107" s="395"/>
      <c r="QEZ107" s="395"/>
      <c r="QFA107" s="395"/>
      <c r="QFB107" s="395"/>
      <c r="QFC107" s="395"/>
      <c r="QFD107" s="395"/>
      <c r="QFE107" s="395"/>
      <c r="QFF107" s="395"/>
      <c r="QFG107" s="395"/>
      <c r="QFH107" s="395"/>
      <c r="QFI107" s="395"/>
      <c r="QFJ107" s="395"/>
      <c r="QFK107" s="395"/>
      <c r="QFL107" s="395"/>
      <c r="QFM107" s="395"/>
      <c r="QFN107" s="395"/>
      <c r="QFO107" s="395"/>
      <c r="QFP107" s="396"/>
      <c r="QFQ107" s="394"/>
      <c r="QFR107" s="395"/>
      <c r="QFS107" s="395"/>
      <c r="QFT107" s="395"/>
      <c r="QFU107" s="395"/>
      <c r="QFV107" s="395"/>
      <c r="QFW107" s="395"/>
      <c r="QFX107" s="395"/>
      <c r="QFY107" s="395"/>
      <c r="QFZ107" s="395"/>
      <c r="QGA107" s="395"/>
      <c r="QGB107" s="395"/>
      <c r="QGC107" s="395"/>
      <c r="QGD107" s="395"/>
      <c r="QGE107" s="395"/>
      <c r="QGF107" s="395"/>
      <c r="QGG107" s="395"/>
      <c r="QGH107" s="395"/>
      <c r="QGI107" s="395"/>
      <c r="QGJ107" s="395"/>
      <c r="QGK107" s="395"/>
      <c r="QGL107" s="395"/>
      <c r="QGM107" s="395"/>
      <c r="QGN107" s="395"/>
      <c r="QGO107" s="395"/>
      <c r="QGP107" s="395"/>
      <c r="QGQ107" s="396"/>
      <c r="QGR107" s="394"/>
      <c r="QGS107" s="395"/>
      <c r="QGT107" s="395"/>
      <c r="QGU107" s="395"/>
      <c r="QGV107" s="395"/>
      <c r="QGW107" s="395"/>
      <c r="QGX107" s="395"/>
      <c r="QGY107" s="395"/>
      <c r="QGZ107" s="395"/>
      <c r="QHA107" s="395"/>
      <c r="QHB107" s="395"/>
      <c r="QHC107" s="395"/>
      <c r="QHD107" s="395"/>
      <c r="QHE107" s="395"/>
      <c r="QHF107" s="395"/>
      <c r="QHG107" s="395"/>
      <c r="QHH107" s="395"/>
      <c r="QHI107" s="395"/>
      <c r="QHJ107" s="395"/>
      <c r="QHK107" s="395"/>
      <c r="QHL107" s="395"/>
      <c r="QHM107" s="395"/>
      <c r="QHN107" s="395"/>
      <c r="QHO107" s="395"/>
      <c r="QHP107" s="395"/>
      <c r="QHQ107" s="395"/>
      <c r="QHR107" s="396"/>
      <c r="QHS107" s="394"/>
      <c r="QHT107" s="395"/>
      <c r="QHU107" s="395"/>
      <c r="QHV107" s="395"/>
      <c r="QHW107" s="395"/>
      <c r="QHX107" s="395"/>
      <c r="QHY107" s="395"/>
      <c r="QHZ107" s="395"/>
      <c r="QIA107" s="395"/>
      <c r="QIB107" s="395"/>
      <c r="QIC107" s="395"/>
      <c r="QID107" s="395"/>
      <c r="QIE107" s="395"/>
      <c r="QIF107" s="395"/>
      <c r="QIG107" s="395"/>
      <c r="QIH107" s="395"/>
      <c r="QII107" s="395"/>
      <c r="QIJ107" s="395"/>
      <c r="QIK107" s="395"/>
      <c r="QIL107" s="395"/>
      <c r="QIM107" s="395"/>
      <c r="QIN107" s="395"/>
      <c r="QIO107" s="395"/>
      <c r="QIP107" s="395"/>
      <c r="QIQ107" s="395"/>
      <c r="QIR107" s="395"/>
      <c r="QIS107" s="396"/>
      <c r="QIT107" s="394"/>
      <c r="QIU107" s="395"/>
      <c r="QIV107" s="395"/>
      <c r="QIW107" s="395"/>
      <c r="QIX107" s="395"/>
      <c r="QIY107" s="395"/>
      <c r="QIZ107" s="395"/>
      <c r="QJA107" s="395"/>
      <c r="QJB107" s="395"/>
      <c r="QJC107" s="395"/>
      <c r="QJD107" s="395"/>
      <c r="QJE107" s="395"/>
      <c r="QJF107" s="395"/>
      <c r="QJG107" s="395"/>
      <c r="QJH107" s="395"/>
      <c r="QJI107" s="395"/>
      <c r="QJJ107" s="395"/>
      <c r="QJK107" s="395"/>
      <c r="QJL107" s="395"/>
      <c r="QJM107" s="395"/>
      <c r="QJN107" s="395"/>
      <c r="QJO107" s="395"/>
      <c r="QJP107" s="395"/>
      <c r="QJQ107" s="395"/>
      <c r="QJR107" s="395"/>
      <c r="QJS107" s="395"/>
      <c r="QJT107" s="396"/>
      <c r="QJU107" s="394"/>
      <c r="QJV107" s="395"/>
      <c r="QJW107" s="395"/>
      <c r="QJX107" s="395"/>
      <c r="QJY107" s="395"/>
      <c r="QJZ107" s="395"/>
      <c r="QKA107" s="395"/>
      <c r="QKB107" s="395"/>
      <c r="QKC107" s="395"/>
      <c r="QKD107" s="395"/>
      <c r="QKE107" s="395"/>
      <c r="QKF107" s="395"/>
      <c r="QKG107" s="395"/>
      <c r="QKH107" s="395"/>
      <c r="QKI107" s="395"/>
      <c r="QKJ107" s="395"/>
      <c r="QKK107" s="395"/>
      <c r="QKL107" s="395"/>
      <c r="QKM107" s="395"/>
      <c r="QKN107" s="395"/>
      <c r="QKO107" s="395"/>
      <c r="QKP107" s="395"/>
      <c r="QKQ107" s="395"/>
      <c r="QKR107" s="395"/>
      <c r="QKS107" s="395"/>
      <c r="QKT107" s="395"/>
      <c r="QKU107" s="396"/>
      <c r="QKV107" s="394"/>
      <c r="QKW107" s="395"/>
      <c r="QKX107" s="395"/>
      <c r="QKY107" s="395"/>
      <c r="QKZ107" s="395"/>
      <c r="QLA107" s="395"/>
      <c r="QLB107" s="395"/>
      <c r="QLC107" s="395"/>
      <c r="QLD107" s="395"/>
      <c r="QLE107" s="395"/>
      <c r="QLF107" s="395"/>
      <c r="QLG107" s="395"/>
      <c r="QLH107" s="395"/>
      <c r="QLI107" s="395"/>
      <c r="QLJ107" s="395"/>
      <c r="QLK107" s="395"/>
      <c r="QLL107" s="395"/>
      <c r="QLM107" s="395"/>
      <c r="QLN107" s="395"/>
      <c r="QLO107" s="395"/>
      <c r="QLP107" s="395"/>
      <c r="QLQ107" s="395"/>
      <c r="QLR107" s="395"/>
      <c r="QLS107" s="395"/>
      <c r="QLT107" s="395"/>
      <c r="QLU107" s="395"/>
      <c r="QLV107" s="396"/>
      <c r="QLW107" s="394"/>
      <c r="QLX107" s="395"/>
      <c r="QLY107" s="395"/>
      <c r="QLZ107" s="395"/>
      <c r="QMA107" s="395"/>
      <c r="QMB107" s="395"/>
      <c r="QMC107" s="395"/>
      <c r="QMD107" s="395"/>
      <c r="QME107" s="395"/>
      <c r="QMF107" s="395"/>
      <c r="QMG107" s="395"/>
      <c r="QMH107" s="395"/>
      <c r="QMI107" s="395"/>
      <c r="QMJ107" s="395"/>
      <c r="QMK107" s="395"/>
      <c r="QML107" s="395"/>
      <c r="QMM107" s="395"/>
      <c r="QMN107" s="395"/>
      <c r="QMO107" s="395"/>
      <c r="QMP107" s="395"/>
      <c r="QMQ107" s="395"/>
      <c r="QMR107" s="395"/>
      <c r="QMS107" s="395"/>
      <c r="QMT107" s="395"/>
      <c r="QMU107" s="395"/>
      <c r="QMV107" s="395"/>
      <c r="QMW107" s="396"/>
      <c r="QMX107" s="394"/>
      <c r="QMY107" s="395"/>
      <c r="QMZ107" s="395"/>
      <c r="QNA107" s="395"/>
      <c r="QNB107" s="395"/>
      <c r="QNC107" s="395"/>
      <c r="QND107" s="395"/>
      <c r="QNE107" s="395"/>
      <c r="QNF107" s="395"/>
      <c r="QNG107" s="395"/>
      <c r="QNH107" s="395"/>
      <c r="QNI107" s="395"/>
      <c r="QNJ107" s="395"/>
      <c r="QNK107" s="395"/>
      <c r="QNL107" s="395"/>
      <c r="QNM107" s="395"/>
      <c r="QNN107" s="395"/>
      <c r="QNO107" s="395"/>
      <c r="QNP107" s="395"/>
      <c r="QNQ107" s="395"/>
      <c r="QNR107" s="395"/>
      <c r="QNS107" s="395"/>
      <c r="QNT107" s="395"/>
      <c r="QNU107" s="395"/>
      <c r="QNV107" s="395"/>
      <c r="QNW107" s="395"/>
      <c r="QNX107" s="396"/>
      <c r="QNY107" s="394"/>
      <c r="QNZ107" s="395"/>
      <c r="QOA107" s="395"/>
      <c r="QOB107" s="395"/>
      <c r="QOC107" s="395"/>
      <c r="QOD107" s="395"/>
      <c r="QOE107" s="395"/>
      <c r="QOF107" s="395"/>
      <c r="QOG107" s="395"/>
      <c r="QOH107" s="395"/>
      <c r="QOI107" s="395"/>
      <c r="QOJ107" s="395"/>
      <c r="QOK107" s="395"/>
      <c r="QOL107" s="395"/>
      <c r="QOM107" s="395"/>
      <c r="QON107" s="395"/>
      <c r="QOO107" s="395"/>
      <c r="QOP107" s="395"/>
      <c r="QOQ107" s="395"/>
      <c r="QOR107" s="395"/>
      <c r="QOS107" s="395"/>
      <c r="QOT107" s="395"/>
      <c r="QOU107" s="395"/>
      <c r="QOV107" s="395"/>
      <c r="QOW107" s="395"/>
      <c r="QOX107" s="395"/>
      <c r="QOY107" s="396"/>
      <c r="QOZ107" s="394"/>
      <c r="QPA107" s="395"/>
      <c r="QPB107" s="395"/>
      <c r="QPC107" s="395"/>
      <c r="QPD107" s="395"/>
      <c r="QPE107" s="395"/>
      <c r="QPF107" s="395"/>
      <c r="QPG107" s="395"/>
      <c r="QPH107" s="395"/>
      <c r="QPI107" s="395"/>
      <c r="QPJ107" s="395"/>
      <c r="QPK107" s="395"/>
      <c r="QPL107" s="395"/>
      <c r="QPM107" s="395"/>
      <c r="QPN107" s="395"/>
      <c r="QPO107" s="395"/>
      <c r="QPP107" s="395"/>
      <c r="QPQ107" s="395"/>
      <c r="QPR107" s="395"/>
      <c r="QPS107" s="395"/>
      <c r="QPT107" s="395"/>
      <c r="QPU107" s="395"/>
      <c r="QPV107" s="395"/>
      <c r="QPW107" s="395"/>
      <c r="QPX107" s="395"/>
      <c r="QPY107" s="395"/>
      <c r="QPZ107" s="396"/>
      <c r="QQA107" s="394"/>
      <c r="QQB107" s="395"/>
      <c r="QQC107" s="395"/>
      <c r="QQD107" s="395"/>
      <c r="QQE107" s="395"/>
      <c r="QQF107" s="395"/>
      <c r="QQG107" s="395"/>
      <c r="QQH107" s="395"/>
      <c r="QQI107" s="395"/>
      <c r="QQJ107" s="395"/>
      <c r="QQK107" s="395"/>
      <c r="QQL107" s="395"/>
      <c r="QQM107" s="395"/>
      <c r="QQN107" s="395"/>
      <c r="QQO107" s="395"/>
      <c r="QQP107" s="395"/>
      <c r="QQQ107" s="395"/>
      <c r="QQR107" s="395"/>
      <c r="QQS107" s="395"/>
      <c r="QQT107" s="395"/>
      <c r="QQU107" s="395"/>
      <c r="QQV107" s="395"/>
      <c r="QQW107" s="395"/>
      <c r="QQX107" s="395"/>
      <c r="QQY107" s="395"/>
      <c r="QQZ107" s="395"/>
      <c r="QRA107" s="396"/>
      <c r="QRB107" s="394"/>
      <c r="QRC107" s="395"/>
      <c r="QRD107" s="395"/>
      <c r="QRE107" s="395"/>
      <c r="QRF107" s="395"/>
      <c r="QRG107" s="395"/>
      <c r="QRH107" s="395"/>
      <c r="QRI107" s="395"/>
      <c r="QRJ107" s="395"/>
      <c r="QRK107" s="395"/>
      <c r="QRL107" s="395"/>
      <c r="QRM107" s="395"/>
      <c r="QRN107" s="395"/>
      <c r="QRO107" s="395"/>
      <c r="QRP107" s="395"/>
      <c r="QRQ107" s="395"/>
      <c r="QRR107" s="395"/>
      <c r="QRS107" s="395"/>
      <c r="QRT107" s="395"/>
      <c r="QRU107" s="395"/>
      <c r="QRV107" s="395"/>
      <c r="QRW107" s="395"/>
      <c r="QRX107" s="395"/>
      <c r="QRY107" s="395"/>
      <c r="QRZ107" s="395"/>
      <c r="QSA107" s="395"/>
      <c r="QSB107" s="396"/>
      <c r="QSC107" s="394"/>
      <c r="QSD107" s="395"/>
      <c r="QSE107" s="395"/>
      <c r="QSF107" s="395"/>
      <c r="QSG107" s="395"/>
      <c r="QSH107" s="395"/>
      <c r="QSI107" s="395"/>
      <c r="QSJ107" s="395"/>
      <c r="QSK107" s="395"/>
      <c r="QSL107" s="395"/>
      <c r="QSM107" s="395"/>
      <c r="QSN107" s="395"/>
      <c r="QSO107" s="395"/>
      <c r="QSP107" s="395"/>
      <c r="QSQ107" s="395"/>
      <c r="QSR107" s="395"/>
      <c r="QSS107" s="395"/>
      <c r="QST107" s="395"/>
      <c r="QSU107" s="395"/>
      <c r="QSV107" s="395"/>
      <c r="QSW107" s="395"/>
      <c r="QSX107" s="395"/>
      <c r="QSY107" s="395"/>
      <c r="QSZ107" s="395"/>
      <c r="QTA107" s="395"/>
      <c r="QTB107" s="395"/>
      <c r="QTC107" s="396"/>
      <c r="QTD107" s="394"/>
      <c r="QTE107" s="395"/>
      <c r="QTF107" s="395"/>
      <c r="QTG107" s="395"/>
      <c r="QTH107" s="395"/>
      <c r="QTI107" s="395"/>
      <c r="QTJ107" s="395"/>
      <c r="QTK107" s="395"/>
      <c r="QTL107" s="395"/>
      <c r="QTM107" s="395"/>
      <c r="QTN107" s="395"/>
      <c r="QTO107" s="395"/>
      <c r="QTP107" s="395"/>
      <c r="QTQ107" s="395"/>
      <c r="QTR107" s="395"/>
      <c r="QTS107" s="395"/>
      <c r="QTT107" s="395"/>
      <c r="QTU107" s="395"/>
      <c r="QTV107" s="395"/>
      <c r="QTW107" s="395"/>
      <c r="QTX107" s="395"/>
      <c r="QTY107" s="395"/>
      <c r="QTZ107" s="395"/>
      <c r="QUA107" s="395"/>
      <c r="QUB107" s="395"/>
      <c r="QUC107" s="395"/>
      <c r="QUD107" s="396"/>
      <c r="QUE107" s="394"/>
      <c r="QUF107" s="395"/>
      <c r="QUG107" s="395"/>
      <c r="QUH107" s="395"/>
      <c r="QUI107" s="395"/>
      <c r="QUJ107" s="395"/>
      <c r="QUK107" s="395"/>
      <c r="QUL107" s="395"/>
      <c r="QUM107" s="395"/>
      <c r="QUN107" s="395"/>
      <c r="QUO107" s="395"/>
      <c r="QUP107" s="395"/>
      <c r="QUQ107" s="395"/>
      <c r="QUR107" s="395"/>
      <c r="QUS107" s="395"/>
      <c r="QUT107" s="395"/>
      <c r="QUU107" s="395"/>
      <c r="QUV107" s="395"/>
      <c r="QUW107" s="395"/>
      <c r="QUX107" s="395"/>
      <c r="QUY107" s="395"/>
      <c r="QUZ107" s="395"/>
      <c r="QVA107" s="395"/>
      <c r="QVB107" s="395"/>
      <c r="QVC107" s="395"/>
      <c r="QVD107" s="395"/>
      <c r="QVE107" s="396"/>
      <c r="QVF107" s="394"/>
      <c r="QVG107" s="395"/>
      <c r="QVH107" s="395"/>
      <c r="QVI107" s="395"/>
      <c r="QVJ107" s="395"/>
      <c r="QVK107" s="395"/>
      <c r="QVL107" s="395"/>
      <c r="QVM107" s="395"/>
      <c r="QVN107" s="395"/>
      <c r="QVO107" s="395"/>
      <c r="QVP107" s="395"/>
      <c r="QVQ107" s="395"/>
      <c r="QVR107" s="395"/>
      <c r="QVS107" s="395"/>
      <c r="QVT107" s="395"/>
      <c r="QVU107" s="395"/>
      <c r="QVV107" s="395"/>
      <c r="QVW107" s="395"/>
      <c r="QVX107" s="395"/>
      <c r="QVY107" s="395"/>
      <c r="QVZ107" s="395"/>
      <c r="QWA107" s="395"/>
      <c r="QWB107" s="395"/>
      <c r="QWC107" s="395"/>
      <c r="QWD107" s="395"/>
      <c r="QWE107" s="395"/>
      <c r="QWF107" s="396"/>
      <c r="QWG107" s="394"/>
      <c r="QWH107" s="395"/>
      <c r="QWI107" s="395"/>
      <c r="QWJ107" s="395"/>
      <c r="QWK107" s="395"/>
      <c r="QWL107" s="395"/>
      <c r="QWM107" s="395"/>
      <c r="QWN107" s="395"/>
      <c r="QWO107" s="395"/>
      <c r="QWP107" s="395"/>
      <c r="QWQ107" s="395"/>
      <c r="QWR107" s="395"/>
      <c r="QWS107" s="395"/>
      <c r="QWT107" s="395"/>
      <c r="QWU107" s="395"/>
      <c r="QWV107" s="395"/>
      <c r="QWW107" s="395"/>
      <c r="QWX107" s="395"/>
      <c r="QWY107" s="395"/>
      <c r="QWZ107" s="395"/>
      <c r="QXA107" s="395"/>
      <c r="QXB107" s="395"/>
      <c r="QXC107" s="395"/>
      <c r="QXD107" s="395"/>
      <c r="QXE107" s="395"/>
      <c r="QXF107" s="395"/>
      <c r="QXG107" s="396"/>
      <c r="QXH107" s="394"/>
      <c r="QXI107" s="395"/>
      <c r="QXJ107" s="395"/>
      <c r="QXK107" s="395"/>
      <c r="QXL107" s="395"/>
      <c r="QXM107" s="395"/>
      <c r="QXN107" s="395"/>
      <c r="QXO107" s="395"/>
      <c r="QXP107" s="395"/>
      <c r="QXQ107" s="395"/>
      <c r="QXR107" s="395"/>
      <c r="QXS107" s="395"/>
      <c r="QXT107" s="395"/>
      <c r="QXU107" s="395"/>
      <c r="QXV107" s="395"/>
      <c r="QXW107" s="395"/>
      <c r="QXX107" s="395"/>
      <c r="QXY107" s="395"/>
      <c r="QXZ107" s="395"/>
      <c r="QYA107" s="395"/>
      <c r="QYB107" s="395"/>
      <c r="QYC107" s="395"/>
      <c r="QYD107" s="395"/>
      <c r="QYE107" s="395"/>
      <c r="QYF107" s="395"/>
      <c r="QYG107" s="395"/>
      <c r="QYH107" s="396"/>
      <c r="QYI107" s="394"/>
      <c r="QYJ107" s="395"/>
      <c r="QYK107" s="395"/>
      <c r="QYL107" s="395"/>
      <c r="QYM107" s="395"/>
      <c r="QYN107" s="395"/>
      <c r="QYO107" s="395"/>
      <c r="QYP107" s="395"/>
      <c r="QYQ107" s="395"/>
      <c r="QYR107" s="395"/>
      <c r="QYS107" s="395"/>
      <c r="QYT107" s="395"/>
      <c r="QYU107" s="395"/>
      <c r="QYV107" s="395"/>
      <c r="QYW107" s="395"/>
      <c r="QYX107" s="395"/>
      <c r="QYY107" s="395"/>
      <c r="QYZ107" s="395"/>
      <c r="QZA107" s="395"/>
      <c r="QZB107" s="395"/>
      <c r="QZC107" s="395"/>
      <c r="QZD107" s="395"/>
      <c r="QZE107" s="395"/>
      <c r="QZF107" s="395"/>
      <c r="QZG107" s="395"/>
      <c r="QZH107" s="395"/>
      <c r="QZI107" s="396"/>
      <c r="QZJ107" s="394"/>
      <c r="QZK107" s="395"/>
      <c r="QZL107" s="395"/>
      <c r="QZM107" s="395"/>
      <c r="QZN107" s="395"/>
      <c r="QZO107" s="395"/>
      <c r="QZP107" s="395"/>
      <c r="QZQ107" s="395"/>
      <c r="QZR107" s="395"/>
      <c r="QZS107" s="395"/>
      <c r="QZT107" s="395"/>
      <c r="QZU107" s="395"/>
      <c r="QZV107" s="395"/>
      <c r="QZW107" s="395"/>
      <c r="QZX107" s="395"/>
      <c r="QZY107" s="395"/>
      <c r="QZZ107" s="395"/>
      <c r="RAA107" s="395"/>
      <c r="RAB107" s="395"/>
      <c r="RAC107" s="395"/>
      <c r="RAD107" s="395"/>
      <c r="RAE107" s="395"/>
      <c r="RAF107" s="395"/>
      <c r="RAG107" s="395"/>
      <c r="RAH107" s="395"/>
      <c r="RAI107" s="395"/>
      <c r="RAJ107" s="396"/>
      <c r="RAK107" s="394"/>
      <c r="RAL107" s="395"/>
      <c r="RAM107" s="395"/>
      <c r="RAN107" s="395"/>
      <c r="RAO107" s="395"/>
      <c r="RAP107" s="395"/>
      <c r="RAQ107" s="395"/>
      <c r="RAR107" s="395"/>
      <c r="RAS107" s="395"/>
      <c r="RAT107" s="395"/>
      <c r="RAU107" s="395"/>
      <c r="RAV107" s="395"/>
      <c r="RAW107" s="395"/>
      <c r="RAX107" s="395"/>
      <c r="RAY107" s="395"/>
      <c r="RAZ107" s="395"/>
      <c r="RBA107" s="395"/>
      <c r="RBB107" s="395"/>
      <c r="RBC107" s="395"/>
      <c r="RBD107" s="395"/>
      <c r="RBE107" s="395"/>
      <c r="RBF107" s="395"/>
      <c r="RBG107" s="395"/>
      <c r="RBH107" s="395"/>
      <c r="RBI107" s="395"/>
      <c r="RBJ107" s="395"/>
      <c r="RBK107" s="396"/>
      <c r="RBL107" s="394"/>
      <c r="RBM107" s="395"/>
      <c r="RBN107" s="395"/>
      <c r="RBO107" s="395"/>
      <c r="RBP107" s="395"/>
      <c r="RBQ107" s="395"/>
      <c r="RBR107" s="395"/>
      <c r="RBS107" s="395"/>
      <c r="RBT107" s="395"/>
      <c r="RBU107" s="395"/>
      <c r="RBV107" s="395"/>
      <c r="RBW107" s="395"/>
      <c r="RBX107" s="395"/>
      <c r="RBY107" s="395"/>
      <c r="RBZ107" s="395"/>
      <c r="RCA107" s="395"/>
      <c r="RCB107" s="395"/>
      <c r="RCC107" s="395"/>
      <c r="RCD107" s="395"/>
      <c r="RCE107" s="395"/>
      <c r="RCF107" s="395"/>
      <c r="RCG107" s="395"/>
      <c r="RCH107" s="395"/>
      <c r="RCI107" s="395"/>
      <c r="RCJ107" s="395"/>
      <c r="RCK107" s="395"/>
      <c r="RCL107" s="396"/>
      <c r="RCM107" s="394"/>
      <c r="RCN107" s="395"/>
      <c r="RCO107" s="395"/>
      <c r="RCP107" s="395"/>
      <c r="RCQ107" s="395"/>
      <c r="RCR107" s="395"/>
      <c r="RCS107" s="395"/>
      <c r="RCT107" s="395"/>
      <c r="RCU107" s="395"/>
      <c r="RCV107" s="395"/>
      <c r="RCW107" s="395"/>
      <c r="RCX107" s="395"/>
      <c r="RCY107" s="395"/>
      <c r="RCZ107" s="395"/>
      <c r="RDA107" s="395"/>
      <c r="RDB107" s="395"/>
      <c r="RDC107" s="395"/>
      <c r="RDD107" s="395"/>
      <c r="RDE107" s="395"/>
      <c r="RDF107" s="395"/>
      <c r="RDG107" s="395"/>
      <c r="RDH107" s="395"/>
      <c r="RDI107" s="395"/>
      <c r="RDJ107" s="395"/>
      <c r="RDK107" s="395"/>
      <c r="RDL107" s="395"/>
      <c r="RDM107" s="396"/>
      <c r="RDN107" s="394"/>
      <c r="RDO107" s="395"/>
      <c r="RDP107" s="395"/>
      <c r="RDQ107" s="395"/>
      <c r="RDR107" s="395"/>
      <c r="RDS107" s="395"/>
      <c r="RDT107" s="395"/>
      <c r="RDU107" s="395"/>
      <c r="RDV107" s="395"/>
      <c r="RDW107" s="395"/>
      <c r="RDX107" s="395"/>
      <c r="RDY107" s="395"/>
      <c r="RDZ107" s="395"/>
      <c r="REA107" s="395"/>
      <c r="REB107" s="395"/>
      <c r="REC107" s="395"/>
      <c r="RED107" s="395"/>
      <c r="REE107" s="395"/>
      <c r="REF107" s="395"/>
      <c r="REG107" s="395"/>
      <c r="REH107" s="395"/>
      <c r="REI107" s="395"/>
      <c r="REJ107" s="395"/>
      <c r="REK107" s="395"/>
      <c r="REL107" s="395"/>
      <c r="REM107" s="395"/>
      <c r="REN107" s="396"/>
      <c r="REO107" s="394"/>
      <c r="REP107" s="395"/>
      <c r="REQ107" s="395"/>
      <c r="RER107" s="395"/>
      <c r="RES107" s="395"/>
      <c r="RET107" s="395"/>
      <c r="REU107" s="395"/>
      <c r="REV107" s="395"/>
      <c r="REW107" s="395"/>
      <c r="REX107" s="395"/>
      <c r="REY107" s="395"/>
      <c r="REZ107" s="395"/>
      <c r="RFA107" s="395"/>
      <c r="RFB107" s="395"/>
      <c r="RFC107" s="395"/>
      <c r="RFD107" s="395"/>
      <c r="RFE107" s="395"/>
      <c r="RFF107" s="395"/>
      <c r="RFG107" s="395"/>
      <c r="RFH107" s="395"/>
      <c r="RFI107" s="395"/>
      <c r="RFJ107" s="395"/>
      <c r="RFK107" s="395"/>
      <c r="RFL107" s="395"/>
      <c r="RFM107" s="395"/>
      <c r="RFN107" s="395"/>
      <c r="RFO107" s="396"/>
      <c r="RFP107" s="394"/>
      <c r="RFQ107" s="395"/>
      <c r="RFR107" s="395"/>
      <c r="RFS107" s="395"/>
      <c r="RFT107" s="395"/>
      <c r="RFU107" s="395"/>
      <c r="RFV107" s="395"/>
      <c r="RFW107" s="395"/>
      <c r="RFX107" s="395"/>
      <c r="RFY107" s="395"/>
      <c r="RFZ107" s="395"/>
      <c r="RGA107" s="395"/>
      <c r="RGB107" s="395"/>
      <c r="RGC107" s="395"/>
      <c r="RGD107" s="395"/>
      <c r="RGE107" s="395"/>
      <c r="RGF107" s="395"/>
      <c r="RGG107" s="395"/>
      <c r="RGH107" s="395"/>
      <c r="RGI107" s="395"/>
      <c r="RGJ107" s="395"/>
      <c r="RGK107" s="395"/>
      <c r="RGL107" s="395"/>
      <c r="RGM107" s="395"/>
      <c r="RGN107" s="395"/>
      <c r="RGO107" s="395"/>
      <c r="RGP107" s="396"/>
      <c r="RGQ107" s="394"/>
      <c r="RGR107" s="395"/>
      <c r="RGS107" s="395"/>
      <c r="RGT107" s="395"/>
      <c r="RGU107" s="395"/>
      <c r="RGV107" s="395"/>
      <c r="RGW107" s="395"/>
      <c r="RGX107" s="395"/>
      <c r="RGY107" s="395"/>
      <c r="RGZ107" s="395"/>
      <c r="RHA107" s="395"/>
      <c r="RHB107" s="395"/>
      <c r="RHC107" s="395"/>
      <c r="RHD107" s="395"/>
      <c r="RHE107" s="395"/>
      <c r="RHF107" s="395"/>
      <c r="RHG107" s="395"/>
      <c r="RHH107" s="395"/>
      <c r="RHI107" s="395"/>
      <c r="RHJ107" s="395"/>
      <c r="RHK107" s="395"/>
      <c r="RHL107" s="395"/>
      <c r="RHM107" s="395"/>
      <c r="RHN107" s="395"/>
      <c r="RHO107" s="395"/>
      <c r="RHP107" s="395"/>
      <c r="RHQ107" s="396"/>
      <c r="RHR107" s="394"/>
      <c r="RHS107" s="395"/>
      <c r="RHT107" s="395"/>
      <c r="RHU107" s="395"/>
      <c r="RHV107" s="395"/>
      <c r="RHW107" s="395"/>
      <c r="RHX107" s="395"/>
      <c r="RHY107" s="395"/>
      <c r="RHZ107" s="395"/>
      <c r="RIA107" s="395"/>
      <c r="RIB107" s="395"/>
      <c r="RIC107" s="395"/>
      <c r="RID107" s="395"/>
      <c r="RIE107" s="395"/>
      <c r="RIF107" s="395"/>
      <c r="RIG107" s="395"/>
      <c r="RIH107" s="395"/>
      <c r="RII107" s="395"/>
      <c r="RIJ107" s="395"/>
      <c r="RIK107" s="395"/>
      <c r="RIL107" s="395"/>
      <c r="RIM107" s="395"/>
      <c r="RIN107" s="395"/>
      <c r="RIO107" s="395"/>
      <c r="RIP107" s="395"/>
      <c r="RIQ107" s="395"/>
      <c r="RIR107" s="396"/>
      <c r="RIS107" s="394"/>
      <c r="RIT107" s="395"/>
      <c r="RIU107" s="395"/>
      <c r="RIV107" s="395"/>
      <c r="RIW107" s="395"/>
      <c r="RIX107" s="395"/>
      <c r="RIY107" s="395"/>
      <c r="RIZ107" s="395"/>
      <c r="RJA107" s="395"/>
      <c r="RJB107" s="395"/>
      <c r="RJC107" s="395"/>
      <c r="RJD107" s="395"/>
      <c r="RJE107" s="395"/>
      <c r="RJF107" s="395"/>
      <c r="RJG107" s="395"/>
      <c r="RJH107" s="395"/>
      <c r="RJI107" s="395"/>
      <c r="RJJ107" s="395"/>
      <c r="RJK107" s="395"/>
      <c r="RJL107" s="395"/>
      <c r="RJM107" s="395"/>
      <c r="RJN107" s="395"/>
      <c r="RJO107" s="395"/>
      <c r="RJP107" s="395"/>
      <c r="RJQ107" s="395"/>
      <c r="RJR107" s="395"/>
      <c r="RJS107" s="396"/>
      <c r="RJT107" s="394"/>
      <c r="RJU107" s="395"/>
      <c r="RJV107" s="395"/>
      <c r="RJW107" s="395"/>
      <c r="RJX107" s="395"/>
      <c r="RJY107" s="395"/>
      <c r="RJZ107" s="395"/>
      <c r="RKA107" s="395"/>
      <c r="RKB107" s="395"/>
      <c r="RKC107" s="395"/>
      <c r="RKD107" s="395"/>
      <c r="RKE107" s="395"/>
      <c r="RKF107" s="395"/>
      <c r="RKG107" s="395"/>
      <c r="RKH107" s="395"/>
      <c r="RKI107" s="395"/>
      <c r="RKJ107" s="395"/>
      <c r="RKK107" s="395"/>
      <c r="RKL107" s="395"/>
      <c r="RKM107" s="395"/>
      <c r="RKN107" s="395"/>
      <c r="RKO107" s="395"/>
      <c r="RKP107" s="395"/>
      <c r="RKQ107" s="395"/>
      <c r="RKR107" s="395"/>
      <c r="RKS107" s="395"/>
      <c r="RKT107" s="396"/>
      <c r="RKU107" s="394"/>
      <c r="RKV107" s="395"/>
      <c r="RKW107" s="395"/>
      <c r="RKX107" s="395"/>
      <c r="RKY107" s="395"/>
      <c r="RKZ107" s="395"/>
      <c r="RLA107" s="395"/>
      <c r="RLB107" s="395"/>
      <c r="RLC107" s="395"/>
      <c r="RLD107" s="395"/>
      <c r="RLE107" s="395"/>
      <c r="RLF107" s="395"/>
      <c r="RLG107" s="395"/>
      <c r="RLH107" s="395"/>
      <c r="RLI107" s="395"/>
      <c r="RLJ107" s="395"/>
      <c r="RLK107" s="395"/>
      <c r="RLL107" s="395"/>
      <c r="RLM107" s="395"/>
      <c r="RLN107" s="395"/>
      <c r="RLO107" s="395"/>
      <c r="RLP107" s="395"/>
      <c r="RLQ107" s="395"/>
      <c r="RLR107" s="395"/>
      <c r="RLS107" s="395"/>
      <c r="RLT107" s="395"/>
      <c r="RLU107" s="396"/>
      <c r="RLV107" s="394"/>
      <c r="RLW107" s="395"/>
      <c r="RLX107" s="395"/>
      <c r="RLY107" s="395"/>
      <c r="RLZ107" s="395"/>
      <c r="RMA107" s="395"/>
      <c r="RMB107" s="395"/>
      <c r="RMC107" s="395"/>
      <c r="RMD107" s="395"/>
      <c r="RME107" s="395"/>
      <c r="RMF107" s="395"/>
      <c r="RMG107" s="395"/>
      <c r="RMH107" s="395"/>
      <c r="RMI107" s="395"/>
      <c r="RMJ107" s="395"/>
      <c r="RMK107" s="395"/>
      <c r="RML107" s="395"/>
      <c r="RMM107" s="395"/>
      <c r="RMN107" s="395"/>
      <c r="RMO107" s="395"/>
      <c r="RMP107" s="395"/>
      <c r="RMQ107" s="395"/>
      <c r="RMR107" s="395"/>
      <c r="RMS107" s="395"/>
      <c r="RMT107" s="395"/>
      <c r="RMU107" s="395"/>
      <c r="RMV107" s="396"/>
      <c r="RMW107" s="394"/>
      <c r="RMX107" s="395"/>
      <c r="RMY107" s="395"/>
      <c r="RMZ107" s="395"/>
      <c r="RNA107" s="395"/>
      <c r="RNB107" s="395"/>
      <c r="RNC107" s="395"/>
      <c r="RND107" s="395"/>
      <c r="RNE107" s="395"/>
      <c r="RNF107" s="395"/>
      <c r="RNG107" s="395"/>
      <c r="RNH107" s="395"/>
      <c r="RNI107" s="395"/>
      <c r="RNJ107" s="395"/>
      <c r="RNK107" s="395"/>
      <c r="RNL107" s="395"/>
      <c r="RNM107" s="395"/>
      <c r="RNN107" s="395"/>
      <c r="RNO107" s="395"/>
      <c r="RNP107" s="395"/>
      <c r="RNQ107" s="395"/>
      <c r="RNR107" s="395"/>
      <c r="RNS107" s="395"/>
      <c r="RNT107" s="395"/>
      <c r="RNU107" s="395"/>
      <c r="RNV107" s="395"/>
      <c r="RNW107" s="396"/>
      <c r="RNX107" s="394"/>
      <c r="RNY107" s="395"/>
      <c r="RNZ107" s="395"/>
      <c r="ROA107" s="395"/>
      <c r="ROB107" s="395"/>
      <c r="ROC107" s="395"/>
      <c r="ROD107" s="395"/>
      <c r="ROE107" s="395"/>
      <c r="ROF107" s="395"/>
      <c r="ROG107" s="395"/>
      <c r="ROH107" s="395"/>
      <c r="ROI107" s="395"/>
      <c r="ROJ107" s="395"/>
      <c r="ROK107" s="395"/>
      <c r="ROL107" s="395"/>
      <c r="ROM107" s="395"/>
      <c r="RON107" s="395"/>
      <c r="ROO107" s="395"/>
      <c r="ROP107" s="395"/>
      <c r="ROQ107" s="395"/>
      <c r="ROR107" s="395"/>
      <c r="ROS107" s="395"/>
      <c r="ROT107" s="395"/>
      <c r="ROU107" s="395"/>
      <c r="ROV107" s="395"/>
      <c r="ROW107" s="395"/>
      <c r="ROX107" s="396"/>
      <c r="ROY107" s="394"/>
      <c r="ROZ107" s="395"/>
      <c r="RPA107" s="395"/>
      <c r="RPB107" s="395"/>
      <c r="RPC107" s="395"/>
      <c r="RPD107" s="395"/>
      <c r="RPE107" s="395"/>
      <c r="RPF107" s="395"/>
      <c r="RPG107" s="395"/>
      <c r="RPH107" s="395"/>
      <c r="RPI107" s="395"/>
      <c r="RPJ107" s="395"/>
      <c r="RPK107" s="395"/>
      <c r="RPL107" s="395"/>
      <c r="RPM107" s="395"/>
      <c r="RPN107" s="395"/>
      <c r="RPO107" s="395"/>
      <c r="RPP107" s="395"/>
      <c r="RPQ107" s="395"/>
      <c r="RPR107" s="395"/>
      <c r="RPS107" s="395"/>
      <c r="RPT107" s="395"/>
      <c r="RPU107" s="395"/>
      <c r="RPV107" s="395"/>
      <c r="RPW107" s="395"/>
      <c r="RPX107" s="395"/>
      <c r="RPY107" s="396"/>
      <c r="RPZ107" s="394"/>
      <c r="RQA107" s="395"/>
      <c r="RQB107" s="395"/>
      <c r="RQC107" s="395"/>
      <c r="RQD107" s="395"/>
      <c r="RQE107" s="395"/>
      <c r="RQF107" s="395"/>
      <c r="RQG107" s="395"/>
      <c r="RQH107" s="395"/>
      <c r="RQI107" s="395"/>
      <c r="RQJ107" s="395"/>
      <c r="RQK107" s="395"/>
      <c r="RQL107" s="395"/>
      <c r="RQM107" s="395"/>
      <c r="RQN107" s="395"/>
      <c r="RQO107" s="395"/>
      <c r="RQP107" s="395"/>
      <c r="RQQ107" s="395"/>
      <c r="RQR107" s="395"/>
      <c r="RQS107" s="395"/>
      <c r="RQT107" s="395"/>
      <c r="RQU107" s="395"/>
      <c r="RQV107" s="395"/>
      <c r="RQW107" s="395"/>
      <c r="RQX107" s="395"/>
      <c r="RQY107" s="395"/>
      <c r="RQZ107" s="396"/>
      <c r="RRA107" s="394"/>
      <c r="RRB107" s="395"/>
      <c r="RRC107" s="395"/>
      <c r="RRD107" s="395"/>
      <c r="RRE107" s="395"/>
      <c r="RRF107" s="395"/>
      <c r="RRG107" s="395"/>
      <c r="RRH107" s="395"/>
      <c r="RRI107" s="395"/>
      <c r="RRJ107" s="395"/>
      <c r="RRK107" s="395"/>
      <c r="RRL107" s="395"/>
      <c r="RRM107" s="395"/>
      <c r="RRN107" s="395"/>
      <c r="RRO107" s="395"/>
      <c r="RRP107" s="395"/>
      <c r="RRQ107" s="395"/>
      <c r="RRR107" s="395"/>
      <c r="RRS107" s="395"/>
      <c r="RRT107" s="395"/>
      <c r="RRU107" s="395"/>
      <c r="RRV107" s="395"/>
      <c r="RRW107" s="395"/>
      <c r="RRX107" s="395"/>
      <c r="RRY107" s="395"/>
      <c r="RRZ107" s="395"/>
      <c r="RSA107" s="396"/>
      <c r="RSB107" s="394"/>
      <c r="RSC107" s="395"/>
      <c r="RSD107" s="395"/>
      <c r="RSE107" s="395"/>
      <c r="RSF107" s="395"/>
      <c r="RSG107" s="395"/>
      <c r="RSH107" s="395"/>
      <c r="RSI107" s="395"/>
      <c r="RSJ107" s="395"/>
      <c r="RSK107" s="395"/>
      <c r="RSL107" s="395"/>
      <c r="RSM107" s="395"/>
      <c r="RSN107" s="395"/>
      <c r="RSO107" s="395"/>
      <c r="RSP107" s="395"/>
      <c r="RSQ107" s="395"/>
      <c r="RSR107" s="395"/>
      <c r="RSS107" s="395"/>
      <c r="RST107" s="395"/>
      <c r="RSU107" s="395"/>
      <c r="RSV107" s="395"/>
      <c r="RSW107" s="395"/>
      <c r="RSX107" s="395"/>
      <c r="RSY107" s="395"/>
      <c r="RSZ107" s="395"/>
      <c r="RTA107" s="395"/>
      <c r="RTB107" s="396"/>
      <c r="RTC107" s="394"/>
      <c r="RTD107" s="395"/>
      <c r="RTE107" s="395"/>
      <c r="RTF107" s="395"/>
      <c r="RTG107" s="395"/>
      <c r="RTH107" s="395"/>
      <c r="RTI107" s="395"/>
      <c r="RTJ107" s="395"/>
      <c r="RTK107" s="395"/>
      <c r="RTL107" s="395"/>
      <c r="RTM107" s="395"/>
      <c r="RTN107" s="395"/>
      <c r="RTO107" s="395"/>
      <c r="RTP107" s="395"/>
      <c r="RTQ107" s="395"/>
      <c r="RTR107" s="395"/>
      <c r="RTS107" s="395"/>
      <c r="RTT107" s="395"/>
      <c r="RTU107" s="395"/>
      <c r="RTV107" s="395"/>
      <c r="RTW107" s="395"/>
      <c r="RTX107" s="395"/>
      <c r="RTY107" s="395"/>
      <c r="RTZ107" s="395"/>
      <c r="RUA107" s="395"/>
      <c r="RUB107" s="395"/>
      <c r="RUC107" s="396"/>
      <c r="RUD107" s="394"/>
      <c r="RUE107" s="395"/>
      <c r="RUF107" s="395"/>
      <c r="RUG107" s="395"/>
      <c r="RUH107" s="395"/>
      <c r="RUI107" s="395"/>
      <c r="RUJ107" s="395"/>
      <c r="RUK107" s="395"/>
      <c r="RUL107" s="395"/>
      <c r="RUM107" s="395"/>
      <c r="RUN107" s="395"/>
      <c r="RUO107" s="395"/>
      <c r="RUP107" s="395"/>
      <c r="RUQ107" s="395"/>
      <c r="RUR107" s="395"/>
      <c r="RUS107" s="395"/>
      <c r="RUT107" s="395"/>
      <c r="RUU107" s="395"/>
      <c r="RUV107" s="395"/>
      <c r="RUW107" s="395"/>
      <c r="RUX107" s="395"/>
      <c r="RUY107" s="395"/>
      <c r="RUZ107" s="395"/>
      <c r="RVA107" s="395"/>
      <c r="RVB107" s="395"/>
      <c r="RVC107" s="395"/>
      <c r="RVD107" s="396"/>
      <c r="RVE107" s="394"/>
      <c r="RVF107" s="395"/>
      <c r="RVG107" s="395"/>
      <c r="RVH107" s="395"/>
      <c r="RVI107" s="395"/>
      <c r="RVJ107" s="395"/>
      <c r="RVK107" s="395"/>
      <c r="RVL107" s="395"/>
      <c r="RVM107" s="395"/>
      <c r="RVN107" s="395"/>
      <c r="RVO107" s="395"/>
      <c r="RVP107" s="395"/>
      <c r="RVQ107" s="395"/>
      <c r="RVR107" s="395"/>
      <c r="RVS107" s="395"/>
      <c r="RVT107" s="395"/>
      <c r="RVU107" s="395"/>
      <c r="RVV107" s="395"/>
      <c r="RVW107" s="395"/>
      <c r="RVX107" s="395"/>
      <c r="RVY107" s="395"/>
      <c r="RVZ107" s="395"/>
      <c r="RWA107" s="395"/>
      <c r="RWB107" s="395"/>
      <c r="RWC107" s="395"/>
      <c r="RWD107" s="395"/>
      <c r="RWE107" s="396"/>
      <c r="RWF107" s="394"/>
      <c r="RWG107" s="395"/>
      <c r="RWH107" s="395"/>
      <c r="RWI107" s="395"/>
      <c r="RWJ107" s="395"/>
      <c r="RWK107" s="395"/>
      <c r="RWL107" s="395"/>
      <c r="RWM107" s="395"/>
      <c r="RWN107" s="395"/>
      <c r="RWO107" s="395"/>
      <c r="RWP107" s="395"/>
      <c r="RWQ107" s="395"/>
      <c r="RWR107" s="395"/>
      <c r="RWS107" s="395"/>
      <c r="RWT107" s="395"/>
      <c r="RWU107" s="395"/>
      <c r="RWV107" s="395"/>
      <c r="RWW107" s="395"/>
      <c r="RWX107" s="395"/>
      <c r="RWY107" s="395"/>
      <c r="RWZ107" s="395"/>
      <c r="RXA107" s="395"/>
      <c r="RXB107" s="395"/>
      <c r="RXC107" s="395"/>
      <c r="RXD107" s="395"/>
      <c r="RXE107" s="395"/>
      <c r="RXF107" s="396"/>
      <c r="RXG107" s="394"/>
      <c r="RXH107" s="395"/>
      <c r="RXI107" s="395"/>
      <c r="RXJ107" s="395"/>
      <c r="RXK107" s="395"/>
      <c r="RXL107" s="395"/>
      <c r="RXM107" s="395"/>
      <c r="RXN107" s="395"/>
      <c r="RXO107" s="395"/>
      <c r="RXP107" s="395"/>
      <c r="RXQ107" s="395"/>
      <c r="RXR107" s="395"/>
      <c r="RXS107" s="395"/>
      <c r="RXT107" s="395"/>
      <c r="RXU107" s="395"/>
      <c r="RXV107" s="395"/>
      <c r="RXW107" s="395"/>
      <c r="RXX107" s="395"/>
      <c r="RXY107" s="395"/>
      <c r="RXZ107" s="395"/>
      <c r="RYA107" s="395"/>
      <c r="RYB107" s="395"/>
      <c r="RYC107" s="395"/>
      <c r="RYD107" s="395"/>
      <c r="RYE107" s="395"/>
      <c r="RYF107" s="395"/>
      <c r="RYG107" s="396"/>
      <c r="RYH107" s="394"/>
      <c r="RYI107" s="395"/>
      <c r="RYJ107" s="395"/>
      <c r="RYK107" s="395"/>
      <c r="RYL107" s="395"/>
      <c r="RYM107" s="395"/>
      <c r="RYN107" s="395"/>
      <c r="RYO107" s="395"/>
      <c r="RYP107" s="395"/>
      <c r="RYQ107" s="395"/>
      <c r="RYR107" s="395"/>
      <c r="RYS107" s="395"/>
      <c r="RYT107" s="395"/>
      <c r="RYU107" s="395"/>
      <c r="RYV107" s="395"/>
      <c r="RYW107" s="395"/>
      <c r="RYX107" s="395"/>
      <c r="RYY107" s="395"/>
      <c r="RYZ107" s="395"/>
      <c r="RZA107" s="395"/>
      <c r="RZB107" s="395"/>
      <c r="RZC107" s="395"/>
      <c r="RZD107" s="395"/>
      <c r="RZE107" s="395"/>
      <c r="RZF107" s="395"/>
      <c r="RZG107" s="395"/>
      <c r="RZH107" s="396"/>
      <c r="RZI107" s="394"/>
      <c r="RZJ107" s="395"/>
      <c r="RZK107" s="395"/>
      <c r="RZL107" s="395"/>
      <c r="RZM107" s="395"/>
      <c r="RZN107" s="395"/>
      <c r="RZO107" s="395"/>
      <c r="RZP107" s="395"/>
      <c r="RZQ107" s="395"/>
      <c r="RZR107" s="395"/>
      <c r="RZS107" s="395"/>
      <c r="RZT107" s="395"/>
      <c r="RZU107" s="395"/>
      <c r="RZV107" s="395"/>
      <c r="RZW107" s="395"/>
      <c r="RZX107" s="395"/>
      <c r="RZY107" s="395"/>
      <c r="RZZ107" s="395"/>
      <c r="SAA107" s="395"/>
      <c r="SAB107" s="395"/>
      <c r="SAC107" s="395"/>
      <c r="SAD107" s="395"/>
      <c r="SAE107" s="395"/>
      <c r="SAF107" s="395"/>
      <c r="SAG107" s="395"/>
      <c r="SAH107" s="395"/>
      <c r="SAI107" s="396"/>
      <c r="SAJ107" s="394"/>
      <c r="SAK107" s="395"/>
      <c r="SAL107" s="395"/>
      <c r="SAM107" s="395"/>
      <c r="SAN107" s="395"/>
      <c r="SAO107" s="395"/>
      <c r="SAP107" s="395"/>
      <c r="SAQ107" s="395"/>
      <c r="SAR107" s="395"/>
      <c r="SAS107" s="395"/>
      <c r="SAT107" s="395"/>
      <c r="SAU107" s="395"/>
      <c r="SAV107" s="395"/>
      <c r="SAW107" s="395"/>
      <c r="SAX107" s="395"/>
      <c r="SAY107" s="395"/>
      <c r="SAZ107" s="395"/>
      <c r="SBA107" s="395"/>
      <c r="SBB107" s="395"/>
      <c r="SBC107" s="395"/>
      <c r="SBD107" s="395"/>
      <c r="SBE107" s="395"/>
      <c r="SBF107" s="395"/>
      <c r="SBG107" s="395"/>
      <c r="SBH107" s="395"/>
      <c r="SBI107" s="395"/>
      <c r="SBJ107" s="396"/>
      <c r="SBK107" s="394"/>
      <c r="SBL107" s="395"/>
      <c r="SBM107" s="395"/>
      <c r="SBN107" s="395"/>
      <c r="SBO107" s="395"/>
      <c r="SBP107" s="395"/>
      <c r="SBQ107" s="395"/>
      <c r="SBR107" s="395"/>
      <c r="SBS107" s="395"/>
      <c r="SBT107" s="395"/>
      <c r="SBU107" s="395"/>
      <c r="SBV107" s="395"/>
      <c r="SBW107" s="395"/>
      <c r="SBX107" s="395"/>
      <c r="SBY107" s="395"/>
      <c r="SBZ107" s="395"/>
      <c r="SCA107" s="395"/>
      <c r="SCB107" s="395"/>
      <c r="SCC107" s="395"/>
      <c r="SCD107" s="395"/>
      <c r="SCE107" s="395"/>
      <c r="SCF107" s="395"/>
      <c r="SCG107" s="395"/>
      <c r="SCH107" s="395"/>
      <c r="SCI107" s="395"/>
      <c r="SCJ107" s="395"/>
      <c r="SCK107" s="396"/>
      <c r="SCL107" s="394"/>
      <c r="SCM107" s="395"/>
      <c r="SCN107" s="395"/>
      <c r="SCO107" s="395"/>
      <c r="SCP107" s="395"/>
      <c r="SCQ107" s="395"/>
      <c r="SCR107" s="395"/>
      <c r="SCS107" s="395"/>
      <c r="SCT107" s="395"/>
      <c r="SCU107" s="395"/>
      <c r="SCV107" s="395"/>
      <c r="SCW107" s="395"/>
      <c r="SCX107" s="395"/>
      <c r="SCY107" s="395"/>
      <c r="SCZ107" s="395"/>
      <c r="SDA107" s="395"/>
      <c r="SDB107" s="395"/>
      <c r="SDC107" s="395"/>
      <c r="SDD107" s="395"/>
      <c r="SDE107" s="395"/>
      <c r="SDF107" s="395"/>
      <c r="SDG107" s="395"/>
      <c r="SDH107" s="395"/>
      <c r="SDI107" s="395"/>
      <c r="SDJ107" s="395"/>
      <c r="SDK107" s="395"/>
      <c r="SDL107" s="396"/>
      <c r="SDM107" s="394"/>
      <c r="SDN107" s="395"/>
      <c r="SDO107" s="395"/>
      <c r="SDP107" s="395"/>
      <c r="SDQ107" s="395"/>
      <c r="SDR107" s="395"/>
      <c r="SDS107" s="395"/>
      <c r="SDT107" s="395"/>
      <c r="SDU107" s="395"/>
      <c r="SDV107" s="395"/>
      <c r="SDW107" s="395"/>
      <c r="SDX107" s="395"/>
      <c r="SDY107" s="395"/>
      <c r="SDZ107" s="395"/>
      <c r="SEA107" s="395"/>
      <c r="SEB107" s="395"/>
      <c r="SEC107" s="395"/>
      <c r="SED107" s="395"/>
      <c r="SEE107" s="395"/>
      <c r="SEF107" s="395"/>
      <c r="SEG107" s="395"/>
      <c r="SEH107" s="395"/>
      <c r="SEI107" s="395"/>
      <c r="SEJ107" s="395"/>
      <c r="SEK107" s="395"/>
      <c r="SEL107" s="395"/>
      <c r="SEM107" s="396"/>
      <c r="SEN107" s="394"/>
      <c r="SEO107" s="395"/>
      <c r="SEP107" s="395"/>
      <c r="SEQ107" s="395"/>
      <c r="SER107" s="395"/>
      <c r="SES107" s="395"/>
      <c r="SET107" s="395"/>
      <c r="SEU107" s="395"/>
      <c r="SEV107" s="395"/>
      <c r="SEW107" s="395"/>
      <c r="SEX107" s="395"/>
      <c r="SEY107" s="395"/>
      <c r="SEZ107" s="395"/>
      <c r="SFA107" s="395"/>
      <c r="SFB107" s="395"/>
      <c r="SFC107" s="395"/>
      <c r="SFD107" s="395"/>
      <c r="SFE107" s="395"/>
      <c r="SFF107" s="395"/>
      <c r="SFG107" s="395"/>
      <c r="SFH107" s="395"/>
      <c r="SFI107" s="395"/>
      <c r="SFJ107" s="395"/>
      <c r="SFK107" s="395"/>
      <c r="SFL107" s="395"/>
      <c r="SFM107" s="395"/>
      <c r="SFN107" s="396"/>
      <c r="SFO107" s="394"/>
      <c r="SFP107" s="395"/>
      <c r="SFQ107" s="395"/>
      <c r="SFR107" s="395"/>
      <c r="SFS107" s="395"/>
      <c r="SFT107" s="395"/>
      <c r="SFU107" s="395"/>
      <c r="SFV107" s="395"/>
      <c r="SFW107" s="395"/>
      <c r="SFX107" s="395"/>
      <c r="SFY107" s="395"/>
      <c r="SFZ107" s="395"/>
      <c r="SGA107" s="395"/>
      <c r="SGB107" s="395"/>
      <c r="SGC107" s="395"/>
      <c r="SGD107" s="395"/>
      <c r="SGE107" s="395"/>
      <c r="SGF107" s="395"/>
      <c r="SGG107" s="395"/>
      <c r="SGH107" s="395"/>
      <c r="SGI107" s="395"/>
      <c r="SGJ107" s="395"/>
      <c r="SGK107" s="395"/>
      <c r="SGL107" s="395"/>
      <c r="SGM107" s="395"/>
      <c r="SGN107" s="395"/>
      <c r="SGO107" s="396"/>
      <c r="SGP107" s="394"/>
      <c r="SGQ107" s="395"/>
      <c r="SGR107" s="395"/>
      <c r="SGS107" s="395"/>
      <c r="SGT107" s="395"/>
      <c r="SGU107" s="395"/>
      <c r="SGV107" s="395"/>
      <c r="SGW107" s="395"/>
      <c r="SGX107" s="395"/>
      <c r="SGY107" s="395"/>
      <c r="SGZ107" s="395"/>
      <c r="SHA107" s="395"/>
      <c r="SHB107" s="395"/>
      <c r="SHC107" s="395"/>
      <c r="SHD107" s="395"/>
      <c r="SHE107" s="395"/>
      <c r="SHF107" s="395"/>
      <c r="SHG107" s="395"/>
      <c r="SHH107" s="395"/>
      <c r="SHI107" s="395"/>
      <c r="SHJ107" s="395"/>
      <c r="SHK107" s="395"/>
      <c r="SHL107" s="395"/>
      <c r="SHM107" s="395"/>
      <c r="SHN107" s="395"/>
      <c r="SHO107" s="395"/>
      <c r="SHP107" s="396"/>
      <c r="SHQ107" s="394"/>
      <c r="SHR107" s="395"/>
      <c r="SHS107" s="395"/>
      <c r="SHT107" s="395"/>
      <c r="SHU107" s="395"/>
      <c r="SHV107" s="395"/>
      <c r="SHW107" s="395"/>
      <c r="SHX107" s="395"/>
      <c r="SHY107" s="395"/>
      <c r="SHZ107" s="395"/>
      <c r="SIA107" s="395"/>
      <c r="SIB107" s="395"/>
      <c r="SIC107" s="395"/>
      <c r="SID107" s="395"/>
      <c r="SIE107" s="395"/>
      <c r="SIF107" s="395"/>
      <c r="SIG107" s="395"/>
      <c r="SIH107" s="395"/>
      <c r="SII107" s="395"/>
      <c r="SIJ107" s="395"/>
      <c r="SIK107" s="395"/>
      <c r="SIL107" s="395"/>
      <c r="SIM107" s="395"/>
      <c r="SIN107" s="395"/>
      <c r="SIO107" s="395"/>
      <c r="SIP107" s="395"/>
      <c r="SIQ107" s="396"/>
      <c r="SIR107" s="394"/>
      <c r="SIS107" s="395"/>
      <c r="SIT107" s="395"/>
      <c r="SIU107" s="395"/>
      <c r="SIV107" s="395"/>
      <c r="SIW107" s="395"/>
      <c r="SIX107" s="395"/>
      <c r="SIY107" s="395"/>
      <c r="SIZ107" s="395"/>
      <c r="SJA107" s="395"/>
      <c r="SJB107" s="395"/>
      <c r="SJC107" s="395"/>
      <c r="SJD107" s="395"/>
      <c r="SJE107" s="395"/>
      <c r="SJF107" s="395"/>
      <c r="SJG107" s="395"/>
      <c r="SJH107" s="395"/>
      <c r="SJI107" s="395"/>
      <c r="SJJ107" s="395"/>
      <c r="SJK107" s="395"/>
      <c r="SJL107" s="395"/>
      <c r="SJM107" s="395"/>
      <c r="SJN107" s="395"/>
      <c r="SJO107" s="395"/>
      <c r="SJP107" s="395"/>
      <c r="SJQ107" s="395"/>
      <c r="SJR107" s="396"/>
      <c r="SJS107" s="394"/>
      <c r="SJT107" s="395"/>
      <c r="SJU107" s="395"/>
      <c r="SJV107" s="395"/>
      <c r="SJW107" s="395"/>
      <c r="SJX107" s="395"/>
      <c r="SJY107" s="395"/>
      <c r="SJZ107" s="395"/>
      <c r="SKA107" s="395"/>
      <c r="SKB107" s="395"/>
      <c r="SKC107" s="395"/>
      <c r="SKD107" s="395"/>
      <c r="SKE107" s="395"/>
      <c r="SKF107" s="395"/>
      <c r="SKG107" s="395"/>
      <c r="SKH107" s="395"/>
      <c r="SKI107" s="395"/>
      <c r="SKJ107" s="395"/>
      <c r="SKK107" s="395"/>
      <c r="SKL107" s="395"/>
      <c r="SKM107" s="395"/>
      <c r="SKN107" s="395"/>
      <c r="SKO107" s="395"/>
      <c r="SKP107" s="395"/>
      <c r="SKQ107" s="395"/>
      <c r="SKR107" s="395"/>
      <c r="SKS107" s="396"/>
      <c r="SKT107" s="394"/>
      <c r="SKU107" s="395"/>
      <c r="SKV107" s="395"/>
      <c r="SKW107" s="395"/>
      <c r="SKX107" s="395"/>
      <c r="SKY107" s="395"/>
      <c r="SKZ107" s="395"/>
      <c r="SLA107" s="395"/>
      <c r="SLB107" s="395"/>
      <c r="SLC107" s="395"/>
      <c r="SLD107" s="395"/>
      <c r="SLE107" s="395"/>
      <c r="SLF107" s="395"/>
      <c r="SLG107" s="395"/>
      <c r="SLH107" s="395"/>
      <c r="SLI107" s="395"/>
      <c r="SLJ107" s="395"/>
      <c r="SLK107" s="395"/>
      <c r="SLL107" s="395"/>
      <c r="SLM107" s="395"/>
      <c r="SLN107" s="395"/>
      <c r="SLO107" s="395"/>
      <c r="SLP107" s="395"/>
      <c r="SLQ107" s="395"/>
      <c r="SLR107" s="395"/>
      <c r="SLS107" s="395"/>
      <c r="SLT107" s="396"/>
      <c r="SLU107" s="394"/>
      <c r="SLV107" s="395"/>
      <c r="SLW107" s="395"/>
      <c r="SLX107" s="395"/>
      <c r="SLY107" s="395"/>
      <c r="SLZ107" s="395"/>
      <c r="SMA107" s="395"/>
      <c r="SMB107" s="395"/>
      <c r="SMC107" s="395"/>
      <c r="SMD107" s="395"/>
      <c r="SME107" s="395"/>
      <c r="SMF107" s="395"/>
      <c r="SMG107" s="395"/>
      <c r="SMH107" s="395"/>
      <c r="SMI107" s="395"/>
      <c r="SMJ107" s="395"/>
      <c r="SMK107" s="395"/>
      <c r="SML107" s="395"/>
      <c r="SMM107" s="395"/>
      <c r="SMN107" s="395"/>
      <c r="SMO107" s="395"/>
      <c r="SMP107" s="395"/>
      <c r="SMQ107" s="395"/>
      <c r="SMR107" s="395"/>
      <c r="SMS107" s="395"/>
      <c r="SMT107" s="395"/>
      <c r="SMU107" s="396"/>
      <c r="SMV107" s="394"/>
      <c r="SMW107" s="395"/>
      <c r="SMX107" s="395"/>
      <c r="SMY107" s="395"/>
      <c r="SMZ107" s="395"/>
      <c r="SNA107" s="395"/>
      <c r="SNB107" s="395"/>
      <c r="SNC107" s="395"/>
      <c r="SND107" s="395"/>
      <c r="SNE107" s="395"/>
      <c r="SNF107" s="395"/>
      <c r="SNG107" s="395"/>
      <c r="SNH107" s="395"/>
      <c r="SNI107" s="395"/>
      <c r="SNJ107" s="395"/>
      <c r="SNK107" s="395"/>
      <c r="SNL107" s="395"/>
      <c r="SNM107" s="395"/>
      <c r="SNN107" s="395"/>
      <c r="SNO107" s="395"/>
      <c r="SNP107" s="395"/>
      <c r="SNQ107" s="395"/>
      <c r="SNR107" s="395"/>
      <c r="SNS107" s="395"/>
      <c r="SNT107" s="395"/>
      <c r="SNU107" s="395"/>
      <c r="SNV107" s="396"/>
      <c r="SNW107" s="394"/>
      <c r="SNX107" s="395"/>
      <c r="SNY107" s="395"/>
      <c r="SNZ107" s="395"/>
      <c r="SOA107" s="395"/>
      <c r="SOB107" s="395"/>
      <c r="SOC107" s="395"/>
      <c r="SOD107" s="395"/>
      <c r="SOE107" s="395"/>
      <c r="SOF107" s="395"/>
      <c r="SOG107" s="395"/>
      <c r="SOH107" s="395"/>
      <c r="SOI107" s="395"/>
      <c r="SOJ107" s="395"/>
      <c r="SOK107" s="395"/>
      <c r="SOL107" s="395"/>
      <c r="SOM107" s="395"/>
      <c r="SON107" s="395"/>
      <c r="SOO107" s="395"/>
      <c r="SOP107" s="395"/>
      <c r="SOQ107" s="395"/>
      <c r="SOR107" s="395"/>
      <c r="SOS107" s="395"/>
      <c r="SOT107" s="395"/>
      <c r="SOU107" s="395"/>
      <c r="SOV107" s="395"/>
      <c r="SOW107" s="396"/>
      <c r="SOX107" s="394"/>
      <c r="SOY107" s="395"/>
      <c r="SOZ107" s="395"/>
      <c r="SPA107" s="395"/>
      <c r="SPB107" s="395"/>
      <c r="SPC107" s="395"/>
      <c r="SPD107" s="395"/>
      <c r="SPE107" s="395"/>
      <c r="SPF107" s="395"/>
      <c r="SPG107" s="395"/>
      <c r="SPH107" s="395"/>
      <c r="SPI107" s="395"/>
      <c r="SPJ107" s="395"/>
      <c r="SPK107" s="395"/>
      <c r="SPL107" s="395"/>
      <c r="SPM107" s="395"/>
      <c r="SPN107" s="395"/>
      <c r="SPO107" s="395"/>
      <c r="SPP107" s="395"/>
      <c r="SPQ107" s="395"/>
      <c r="SPR107" s="395"/>
      <c r="SPS107" s="395"/>
      <c r="SPT107" s="395"/>
      <c r="SPU107" s="395"/>
      <c r="SPV107" s="395"/>
      <c r="SPW107" s="395"/>
      <c r="SPX107" s="396"/>
      <c r="SPY107" s="394"/>
      <c r="SPZ107" s="395"/>
      <c r="SQA107" s="395"/>
      <c r="SQB107" s="395"/>
      <c r="SQC107" s="395"/>
      <c r="SQD107" s="395"/>
      <c r="SQE107" s="395"/>
      <c r="SQF107" s="395"/>
      <c r="SQG107" s="395"/>
      <c r="SQH107" s="395"/>
      <c r="SQI107" s="395"/>
      <c r="SQJ107" s="395"/>
      <c r="SQK107" s="395"/>
      <c r="SQL107" s="395"/>
      <c r="SQM107" s="395"/>
      <c r="SQN107" s="395"/>
      <c r="SQO107" s="395"/>
      <c r="SQP107" s="395"/>
      <c r="SQQ107" s="395"/>
      <c r="SQR107" s="395"/>
      <c r="SQS107" s="395"/>
      <c r="SQT107" s="395"/>
      <c r="SQU107" s="395"/>
      <c r="SQV107" s="395"/>
      <c r="SQW107" s="395"/>
      <c r="SQX107" s="395"/>
      <c r="SQY107" s="396"/>
      <c r="SQZ107" s="394"/>
      <c r="SRA107" s="395"/>
      <c r="SRB107" s="395"/>
      <c r="SRC107" s="395"/>
      <c r="SRD107" s="395"/>
      <c r="SRE107" s="395"/>
      <c r="SRF107" s="395"/>
      <c r="SRG107" s="395"/>
      <c r="SRH107" s="395"/>
      <c r="SRI107" s="395"/>
      <c r="SRJ107" s="395"/>
      <c r="SRK107" s="395"/>
      <c r="SRL107" s="395"/>
      <c r="SRM107" s="395"/>
      <c r="SRN107" s="395"/>
      <c r="SRO107" s="395"/>
      <c r="SRP107" s="395"/>
      <c r="SRQ107" s="395"/>
      <c r="SRR107" s="395"/>
      <c r="SRS107" s="395"/>
      <c r="SRT107" s="395"/>
      <c r="SRU107" s="395"/>
      <c r="SRV107" s="395"/>
      <c r="SRW107" s="395"/>
      <c r="SRX107" s="395"/>
      <c r="SRY107" s="395"/>
      <c r="SRZ107" s="396"/>
      <c r="SSA107" s="394"/>
      <c r="SSB107" s="395"/>
      <c r="SSC107" s="395"/>
      <c r="SSD107" s="395"/>
      <c r="SSE107" s="395"/>
      <c r="SSF107" s="395"/>
      <c r="SSG107" s="395"/>
      <c r="SSH107" s="395"/>
      <c r="SSI107" s="395"/>
      <c r="SSJ107" s="395"/>
      <c r="SSK107" s="395"/>
      <c r="SSL107" s="395"/>
      <c r="SSM107" s="395"/>
      <c r="SSN107" s="395"/>
      <c r="SSO107" s="395"/>
      <c r="SSP107" s="395"/>
      <c r="SSQ107" s="395"/>
      <c r="SSR107" s="395"/>
      <c r="SSS107" s="395"/>
      <c r="SST107" s="395"/>
      <c r="SSU107" s="395"/>
      <c r="SSV107" s="395"/>
      <c r="SSW107" s="395"/>
      <c r="SSX107" s="395"/>
      <c r="SSY107" s="395"/>
      <c r="SSZ107" s="395"/>
      <c r="STA107" s="396"/>
      <c r="STB107" s="394"/>
      <c r="STC107" s="395"/>
      <c r="STD107" s="395"/>
      <c r="STE107" s="395"/>
      <c r="STF107" s="395"/>
      <c r="STG107" s="395"/>
      <c r="STH107" s="395"/>
      <c r="STI107" s="395"/>
      <c r="STJ107" s="395"/>
      <c r="STK107" s="395"/>
      <c r="STL107" s="395"/>
      <c r="STM107" s="395"/>
      <c r="STN107" s="395"/>
      <c r="STO107" s="395"/>
      <c r="STP107" s="395"/>
      <c r="STQ107" s="395"/>
      <c r="STR107" s="395"/>
      <c r="STS107" s="395"/>
      <c r="STT107" s="395"/>
      <c r="STU107" s="395"/>
      <c r="STV107" s="395"/>
      <c r="STW107" s="395"/>
      <c r="STX107" s="395"/>
      <c r="STY107" s="395"/>
      <c r="STZ107" s="395"/>
      <c r="SUA107" s="395"/>
      <c r="SUB107" s="396"/>
      <c r="SUC107" s="394"/>
      <c r="SUD107" s="395"/>
      <c r="SUE107" s="395"/>
      <c r="SUF107" s="395"/>
      <c r="SUG107" s="395"/>
      <c r="SUH107" s="395"/>
      <c r="SUI107" s="395"/>
      <c r="SUJ107" s="395"/>
      <c r="SUK107" s="395"/>
      <c r="SUL107" s="395"/>
      <c r="SUM107" s="395"/>
      <c r="SUN107" s="395"/>
      <c r="SUO107" s="395"/>
      <c r="SUP107" s="395"/>
      <c r="SUQ107" s="395"/>
      <c r="SUR107" s="395"/>
      <c r="SUS107" s="395"/>
      <c r="SUT107" s="395"/>
      <c r="SUU107" s="395"/>
      <c r="SUV107" s="395"/>
      <c r="SUW107" s="395"/>
      <c r="SUX107" s="395"/>
      <c r="SUY107" s="395"/>
      <c r="SUZ107" s="395"/>
      <c r="SVA107" s="395"/>
      <c r="SVB107" s="395"/>
      <c r="SVC107" s="396"/>
      <c r="SVD107" s="394"/>
      <c r="SVE107" s="395"/>
      <c r="SVF107" s="395"/>
      <c r="SVG107" s="395"/>
      <c r="SVH107" s="395"/>
      <c r="SVI107" s="395"/>
      <c r="SVJ107" s="395"/>
      <c r="SVK107" s="395"/>
      <c r="SVL107" s="395"/>
      <c r="SVM107" s="395"/>
      <c r="SVN107" s="395"/>
      <c r="SVO107" s="395"/>
      <c r="SVP107" s="395"/>
      <c r="SVQ107" s="395"/>
      <c r="SVR107" s="395"/>
      <c r="SVS107" s="395"/>
      <c r="SVT107" s="395"/>
      <c r="SVU107" s="395"/>
      <c r="SVV107" s="395"/>
      <c r="SVW107" s="395"/>
      <c r="SVX107" s="395"/>
      <c r="SVY107" s="395"/>
      <c r="SVZ107" s="395"/>
      <c r="SWA107" s="395"/>
      <c r="SWB107" s="395"/>
      <c r="SWC107" s="395"/>
      <c r="SWD107" s="396"/>
      <c r="SWE107" s="394"/>
      <c r="SWF107" s="395"/>
      <c r="SWG107" s="395"/>
      <c r="SWH107" s="395"/>
      <c r="SWI107" s="395"/>
      <c r="SWJ107" s="395"/>
      <c r="SWK107" s="395"/>
      <c r="SWL107" s="395"/>
      <c r="SWM107" s="395"/>
      <c r="SWN107" s="395"/>
      <c r="SWO107" s="395"/>
      <c r="SWP107" s="395"/>
      <c r="SWQ107" s="395"/>
      <c r="SWR107" s="395"/>
      <c r="SWS107" s="395"/>
      <c r="SWT107" s="395"/>
      <c r="SWU107" s="395"/>
      <c r="SWV107" s="395"/>
      <c r="SWW107" s="395"/>
      <c r="SWX107" s="395"/>
      <c r="SWY107" s="395"/>
      <c r="SWZ107" s="395"/>
      <c r="SXA107" s="395"/>
      <c r="SXB107" s="395"/>
      <c r="SXC107" s="395"/>
      <c r="SXD107" s="395"/>
      <c r="SXE107" s="396"/>
      <c r="SXF107" s="394"/>
      <c r="SXG107" s="395"/>
      <c r="SXH107" s="395"/>
      <c r="SXI107" s="395"/>
      <c r="SXJ107" s="395"/>
      <c r="SXK107" s="395"/>
      <c r="SXL107" s="395"/>
      <c r="SXM107" s="395"/>
      <c r="SXN107" s="395"/>
      <c r="SXO107" s="395"/>
      <c r="SXP107" s="395"/>
      <c r="SXQ107" s="395"/>
      <c r="SXR107" s="395"/>
      <c r="SXS107" s="395"/>
      <c r="SXT107" s="395"/>
      <c r="SXU107" s="395"/>
      <c r="SXV107" s="395"/>
      <c r="SXW107" s="395"/>
      <c r="SXX107" s="395"/>
      <c r="SXY107" s="395"/>
      <c r="SXZ107" s="395"/>
      <c r="SYA107" s="395"/>
      <c r="SYB107" s="395"/>
      <c r="SYC107" s="395"/>
      <c r="SYD107" s="395"/>
      <c r="SYE107" s="395"/>
      <c r="SYF107" s="396"/>
      <c r="SYG107" s="394"/>
      <c r="SYH107" s="395"/>
      <c r="SYI107" s="395"/>
      <c r="SYJ107" s="395"/>
      <c r="SYK107" s="395"/>
      <c r="SYL107" s="395"/>
      <c r="SYM107" s="395"/>
      <c r="SYN107" s="395"/>
      <c r="SYO107" s="395"/>
      <c r="SYP107" s="395"/>
      <c r="SYQ107" s="395"/>
      <c r="SYR107" s="395"/>
      <c r="SYS107" s="395"/>
      <c r="SYT107" s="395"/>
      <c r="SYU107" s="395"/>
      <c r="SYV107" s="395"/>
      <c r="SYW107" s="395"/>
      <c r="SYX107" s="395"/>
      <c r="SYY107" s="395"/>
      <c r="SYZ107" s="395"/>
      <c r="SZA107" s="395"/>
      <c r="SZB107" s="395"/>
      <c r="SZC107" s="395"/>
      <c r="SZD107" s="395"/>
      <c r="SZE107" s="395"/>
      <c r="SZF107" s="395"/>
      <c r="SZG107" s="396"/>
      <c r="SZH107" s="394"/>
      <c r="SZI107" s="395"/>
      <c r="SZJ107" s="395"/>
      <c r="SZK107" s="395"/>
      <c r="SZL107" s="395"/>
      <c r="SZM107" s="395"/>
      <c r="SZN107" s="395"/>
      <c r="SZO107" s="395"/>
      <c r="SZP107" s="395"/>
      <c r="SZQ107" s="395"/>
      <c r="SZR107" s="395"/>
      <c r="SZS107" s="395"/>
      <c r="SZT107" s="395"/>
      <c r="SZU107" s="395"/>
      <c r="SZV107" s="395"/>
      <c r="SZW107" s="395"/>
      <c r="SZX107" s="395"/>
      <c r="SZY107" s="395"/>
      <c r="SZZ107" s="395"/>
      <c r="TAA107" s="395"/>
      <c r="TAB107" s="395"/>
      <c r="TAC107" s="395"/>
      <c r="TAD107" s="395"/>
      <c r="TAE107" s="395"/>
      <c r="TAF107" s="395"/>
      <c r="TAG107" s="395"/>
      <c r="TAH107" s="396"/>
      <c r="TAI107" s="394"/>
      <c r="TAJ107" s="395"/>
      <c r="TAK107" s="395"/>
      <c r="TAL107" s="395"/>
      <c r="TAM107" s="395"/>
      <c r="TAN107" s="395"/>
      <c r="TAO107" s="395"/>
      <c r="TAP107" s="395"/>
      <c r="TAQ107" s="395"/>
      <c r="TAR107" s="395"/>
      <c r="TAS107" s="395"/>
      <c r="TAT107" s="395"/>
      <c r="TAU107" s="395"/>
      <c r="TAV107" s="395"/>
      <c r="TAW107" s="395"/>
      <c r="TAX107" s="395"/>
      <c r="TAY107" s="395"/>
      <c r="TAZ107" s="395"/>
      <c r="TBA107" s="395"/>
      <c r="TBB107" s="395"/>
      <c r="TBC107" s="395"/>
      <c r="TBD107" s="395"/>
      <c r="TBE107" s="395"/>
      <c r="TBF107" s="395"/>
      <c r="TBG107" s="395"/>
      <c r="TBH107" s="395"/>
      <c r="TBI107" s="396"/>
      <c r="TBJ107" s="394"/>
      <c r="TBK107" s="395"/>
      <c r="TBL107" s="395"/>
      <c r="TBM107" s="395"/>
      <c r="TBN107" s="395"/>
      <c r="TBO107" s="395"/>
      <c r="TBP107" s="395"/>
      <c r="TBQ107" s="395"/>
      <c r="TBR107" s="395"/>
      <c r="TBS107" s="395"/>
      <c r="TBT107" s="395"/>
      <c r="TBU107" s="395"/>
      <c r="TBV107" s="395"/>
      <c r="TBW107" s="395"/>
      <c r="TBX107" s="395"/>
      <c r="TBY107" s="395"/>
      <c r="TBZ107" s="395"/>
      <c r="TCA107" s="395"/>
      <c r="TCB107" s="395"/>
      <c r="TCC107" s="395"/>
      <c r="TCD107" s="395"/>
      <c r="TCE107" s="395"/>
      <c r="TCF107" s="395"/>
      <c r="TCG107" s="395"/>
      <c r="TCH107" s="395"/>
      <c r="TCI107" s="395"/>
      <c r="TCJ107" s="396"/>
      <c r="TCK107" s="394"/>
      <c r="TCL107" s="395"/>
      <c r="TCM107" s="395"/>
      <c r="TCN107" s="395"/>
      <c r="TCO107" s="395"/>
      <c r="TCP107" s="395"/>
      <c r="TCQ107" s="395"/>
      <c r="TCR107" s="395"/>
      <c r="TCS107" s="395"/>
      <c r="TCT107" s="395"/>
      <c r="TCU107" s="395"/>
      <c r="TCV107" s="395"/>
      <c r="TCW107" s="395"/>
      <c r="TCX107" s="395"/>
      <c r="TCY107" s="395"/>
      <c r="TCZ107" s="395"/>
      <c r="TDA107" s="395"/>
      <c r="TDB107" s="395"/>
      <c r="TDC107" s="395"/>
      <c r="TDD107" s="395"/>
      <c r="TDE107" s="395"/>
      <c r="TDF107" s="395"/>
      <c r="TDG107" s="395"/>
      <c r="TDH107" s="395"/>
      <c r="TDI107" s="395"/>
      <c r="TDJ107" s="395"/>
      <c r="TDK107" s="396"/>
      <c r="TDL107" s="394"/>
      <c r="TDM107" s="395"/>
      <c r="TDN107" s="395"/>
      <c r="TDO107" s="395"/>
      <c r="TDP107" s="395"/>
      <c r="TDQ107" s="395"/>
      <c r="TDR107" s="395"/>
      <c r="TDS107" s="395"/>
      <c r="TDT107" s="395"/>
      <c r="TDU107" s="395"/>
      <c r="TDV107" s="395"/>
      <c r="TDW107" s="395"/>
      <c r="TDX107" s="395"/>
      <c r="TDY107" s="395"/>
      <c r="TDZ107" s="395"/>
      <c r="TEA107" s="395"/>
      <c r="TEB107" s="395"/>
      <c r="TEC107" s="395"/>
      <c r="TED107" s="395"/>
      <c r="TEE107" s="395"/>
      <c r="TEF107" s="395"/>
      <c r="TEG107" s="395"/>
      <c r="TEH107" s="395"/>
      <c r="TEI107" s="395"/>
      <c r="TEJ107" s="395"/>
      <c r="TEK107" s="395"/>
      <c r="TEL107" s="396"/>
      <c r="TEM107" s="394"/>
      <c r="TEN107" s="395"/>
      <c r="TEO107" s="395"/>
      <c r="TEP107" s="395"/>
      <c r="TEQ107" s="395"/>
      <c r="TER107" s="395"/>
      <c r="TES107" s="395"/>
      <c r="TET107" s="395"/>
      <c r="TEU107" s="395"/>
      <c r="TEV107" s="395"/>
      <c r="TEW107" s="395"/>
      <c r="TEX107" s="395"/>
      <c r="TEY107" s="395"/>
      <c r="TEZ107" s="395"/>
      <c r="TFA107" s="395"/>
      <c r="TFB107" s="395"/>
      <c r="TFC107" s="395"/>
      <c r="TFD107" s="395"/>
      <c r="TFE107" s="395"/>
      <c r="TFF107" s="395"/>
      <c r="TFG107" s="395"/>
      <c r="TFH107" s="395"/>
      <c r="TFI107" s="395"/>
      <c r="TFJ107" s="395"/>
      <c r="TFK107" s="395"/>
      <c r="TFL107" s="395"/>
      <c r="TFM107" s="396"/>
      <c r="TFN107" s="394"/>
      <c r="TFO107" s="395"/>
      <c r="TFP107" s="395"/>
      <c r="TFQ107" s="395"/>
      <c r="TFR107" s="395"/>
      <c r="TFS107" s="395"/>
      <c r="TFT107" s="395"/>
      <c r="TFU107" s="395"/>
      <c r="TFV107" s="395"/>
      <c r="TFW107" s="395"/>
      <c r="TFX107" s="395"/>
      <c r="TFY107" s="395"/>
      <c r="TFZ107" s="395"/>
      <c r="TGA107" s="395"/>
      <c r="TGB107" s="395"/>
      <c r="TGC107" s="395"/>
      <c r="TGD107" s="395"/>
      <c r="TGE107" s="395"/>
      <c r="TGF107" s="395"/>
      <c r="TGG107" s="395"/>
      <c r="TGH107" s="395"/>
      <c r="TGI107" s="395"/>
      <c r="TGJ107" s="395"/>
      <c r="TGK107" s="395"/>
      <c r="TGL107" s="395"/>
      <c r="TGM107" s="395"/>
      <c r="TGN107" s="396"/>
      <c r="TGO107" s="394"/>
      <c r="TGP107" s="395"/>
      <c r="TGQ107" s="395"/>
      <c r="TGR107" s="395"/>
      <c r="TGS107" s="395"/>
      <c r="TGT107" s="395"/>
      <c r="TGU107" s="395"/>
      <c r="TGV107" s="395"/>
      <c r="TGW107" s="395"/>
      <c r="TGX107" s="395"/>
      <c r="TGY107" s="395"/>
      <c r="TGZ107" s="395"/>
      <c r="THA107" s="395"/>
      <c r="THB107" s="395"/>
      <c r="THC107" s="395"/>
      <c r="THD107" s="395"/>
      <c r="THE107" s="395"/>
      <c r="THF107" s="395"/>
      <c r="THG107" s="395"/>
      <c r="THH107" s="395"/>
      <c r="THI107" s="395"/>
      <c r="THJ107" s="395"/>
      <c r="THK107" s="395"/>
      <c r="THL107" s="395"/>
      <c r="THM107" s="395"/>
      <c r="THN107" s="395"/>
      <c r="THO107" s="396"/>
      <c r="THP107" s="394"/>
      <c r="THQ107" s="395"/>
      <c r="THR107" s="395"/>
      <c r="THS107" s="395"/>
      <c r="THT107" s="395"/>
      <c r="THU107" s="395"/>
      <c r="THV107" s="395"/>
      <c r="THW107" s="395"/>
      <c r="THX107" s="395"/>
      <c r="THY107" s="395"/>
      <c r="THZ107" s="395"/>
      <c r="TIA107" s="395"/>
      <c r="TIB107" s="395"/>
      <c r="TIC107" s="395"/>
      <c r="TID107" s="395"/>
      <c r="TIE107" s="395"/>
      <c r="TIF107" s="395"/>
      <c r="TIG107" s="395"/>
      <c r="TIH107" s="395"/>
      <c r="TII107" s="395"/>
      <c r="TIJ107" s="395"/>
      <c r="TIK107" s="395"/>
      <c r="TIL107" s="395"/>
      <c r="TIM107" s="395"/>
      <c r="TIN107" s="395"/>
      <c r="TIO107" s="395"/>
      <c r="TIP107" s="396"/>
      <c r="TIQ107" s="394"/>
      <c r="TIR107" s="395"/>
      <c r="TIS107" s="395"/>
      <c r="TIT107" s="395"/>
      <c r="TIU107" s="395"/>
      <c r="TIV107" s="395"/>
      <c r="TIW107" s="395"/>
      <c r="TIX107" s="395"/>
      <c r="TIY107" s="395"/>
      <c r="TIZ107" s="395"/>
      <c r="TJA107" s="395"/>
      <c r="TJB107" s="395"/>
      <c r="TJC107" s="395"/>
      <c r="TJD107" s="395"/>
      <c r="TJE107" s="395"/>
      <c r="TJF107" s="395"/>
      <c r="TJG107" s="395"/>
      <c r="TJH107" s="395"/>
      <c r="TJI107" s="395"/>
      <c r="TJJ107" s="395"/>
      <c r="TJK107" s="395"/>
      <c r="TJL107" s="395"/>
      <c r="TJM107" s="395"/>
      <c r="TJN107" s="395"/>
      <c r="TJO107" s="395"/>
      <c r="TJP107" s="395"/>
      <c r="TJQ107" s="396"/>
      <c r="TJR107" s="394"/>
      <c r="TJS107" s="395"/>
      <c r="TJT107" s="395"/>
      <c r="TJU107" s="395"/>
      <c r="TJV107" s="395"/>
      <c r="TJW107" s="395"/>
      <c r="TJX107" s="395"/>
      <c r="TJY107" s="395"/>
      <c r="TJZ107" s="395"/>
      <c r="TKA107" s="395"/>
      <c r="TKB107" s="395"/>
      <c r="TKC107" s="395"/>
      <c r="TKD107" s="395"/>
      <c r="TKE107" s="395"/>
      <c r="TKF107" s="395"/>
      <c r="TKG107" s="395"/>
      <c r="TKH107" s="395"/>
      <c r="TKI107" s="395"/>
      <c r="TKJ107" s="395"/>
      <c r="TKK107" s="395"/>
      <c r="TKL107" s="395"/>
      <c r="TKM107" s="395"/>
      <c r="TKN107" s="395"/>
      <c r="TKO107" s="395"/>
      <c r="TKP107" s="395"/>
      <c r="TKQ107" s="395"/>
      <c r="TKR107" s="396"/>
      <c r="TKS107" s="394"/>
      <c r="TKT107" s="395"/>
      <c r="TKU107" s="395"/>
      <c r="TKV107" s="395"/>
      <c r="TKW107" s="395"/>
      <c r="TKX107" s="395"/>
      <c r="TKY107" s="395"/>
      <c r="TKZ107" s="395"/>
      <c r="TLA107" s="395"/>
      <c r="TLB107" s="395"/>
      <c r="TLC107" s="395"/>
      <c r="TLD107" s="395"/>
      <c r="TLE107" s="395"/>
      <c r="TLF107" s="395"/>
      <c r="TLG107" s="395"/>
      <c r="TLH107" s="395"/>
      <c r="TLI107" s="395"/>
      <c r="TLJ107" s="395"/>
      <c r="TLK107" s="395"/>
      <c r="TLL107" s="395"/>
      <c r="TLM107" s="395"/>
      <c r="TLN107" s="395"/>
      <c r="TLO107" s="395"/>
      <c r="TLP107" s="395"/>
      <c r="TLQ107" s="395"/>
      <c r="TLR107" s="395"/>
      <c r="TLS107" s="396"/>
      <c r="TLT107" s="394"/>
      <c r="TLU107" s="395"/>
      <c r="TLV107" s="395"/>
      <c r="TLW107" s="395"/>
      <c r="TLX107" s="395"/>
      <c r="TLY107" s="395"/>
      <c r="TLZ107" s="395"/>
      <c r="TMA107" s="395"/>
      <c r="TMB107" s="395"/>
      <c r="TMC107" s="395"/>
      <c r="TMD107" s="395"/>
      <c r="TME107" s="395"/>
      <c r="TMF107" s="395"/>
      <c r="TMG107" s="395"/>
      <c r="TMH107" s="395"/>
      <c r="TMI107" s="395"/>
      <c r="TMJ107" s="395"/>
      <c r="TMK107" s="395"/>
      <c r="TML107" s="395"/>
      <c r="TMM107" s="395"/>
      <c r="TMN107" s="395"/>
      <c r="TMO107" s="395"/>
      <c r="TMP107" s="395"/>
      <c r="TMQ107" s="395"/>
      <c r="TMR107" s="395"/>
      <c r="TMS107" s="395"/>
      <c r="TMT107" s="396"/>
      <c r="TMU107" s="394"/>
      <c r="TMV107" s="395"/>
      <c r="TMW107" s="395"/>
      <c r="TMX107" s="395"/>
      <c r="TMY107" s="395"/>
      <c r="TMZ107" s="395"/>
      <c r="TNA107" s="395"/>
      <c r="TNB107" s="395"/>
      <c r="TNC107" s="395"/>
      <c r="TND107" s="395"/>
      <c r="TNE107" s="395"/>
      <c r="TNF107" s="395"/>
      <c r="TNG107" s="395"/>
      <c r="TNH107" s="395"/>
      <c r="TNI107" s="395"/>
      <c r="TNJ107" s="395"/>
      <c r="TNK107" s="395"/>
      <c r="TNL107" s="395"/>
      <c r="TNM107" s="395"/>
      <c r="TNN107" s="395"/>
      <c r="TNO107" s="395"/>
      <c r="TNP107" s="395"/>
      <c r="TNQ107" s="395"/>
      <c r="TNR107" s="395"/>
      <c r="TNS107" s="395"/>
      <c r="TNT107" s="395"/>
      <c r="TNU107" s="396"/>
      <c r="TNV107" s="394"/>
      <c r="TNW107" s="395"/>
      <c r="TNX107" s="395"/>
      <c r="TNY107" s="395"/>
      <c r="TNZ107" s="395"/>
      <c r="TOA107" s="395"/>
      <c r="TOB107" s="395"/>
      <c r="TOC107" s="395"/>
      <c r="TOD107" s="395"/>
      <c r="TOE107" s="395"/>
      <c r="TOF107" s="395"/>
      <c r="TOG107" s="395"/>
      <c r="TOH107" s="395"/>
      <c r="TOI107" s="395"/>
      <c r="TOJ107" s="395"/>
      <c r="TOK107" s="395"/>
      <c r="TOL107" s="395"/>
      <c r="TOM107" s="395"/>
      <c r="TON107" s="395"/>
      <c r="TOO107" s="395"/>
      <c r="TOP107" s="395"/>
      <c r="TOQ107" s="395"/>
      <c r="TOR107" s="395"/>
      <c r="TOS107" s="395"/>
      <c r="TOT107" s="395"/>
      <c r="TOU107" s="395"/>
      <c r="TOV107" s="396"/>
      <c r="TOW107" s="394"/>
      <c r="TOX107" s="395"/>
      <c r="TOY107" s="395"/>
      <c r="TOZ107" s="395"/>
      <c r="TPA107" s="395"/>
      <c r="TPB107" s="395"/>
      <c r="TPC107" s="395"/>
      <c r="TPD107" s="395"/>
      <c r="TPE107" s="395"/>
      <c r="TPF107" s="395"/>
      <c r="TPG107" s="395"/>
      <c r="TPH107" s="395"/>
      <c r="TPI107" s="395"/>
      <c r="TPJ107" s="395"/>
      <c r="TPK107" s="395"/>
      <c r="TPL107" s="395"/>
      <c r="TPM107" s="395"/>
      <c r="TPN107" s="395"/>
      <c r="TPO107" s="395"/>
      <c r="TPP107" s="395"/>
      <c r="TPQ107" s="395"/>
      <c r="TPR107" s="395"/>
      <c r="TPS107" s="395"/>
      <c r="TPT107" s="395"/>
      <c r="TPU107" s="395"/>
      <c r="TPV107" s="395"/>
      <c r="TPW107" s="396"/>
      <c r="TPX107" s="394"/>
      <c r="TPY107" s="395"/>
      <c r="TPZ107" s="395"/>
      <c r="TQA107" s="395"/>
      <c r="TQB107" s="395"/>
      <c r="TQC107" s="395"/>
      <c r="TQD107" s="395"/>
      <c r="TQE107" s="395"/>
      <c r="TQF107" s="395"/>
      <c r="TQG107" s="395"/>
      <c r="TQH107" s="395"/>
      <c r="TQI107" s="395"/>
      <c r="TQJ107" s="395"/>
      <c r="TQK107" s="395"/>
      <c r="TQL107" s="395"/>
      <c r="TQM107" s="395"/>
      <c r="TQN107" s="395"/>
      <c r="TQO107" s="395"/>
      <c r="TQP107" s="395"/>
      <c r="TQQ107" s="395"/>
      <c r="TQR107" s="395"/>
      <c r="TQS107" s="395"/>
      <c r="TQT107" s="395"/>
      <c r="TQU107" s="395"/>
      <c r="TQV107" s="395"/>
      <c r="TQW107" s="395"/>
      <c r="TQX107" s="396"/>
      <c r="TQY107" s="394"/>
      <c r="TQZ107" s="395"/>
      <c r="TRA107" s="395"/>
      <c r="TRB107" s="395"/>
      <c r="TRC107" s="395"/>
      <c r="TRD107" s="395"/>
      <c r="TRE107" s="395"/>
      <c r="TRF107" s="395"/>
      <c r="TRG107" s="395"/>
      <c r="TRH107" s="395"/>
      <c r="TRI107" s="395"/>
      <c r="TRJ107" s="395"/>
      <c r="TRK107" s="395"/>
      <c r="TRL107" s="395"/>
      <c r="TRM107" s="395"/>
      <c r="TRN107" s="395"/>
      <c r="TRO107" s="395"/>
      <c r="TRP107" s="395"/>
      <c r="TRQ107" s="395"/>
      <c r="TRR107" s="395"/>
      <c r="TRS107" s="395"/>
      <c r="TRT107" s="395"/>
      <c r="TRU107" s="395"/>
      <c r="TRV107" s="395"/>
      <c r="TRW107" s="395"/>
      <c r="TRX107" s="395"/>
      <c r="TRY107" s="396"/>
      <c r="TRZ107" s="394"/>
      <c r="TSA107" s="395"/>
      <c r="TSB107" s="395"/>
      <c r="TSC107" s="395"/>
      <c r="TSD107" s="395"/>
      <c r="TSE107" s="395"/>
      <c r="TSF107" s="395"/>
      <c r="TSG107" s="395"/>
      <c r="TSH107" s="395"/>
      <c r="TSI107" s="395"/>
      <c r="TSJ107" s="395"/>
      <c r="TSK107" s="395"/>
      <c r="TSL107" s="395"/>
      <c r="TSM107" s="395"/>
      <c r="TSN107" s="395"/>
      <c r="TSO107" s="395"/>
      <c r="TSP107" s="395"/>
      <c r="TSQ107" s="395"/>
      <c r="TSR107" s="395"/>
      <c r="TSS107" s="395"/>
      <c r="TST107" s="395"/>
      <c r="TSU107" s="395"/>
      <c r="TSV107" s="395"/>
      <c r="TSW107" s="395"/>
      <c r="TSX107" s="395"/>
      <c r="TSY107" s="395"/>
      <c r="TSZ107" s="396"/>
      <c r="TTA107" s="394"/>
      <c r="TTB107" s="395"/>
      <c r="TTC107" s="395"/>
      <c r="TTD107" s="395"/>
      <c r="TTE107" s="395"/>
      <c r="TTF107" s="395"/>
      <c r="TTG107" s="395"/>
      <c r="TTH107" s="395"/>
      <c r="TTI107" s="395"/>
      <c r="TTJ107" s="395"/>
      <c r="TTK107" s="395"/>
      <c r="TTL107" s="395"/>
      <c r="TTM107" s="395"/>
      <c r="TTN107" s="395"/>
      <c r="TTO107" s="395"/>
      <c r="TTP107" s="395"/>
      <c r="TTQ107" s="395"/>
      <c r="TTR107" s="395"/>
      <c r="TTS107" s="395"/>
      <c r="TTT107" s="395"/>
      <c r="TTU107" s="395"/>
      <c r="TTV107" s="395"/>
      <c r="TTW107" s="395"/>
      <c r="TTX107" s="395"/>
      <c r="TTY107" s="395"/>
      <c r="TTZ107" s="395"/>
      <c r="TUA107" s="396"/>
      <c r="TUB107" s="394"/>
      <c r="TUC107" s="395"/>
      <c r="TUD107" s="395"/>
      <c r="TUE107" s="395"/>
      <c r="TUF107" s="395"/>
      <c r="TUG107" s="395"/>
      <c r="TUH107" s="395"/>
      <c r="TUI107" s="395"/>
      <c r="TUJ107" s="395"/>
      <c r="TUK107" s="395"/>
      <c r="TUL107" s="395"/>
      <c r="TUM107" s="395"/>
      <c r="TUN107" s="395"/>
      <c r="TUO107" s="395"/>
      <c r="TUP107" s="395"/>
      <c r="TUQ107" s="395"/>
      <c r="TUR107" s="395"/>
      <c r="TUS107" s="395"/>
      <c r="TUT107" s="395"/>
      <c r="TUU107" s="395"/>
      <c r="TUV107" s="395"/>
      <c r="TUW107" s="395"/>
      <c r="TUX107" s="395"/>
      <c r="TUY107" s="395"/>
      <c r="TUZ107" s="395"/>
      <c r="TVA107" s="395"/>
      <c r="TVB107" s="396"/>
      <c r="TVC107" s="394"/>
      <c r="TVD107" s="395"/>
      <c r="TVE107" s="395"/>
      <c r="TVF107" s="395"/>
      <c r="TVG107" s="395"/>
      <c r="TVH107" s="395"/>
      <c r="TVI107" s="395"/>
      <c r="TVJ107" s="395"/>
      <c r="TVK107" s="395"/>
      <c r="TVL107" s="395"/>
      <c r="TVM107" s="395"/>
      <c r="TVN107" s="395"/>
      <c r="TVO107" s="395"/>
      <c r="TVP107" s="395"/>
      <c r="TVQ107" s="395"/>
      <c r="TVR107" s="395"/>
      <c r="TVS107" s="395"/>
      <c r="TVT107" s="395"/>
      <c r="TVU107" s="395"/>
      <c r="TVV107" s="395"/>
      <c r="TVW107" s="395"/>
      <c r="TVX107" s="395"/>
      <c r="TVY107" s="395"/>
      <c r="TVZ107" s="395"/>
      <c r="TWA107" s="395"/>
      <c r="TWB107" s="395"/>
      <c r="TWC107" s="396"/>
      <c r="TWD107" s="394"/>
      <c r="TWE107" s="395"/>
      <c r="TWF107" s="395"/>
      <c r="TWG107" s="395"/>
      <c r="TWH107" s="395"/>
      <c r="TWI107" s="395"/>
      <c r="TWJ107" s="395"/>
      <c r="TWK107" s="395"/>
      <c r="TWL107" s="395"/>
      <c r="TWM107" s="395"/>
      <c r="TWN107" s="395"/>
      <c r="TWO107" s="395"/>
      <c r="TWP107" s="395"/>
      <c r="TWQ107" s="395"/>
      <c r="TWR107" s="395"/>
      <c r="TWS107" s="395"/>
      <c r="TWT107" s="395"/>
      <c r="TWU107" s="395"/>
      <c r="TWV107" s="395"/>
      <c r="TWW107" s="395"/>
      <c r="TWX107" s="395"/>
      <c r="TWY107" s="395"/>
      <c r="TWZ107" s="395"/>
      <c r="TXA107" s="395"/>
      <c r="TXB107" s="395"/>
      <c r="TXC107" s="395"/>
      <c r="TXD107" s="396"/>
      <c r="TXE107" s="394"/>
      <c r="TXF107" s="395"/>
      <c r="TXG107" s="395"/>
      <c r="TXH107" s="395"/>
      <c r="TXI107" s="395"/>
      <c r="TXJ107" s="395"/>
      <c r="TXK107" s="395"/>
      <c r="TXL107" s="395"/>
      <c r="TXM107" s="395"/>
      <c r="TXN107" s="395"/>
      <c r="TXO107" s="395"/>
      <c r="TXP107" s="395"/>
      <c r="TXQ107" s="395"/>
      <c r="TXR107" s="395"/>
      <c r="TXS107" s="395"/>
      <c r="TXT107" s="395"/>
      <c r="TXU107" s="395"/>
      <c r="TXV107" s="395"/>
      <c r="TXW107" s="395"/>
      <c r="TXX107" s="395"/>
      <c r="TXY107" s="395"/>
      <c r="TXZ107" s="395"/>
      <c r="TYA107" s="395"/>
      <c r="TYB107" s="395"/>
      <c r="TYC107" s="395"/>
      <c r="TYD107" s="395"/>
      <c r="TYE107" s="396"/>
      <c r="TYF107" s="394"/>
      <c r="TYG107" s="395"/>
      <c r="TYH107" s="395"/>
      <c r="TYI107" s="395"/>
      <c r="TYJ107" s="395"/>
      <c r="TYK107" s="395"/>
      <c r="TYL107" s="395"/>
      <c r="TYM107" s="395"/>
      <c r="TYN107" s="395"/>
      <c r="TYO107" s="395"/>
      <c r="TYP107" s="395"/>
      <c r="TYQ107" s="395"/>
      <c r="TYR107" s="395"/>
      <c r="TYS107" s="395"/>
      <c r="TYT107" s="395"/>
      <c r="TYU107" s="395"/>
      <c r="TYV107" s="395"/>
      <c r="TYW107" s="395"/>
      <c r="TYX107" s="395"/>
      <c r="TYY107" s="395"/>
      <c r="TYZ107" s="395"/>
      <c r="TZA107" s="395"/>
      <c r="TZB107" s="395"/>
      <c r="TZC107" s="395"/>
      <c r="TZD107" s="395"/>
      <c r="TZE107" s="395"/>
      <c r="TZF107" s="396"/>
      <c r="TZG107" s="394"/>
      <c r="TZH107" s="395"/>
      <c r="TZI107" s="395"/>
      <c r="TZJ107" s="395"/>
      <c r="TZK107" s="395"/>
      <c r="TZL107" s="395"/>
      <c r="TZM107" s="395"/>
      <c r="TZN107" s="395"/>
      <c r="TZO107" s="395"/>
      <c r="TZP107" s="395"/>
      <c r="TZQ107" s="395"/>
      <c r="TZR107" s="395"/>
      <c r="TZS107" s="395"/>
      <c r="TZT107" s="395"/>
      <c r="TZU107" s="395"/>
      <c r="TZV107" s="395"/>
      <c r="TZW107" s="395"/>
      <c r="TZX107" s="395"/>
      <c r="TZY107" s="395"/>
      <c r="TZZ107" s="395"/>
      <c r="UAA107" s="395"/>
      <c r="UAB107" s="395"/>
      <c r="UAC107" s="395"/>
      <c r="UAD107" s="395"/>
      <c r="UAE107" s="395"/>
      <c r="UAF107" s="395"/>
      <c r="UAG107" s="396"/>
      <c r="UAH107" s="394"/>
      <c r="UAI107" s="395"/>
      <c r="UAJ107" s="395"/>
      <c r="UAK107" s="395"/>
      <c r="UAL107" s="395"/>
      <c r="UAM107" s="395"/>
      <c r="UAN107" s="395"/>
      <c r="UAO107" s="395"/>
      <c r="UAP107" s="395"/>
      <c r="UAQ107" s="395"/>
      <c r="UAR107" s="395"/>
      <c r="UAS107" s="395"/>
      <c r="UAT107" s="395"/>
      <c r="UAU107" s="395"/>
      <c r="UAV107" s="395"/>
      <c r="UAW107" s="395"/>
      <c r="UAX107" s="395"/>
      <c r="UAY107" s="395"/>
      <c r="UAZ107" s="395"/>
      <c r="UBA107" s="395"/>
      <c r="UBB107" s="395"/>
      <c r="UBC107" s="395"/>
      <c r="UBD107" s="395"/>
      <c r="UBE107" s="395"/>
      <c r="UBF107" s="395"/>
      <c r="UBG107" s="395"/>
      <c r="UBH107" s="396"/>
      <c r="UBI107" s="394"/>
      <c r="UBJ107" s="395"/>
      <c r="UBK107" s="395"/>
      <c r="UBL107" s="395"/>
      <c r="UBM107" s="395"/>
      <c r="UBN107" s="395"/>
      <c r="UBO107" s="395"/>
      <c r="UBP107" s="395"/>
      <c r="UBQ107" s="395"/>
      <c r="UBR107" s="395"/>
      <c r="UBS107" s="395"/>
      <c r="UBT107" s="395"/>
      <c r="UBU107" s="395"/>
      <c r="UBV107" s="395"/>
      <c r="UBW107" s="395"/>
      <c r="UBX107" s="395"/>
      <c r="UBY107" s="395"/>
      <c r="UBZ107" s="395"/>
      <c r="UCA107" s="395"/>
      <c r="UCB107" s="395"/>
      <c r="UCC107" s="395"/>
      <c r="UCD107" s="395"/>
      <c r="UCE107" s="395"/>
      <c r="UCF107" s="395"/>
      <c r="UCG107" s="395"/>
      <c r="UCH107" s="395"/>
      <c r="UCI107" s="396"/>
      <c r="UCJ107" s="394"/>
      <c r="UCK107" s="395"/>
      <c r="UCL107" s="395"/>
      <c r="UCM107" s="395"/>
      <c r="UCN107" s="395"/>
      <c r="UCO107" s="395"/>
      <c r="UCP107" s="395"/>
      <c r="UCQ107" s="395"/>
      <c r="UCR107" s="395"/>
      <c r="UCS107" s="395"/>
      <c r="UCT107" s="395"/>
      <c r="UCU107" s="395"/>
      <c r="UCV107" s="395"/>
      <c r="UCW107" s="395"/>
      <c r="UCX107" s="395"/>
      <c r="UCY107" s="395"/>
      <c r="UCZ107" s="395"/>
      <c r="UDA107" s="395"/>
      <c r="UDB107" s="395"/>
      <c r="UDC107" s="395"/>
      <c r="UDD107" s="395"/>
      <c r="UDE107" s="395"/>
      <c r="UDF107" s="395"/>
      <c r="UDG107" s="395"/>
      <c r="UDH107" s="395"/>
      <c r="UDI107" s="395"/>
      <c r="UDJ107" s="396"/>
      <c r="UDK107" s="394"/>
      <c r="UDL107" s="395"/>
      <c r="UDM107" s="395"/>
      <c r="UDN107" s="395"/>
      <c r="UDO107" s="395"/>
      <c r="UDP107" s="395"/>
      <c r="UDQ107" s="395"/>
      <c r="UDR107" s="395"/>
      <c r="UDS107" s="395"/>
      <c r="UDT107" s="395"/>
      <c r="UDU107" s="395"/>
      <c r="UDV107" s="395"/>
      <c r="UDW107" s="395"/>
      <c r="UDX107" s="395"/>
      <c r="UDY107" s="395"/>
      <c r="UDZ107" s="395"/>
      <c r="UEA107" s="395"/>
      <c r="UEB107" s="395"/>
      <c r="UEC107" s="395"/>
      <c r="UED107" s="395"/>
      <c r="UEE107" s="395"/>
      <c r="UEF107" s="395"/>
      <c r="UEG107" s="395"/>
      <c r="UEH107" s="395"/>
      <c r="UEI107" s="395"/>
      <c r="UEJ107" s="395"/>
      <c r="UEK107" s="396"/>
      <c r="UEL107" s="394"/>
      <c r="UEM107" s="395"/>
      <c r="UEN107" s="395"/>
      <c r="UEO107" s="395"/>
      <c r="UEP107" s="395"/>
      <c r="UEQ107" s="395"/>
      <c r="UER107" s="395"/>
      <c r="UES107" s="395"/>
      <c r="UET107" s="395"/>
      <c r="UEU107" s="395"/>
      <c r="UEV107" s="395"/>
      <c r="UEW107" s="395"/>
      <c r="UEX107" s="395"/>
      <c r="UEY107" s="395"/>
      <c r="UEZ107" s="395"/>
      <c r="UFA107" s="395"/>
      <c r="UFB107" s="395"/>
      <c r="UFC107" s="395"/>
      <c r="UFD107" s="395"/>
      <c r="UFE107" s="395"/>
      <c r="UFF107" s="395"/>
      <c r="UFG107" s="395"/>
      <c r="UFH107" s="395"/>
      <c r="UFI107" s="395"/>
      <c r="UFJ107" s="395"/>
      <c r="UFK107" s="395"/>
      <c r="UFL107" s="396"/>
      <c r="UFM107" s="394"/>
      <c r="UFN107" s="395"/>
      <c r="UFO107" s="395"/>
      <c r="UFP107" s="395"/>
      <c r="UFQ107" s="395"/>
      <c r="UFR107" s="395"/>
      <c r="UFS107" s="395"/>
      <c r="UFT107" s="395"/>
      <c r="UFU107" s="395"/>
      <c r="UFV107" s="395"/>
      <c r="UFW107" s="395"/>
      <c r="UFX107" s="395"/>
      <c r="UFY107" s="395"/>
      <c r="UFZ107" s="395"/>
      <c r="UGA107" s="395"/>
      <c r="UGB107" s="395"/>
      <c r="UGC107" s="395"/>
      <c r="UGD107" s="395"/>
      <c r="UGE107" s="395"/>
      <c r="UGF107" s="395"/>
      <c r="UGG107" s="395"/>
      <c r="UGH107" s="395"/>
      <c r="UGI107" s="395"/>
      <c r="UGJ107" s="395"/>
      <c r="UGK107" s="395"/>
      <c r="UGL107" s="395"/>
      <c r="UGM107" s="396"/>
      <c r="UGN107" s="394"/>
      <c r="UGO107" s="395"/>
      <c r="UGP107" s="395"/>
      <c r="UGQ107" s="395"/>
      <c r="UGR107" s="395"/>
      <c r="UGS107" s="395"/>
      <c r="UGT107" s="395"/>
      <c r="UGU107" s="395"/>
      <c r="UGV107" s="395"/>
      <c r="UGW107" s="395"/>
      <c r="UGX107" s="395"/>
      <c r="UGY107" s="395"/>
      <c r="UGZ107" s="395"/>
      <c r="UHA107" s="395"/>
      <c r="UHB107" s="395"/>
      <c r="UHC107" s="395"/>
      <c r="UHD107" s="395"/>
      <c r="UHE107" s="395"/>
      <c r="UHF107" s="395"/>
      <c r="UHG107" s="395"/>
      <c r="UHH107" s="395"/>
      <c r="UHI107" s="395"/>
      <c r="UHJ107" s="395"/>
      <c r="UHK107" s="395"/>
      <c r="UHL107" s="395"/>
      <c r="UHM107" s="395"/>
      <c r="UHN107" s="396"/>
      <c r="UHO107" s="394"/>
      <c r="UHP107" s="395"/>
      <c r="UHQ107" s="395"/>
      <c r="UHR107" s="395"/>
      <c r="UHS107" s="395"/>
      <c r="UHT107" s="395"/>
      <c r="UHU107" s="395"/>
      <c r="UHV107" s="395"/>
      <c r="UHW107" s="395"/>
      <c r="UHX107" s="395"/>
      <c r="UHY107" s="395"/>
      <c r="UHZ107" s="395"/>
      <c r="UIA107" s="395"/>
      <c r="UIB107" s="395"/>
      <c r="UIC107" s="395"/>
      <c r="UID107" s="395"/>
      <c r="UIE107" s="395"/>
      <c r="UIF107" s="395"/>
      <c r="UIG107" s="395"/>
      <c r="UIH107" s="395"/>
      <c r="UII107" s="395"/>
      <c r="UIJ107" s="395"/>
      <c r="UIK107" s="395"/>
      <c r="UIL107" s="395"/>
      <c r="UIM107" s="395"/>
      <c r="UIN107" s="395"/>
      <c r="UIO107" s="396"/>
      <c r="UIP107" s="394"/>
      <c r="UIQ107" s="395"/>
      <c r="UIR107" s="395"/>
      <c r="UIS107" s="395"/>
      <c r="UIT107" s="395"/>
      <c r="UIU107" s="395"/>
      <c r="UIV107" s="395"/>
      <c r="UIW107" s="395"/>
      <c r="UIX107" s="395"/>
      <c r="UIY107" s="395"/>
      <c r="UIZ107" s="395"/>
      <c r="UJA107" s="395"/>
      <c r="UJB107" s="395"/>
      <c r="UJC107" s="395"/>
      <c r="UJD107" s="395"/>
      <c r="UJE107" s="395"/>
      <c r="UJF107" s="395"/>
      <c r="UJG107" s="395"/>
      <c r="UJH107" s="395"/>
      <c r="UJI107" s="395"/>
      <c r="UJJ107" s="395"/>
      <c r="UJK107" s="395"/>
      <c r="UJL107" s="395"/>
      <c r="UJM107" s="395"/>
      <c r="UJN107" s="395"/>
      <c r="UJO107" s="395"/>
      <c r="UJP107" s="396"/>
      <c r="UJQ107" s="394"/>
      <c r="UJR107" s="395"/>
      <c r="UJS107" s="395"/>
      <c r="UJT107" s="395"/>
      <c r="UJU107" s="395"/>
      <c r="UJV107" s="395"/>
      <c r="UJW107" s="395"/>
      <c r="UJX107" s="395"/>
      <c r="UJY107" s="395"/>
      <c r="UJZ107" s="395"/>
      <c r="UKA107" s="395"/>
      <c r="UKB107" s="395"/>
      <c r="UKC107" s="395"/>
      <c r="UKD107" s="395"/>
      <c r="UKE107" s="395"/>
      <c r="UKF107" s="395"/>
      <c r="UKG107" s="395"/>
      <c r="UKH107" s="395"/>
      <c r="UKI107" s="395"/>
      <c r="UKJ107" s="395"/>
      <c r="UKK107" s="395"/>
      <c r="UKL107" s="395"/>
      <c r="UKM107" s="395"/>
      <c r="UKN107" s="395"/>
      <c r="UKO107" s="395"/>
      <c r="UKP107" s="395"/>
      <c r="UKQ107" s="396"/>
      <c r="UKR107" s="394"/>
      <c r="UKS107" s="395"/>
      <c r="UKT107" s="395"/>
      <c r="UKU107" s="395"/>
      <c r="UKV107" s="395"/>
      <c r="UKW107" s="395"/>
      <c r="UKX107" s="395"/>
      <c r="UKY107" s="395"/>
      <c r="UKZ107" s="395"/>
      <c r="ULA107" s="395"/>
      <c r="ULB107" s="395"/>
      <c r="ULC107" s="395"/>
      <c r="ULD107" s="395"/>
      <c r="ULE107" s="395"/>
      <c r="ULF107" s="395"/>
      <c r="ULG107" s="395"/>
      <c r="ULH107" s="395"/>
      <c r="ULI107" s="395"/>
      <c r="ULJ107" s="395"/>
      <c r="ULK107" s="395"/>
      <c r="ULL107" s="395"/>
      <c r="ULM107" s="395"/>
      <c r="ULN107" s="395"/>
      <c r="ULO107" s="395"/>
      <c r="ULP107" s="395"/>
      <c r="ULQ107" s="395"/>
      <c r="ULR107" s="396"/>
      <c r="ULS107" s="394"/>
      <c r="ULT107" s="395"/>
      <c r="ULU107" s="395"/>
      <c r="ULV107" s="395"/>
      <c r="ULW107" s="395"/>
      <c r="ULX107" s="395"/>
      <c r="ULY107" s="395"/>
      <c r="ULZ107" s="395"/>
      <c r="UMA107" s="395"/>
      <c r="UMB107" s="395"/>
      <c r="UMC107" s="395"/>
      <c r="UMD107" s="395"/>
      <c r="UME107" s="395"/>
      <c r="UMF107" s="395"/>
      <c r="UMG107" s="395"/>
      <c r="UMH107" s="395"/>
      <c r="UMI107" s="395"/>
      <c r="UMJ107" s="395"/>
      <c r="UMK107" s="395"/>
      <c r="UML107" s="395"/>
      <c r="UMM107" s="395"/>
      <c r="UMN107" s="395"/>
      <c r="UMO107" s="395"/>
      <c r="UMP107" s="395"/>
      <c r="UMQ107" s="395"/>
      <c r="UMR107" s="395"/>
      <c r="UMS107" s="396"/>
      <c r="UMT107" s="394"/>
      <c r="UMU107" s="395"/>
      <c r="UMV107" s="395"/>
      <c r="UMW107" s="395"/>
      <c r="UMX107" s="395"/>
      <c r="UMY107" s="395"/>
      <c r="UMZ107" s="395"/>
      <c r="UNA107" s="395"/>
      <c r="UNB107" s="395"/>
      <c r="UNC107" s="395"/>
      <c r="UND107" s="395"/>
      <c r="UNE107" s="395"/>
      <c r="UNF107" s="395"/>
      <c r="UNG107" s="395"/>
      <c r="UNH107" s="395"/>
      <c r="UNI107" s="395"/>
      <c r="UNJ107" s="395"/>
      <c r="UNK107" s="395"/>
      <c r="UNL107" s="395"/>
      <c r="UNM107" s="395"/>
      <c r="UNN107" s="395"/>
      <c r="UNO107" s="395"/>
      <c r="UNP107" s="395"/>
      <c r="UNQ107" s="395"/>
      <c r="UNR107" s="395"/>
      <c r="UNS107" s="395"/>
      <c r="UNT107" s="396"/>
      <c r="UNU107" s="394"/>
      <c r="UNV107" s="395"/>
      <c r="UNW107" s="395"/>
      <c r="UNX107" s="395"/>
      <c r="UNY107" s="395"/>
      <c r="UNZ107" s="395"/>
      <c r="UOA107" s="395"/>
      <c r="UOB107" s="395"/>
      <c r="UOC107" s="395"/>
      <c r="UOD107" s="395"/>
      <c r="UOE107" s="395"/>
      <c r="UOF107" s="395"/>
      <c r="UOG107" s="395"/>
      <c r="UOH107" s="395"/>
      <c r="UOI107" s="395"/>
      <c r="UOJ107" s="395"/>
      <c r="UOK107" s="395"/>
      <c r="UOL107" s="395"/>
      <c r="UOM107" s="395"/>
      <c r="UON107" s="395"/>
      <c r="UOO107" s="395"/>
      <c r="UOP107" s="395"/>
      <c r="UOQ107" s="395"/>
      <c r="UOR107" s="395"/>
      <c r="UOS107" s="395"/>
      <c r="UOT107" s="395"/>
      <c r="UOU107" s="396"/>
      <c r="UOV107" s="394"/>
      <c r="UOW107" s="395"/>
      <c r="UOX107" s="395"/>
      <c r="UOY107" s="395"/>
      <c r="UOZ107" s="395"/>
      <c r="UPA107" s="395"/>
      <c r="UPB107" s="395"/>
      <c r="UPC107" s="395"/>
      <c r="UPD107" s="395"/>
      <c r="UPE107" s="395"/>
      <c r="UPF107" s="395"/>
      <c r="UPG107" s="395"/>
      <c r="UPH107" s="395"/>
      <c r="UPI107" s="395"/>
      <c r="UPJ107" s="395"/>
      <c r="UPK107" s="395"/>
      <c r="UPL107" s="395"/>
      <c r="UPM107" s="395"/>
      <c r="UPN107" s="395"/>
      <c r="UPO107" s="395"/>
      <c r="UPP107" s="395"/>
      <c r="UPQ107" s="395"/>
      <c r="UPR107" s="395"/>
      <c r="UPS107" s="395"/>
      <c r="UPT107" s="395"/>
      <c r="UPU107" s="395"/>
      <c r="UPV107" s="396"/>
      <c r="UPW107" s="394"/>
      <c r="UPX107" s="395"/>
      <c r="UPY107" s="395"/>
      <c r="UPZ107" s="395"/>
      <c r="UQA107" s="395"/>
      <c r="UQB107" s="395"/>
      <c r="UQC107" s="395"/>
      <c r="UQD107" s="395"/>
      <c r="UQE107" s="395"/>
      <c r="UQF107" s="395"/>
      <c r="UQG107" s="395"/>
      <c r="UQH107" s="395"/>
      <c r="UQI107" s="395"/>
      <c r="UQJ107" s="395"/>
      <c r="UQK107" s="395"/>
      <c r="UQL107" s="395"/>
      <c r="UQM107" s="395"/>
      <c r="UQN107" s="395"/>
      <c r="UQO107" s="395"/>
      <c r="UQP107" s="395"/>
      <c r="UQQ107" s="395"/>
      <c r="UQR107" s="395"/>
      <c r="UQS107" s="395"/>
      <c r="UQT107" s="395"/>
      <c r="UQU107" s="395"/>
      <c r="UQV107" s="395"/>
      <c r="UQW107" s="396"/>
      <c r="UQX107" s="394"/>
      <c r="UQY107" s="395"/>
      <c r="UQZ107" s="395"/>
      <c r="URA107" s="395"/>
      <c r="URB107" s="395"/>
      <c r="URC107" s="395"/>
      <c r="URD107" s="395"/>
      <c r="URE107" s="395"/>
      <c r="URF107" s="395"/>
      <c r="URG107" s="395"/>
      <c r="URH107" s="395"/>
      <c r="URI107" s="395"/>
      <c r="URJ107" s="395"/>
      <c r="URK107" s="395"/>
      <c r="URL107" s="395"/>
      <c r="URM107" s="395"/>
      <c r="URN107" s="395"/>
      <c r="URO107" s="395"/>
      <c r="URP107" s="395"/>
      <c r="URQ107" s="395"/>
      <c r="URR107" s="395"/>
      <c r="URS107" s="395"/>
      <c r="URT107" s="395"/>
      <c r="URU107" s="395"/>
      <c r="URV107" s="395"/>
      <c r="URW107" s="395"/>
      <c r="URX107" s="396"/>
      <c r="URY107" s="394"/>
      <c r="URZ107" s="395"/>
      <c r="USA107" s="395"/>
      <c r="USB107" s="395"/>
      <c r="USC107" s="395"/>
      <c r="USD107" s="395"/>
      <c r="USE107" s="395"/>
      <c r="USF107" s="395"/>
      <c r="USG107" s="395"/>
      <c r="USH107" s="395"/>
      <c r="USI107" s="395"/>
      <c r="USJ107" s="395"/>
      <c r="USK107" s="395"/>
      <c r="USL107" s="395"/>
      <c r="USM107" s="395"/>
      <c r="USN107" s="395"/>
      <c r="USO107" s="395"/>
      <c r="USP107" s="395"/>
      <c r="USQ107" s="395"/>
      <c r="USR107" s="395"/>
      <c r="USS107" s="395"/>
      <c r="UST107" s="395"/>
      <c r="USU107" s="395"/>
      <c r="USV107" s="395"/>
      <c r="USW107" s="395"/>
      <c r="USX107" s="395"/>
      <c r="USY107" s="396"/>
      <c r="USZ107" s="394"/>
      <c r="UTA107" s="395"/>
      <c r="UTB107" s="395"/>
      <c r="UTC107" s="395"/>
      <c r="UTD107" s="395"/>
      <c r="UTE107" s="395"/>
      <c r="UTF107" s="395"/>
      <c r="UTG107" s="395"/>
      <c r="UTH107" s="395"/>
      <c r="UTI107" s="395"/>
      <c r="UTJ107" s="395"/>
      <c r="UTK107" s="395"/>
      <c r="UTL107" s="395"/>
      <c r="UTM107" s="395"/>
      <c r="UTN107" s="395"/>
      <c r="UTO107" s="395"/>
      <c r="UTP107" s="395"/>
      <c r="UTQ107" s="395"/>
      <c r="UTR107" s="395"/>
      <c r="UTS107" s="395"/>
      <c r="UTT107" s="395"/>
      <c r="UTU107" s="395"/>
      <c r="UTV107" s="395"/>
      <c r="UTW107" s="395"/>
      <c r="UTX107" s="395"/>
      <c r="UTY107" s="395"/>
      <c r="UTZ107" s="396"/>
      <c r="UUA107" s="394"/>
      <c r="UUB107" s="395"/>
      <c r="UUC107" s="395"/>
      <c r="UUD107" s="395"/>
      <c r="UUE107" s="395"/>
      <c r="UUF107" s="395"/>
      <c r="UUG107" s="395"/>
      <c r="UUH107" s="395"/>
      <c r="UUI107" s="395"/>
      <c r="UUJ107" s="395"/>
      <c r="UUK107" s="395"/>
      <c r="UUL107" s="395"/>
      <c r="UUM107" s="395"/>
      <c r="UUN107" s="395"/>
      <c r="UUO107" s="395"/>
      <c r="UUP107" s="395"/>
      <c r="UUQ107" s="395"/>
      <c r="UUR107" s="395"/>
      <c r="UUS107" s="395"/>
      <c r="UUT107" s="395"/>
      <c r="UUU107" s="395"/>
      <c r="UUV107" s="395"/>
      <c r="UUW107" s="395"/>
      <c r="UUX107" s="395"/>
      <c r="UUY107" s="395"/>
      <c r="UUZ107" s="395"/>
      <c r="UVA107" s="396"/>
      <c r="UVB107" s="394"/>
      <c r="UVC107" s="395"/>
      <c r="UVD107" s="395"/>
      <c r="UVE107" s="395"/>
      <c r="UVF107" s="395"/>
      <c r="UVG107" s="395"/>
      <c r="UVH107" s="395"/>
      <c r="UVI107" s="395"/>
      <c r="UVJ107" s="395"/>
      <c r="UVK107" s="395"/>
      <c r="UVL107" s="395"/>
      <c r="UVM107" s="395"/>
      <c r="UVN107" s="395"/>
      <c r="UVO107" s="395"/>
      <c r="UVP107" s="395"/>
      <c r="UVQ107" s="395"/>
      <c r="UVR107" s="395"/>
      <c r="UVS107" s="395"/>
      <c r="UVT107" s="395"/>
      <c r="UVU107" s="395"/>
      <c r="UVV107" s="395"/>
      <c r="UVW107" s="395"/>
      <c r="UVX107" s="395"/>
      <c r="UVY107" s="395"/>
      <c r="UVZ107" s="395"/>
      <c r="UWA107" s="395"/>
      <c r="UWB107" s="396"/>
      <c r="UWC107" s="394"/>
      <c r="UWD107" s="395"/>
      <c r="UWE107" s="395"/>
      <c r="UWF107" s="395"/>
      <c r="UWG107" s="395"/>
      <c r="UWH107" s="395"/>
      <c r="UWI107" s="395"/>
      <c r="UWJ107" s="395"/>
      <c r="UWK107" s="395"/>
      <c r="UWL107" s="395"/>
      <c r="UWM107" s="395"/>
      <c r="UWN107" s="395"/>
      <c r="UWO107" s="395"/>
      <c r="UWP107" s="395"/>
      <c r="UWQ107" s="395"/>
      <c r="UWR107" s="395"/>
      <c r="UWS107" s="395"/>
      <c r="UWT107" s="395"/>
      <c r="UWU107" s="395"/>
      <c r="UWV107" s="395"/>
      <c r="UWW107" s="395"/>
      <c r="UWX107" s="395"/>
      <c r="UWY107" s="395"/>
      <c r="UWZ107" s="395"/>
      <c r="UXA107" s="395"/>
      <c r="UXB107" s="395"/>
      <c r="UXC107" s="396"/>
      <c r="UXD107" s="394"/>
      <c r="UXE107" s="395"/>
      <c r="UXF107" s="395"/>
      <c r="UXG107" s="395"/>
      <c r="UXH107" s="395"/>
      <c r="UXI107" s="395"/>
      <c r="UXJ107" s="395"/>
      <c r="UXK107" s="395"/>
      <c r="UXL107" s="395"/>
      <c r="UXM107" s="395"/>
      <c r="UXN107" s="395"/>
      <c r="UXO107" s="395"/>
      <c r="UXP107" s="395"/>
      <c r="UXQ107" s="395"/>
      <c r="UXR107" s="395"/>
      <c r="UXS107" s="395"/>
      <c r="UXT107" s="395"/>
      <c r="UXU107" s="395"/>
      <c r="UXV107" s="395"/>
      <c r="UXW107" s="395"/>
      <c r="UXX107" s="395"/>
      <c r="UXY107" s="395"/>
      <c r="UXZ107" s="395"/>
      <c r="UYA107" s="395"/>
      <c r="UYB107" s="395"/>
      <c r="UYC107" s="395"/>
      <c r="UYD107" s="396"/>
      <c r="UYE107" s="394"/>
      <c r="UYF107" s="395"/>
      <c r="UYG107" s="395"/>
      <c r="UYH107" s="395"/>
      <c r="UYI107" s="395"/>
      <c r="UYJ107" s="395"/>
      <c r="UYK107" s="395"/>
      <c r="UYL107" s="395"/>
      <c r="UYM107" s="395"/>
      <c r="UYN107" s="395"/>
      <c r="UYO107" s="395"/>
      <c r="UYP107" s="395"/>
      <c r="UYQ107" s="395"/>
      <c r="UYR107" s="395"/>
      <c r="UYS107" s="395"/>
      <c r="UYT107" s="395"/>
      <c r="UYU107" s="395"/>
      <c r="UYV107" s="395"/>
      <c r="UYW107" s="395"/>
      <c r="UYX107" s="395"/>
      <c r="UYY107" s="395"/>
      <c r="UYZ107" s="395"/>
      <c r="UZA107" s="395"/>
      <c r="UZB107" s="395"/>
      <c r="UZC107" s="395"/>
      <c r="UZD107" s="395"/>
      <c r="UZE107" s="396"/>
      <c r="UZF107" s="394"/>
      <c r="UZG107" s="395"/>
      <c r="UZH107" s="395"/>
      <c r="UZI107" s="395"/>
      <c r="UZJ107" s="395"/>
      <c r="UZK107" s="395"/>
      <c r="UZL107" s="395"/>
      <c r="UZM107" s="395"/>
      <c r="UZN107" s="395"/>
      <c r="UZO107" s="395"/>
      <c r="UZP107" s="395"/>
      <c r="UZQ107" s="395"/>
      <c r="UZR107" s="395"/>
      <c r="UZS107" s="395"/>
      <c r="UZT107" s="395"/>
      <c r="UZU107" s="395"/>
      <c r="UZV107" s="395"/>
      <c r="UZW107" s="395"/>
      <c r="UZX107" s="395"/>
      <c r="UZY107" s="395"/>
      <c r="UZZ107" s="395"/>
      <c r="VAA107" s="395"/>
      <c r="VAB107" s="395"/>
      <c r="VAC107" s="395"/>
      <c r="VAD107" s="395"/>
      <c r="VAE107" s="395"/>
      <c r="VAF107" s="396"/>
      <c r="VAG107" s="394"/>
      <c r="VAH107" s="395"/>
      <c r="VAI107" s="395"/>
      <c r="VAJ107" s="395"/>
      <c r="VAK107" s="395"/>
      <c r="VAL107" s="395"/>
      <c r="VAM107" s="395"/>
      <c r="VAN107" s="395"/>
      <c r="VAO107" s="395"/>
      <c r="VAP107" s="395"/>
      <c r="VAQ107" s="395"/>
      <c r="VAR107" s="395"/>
      <c r="VAS107" s="395"/>
      <c r="VAT107" s="395"/>
      <c r="VAU107" s="395"/>
      <c r="VAV107" s="395"/>
      <c r="VAW107" s="395"/>
      <c r="VAX107" s="395"/>
      <c r="VAY107" s="395"/>
      <c r="VAZ107" s="395"/>
      <c r="VBA107" s="395"/>
      <c r="VBB107" s="395"/>
      <c r="VBC107" s="395"/>
      <c r="VBD107" s="395"/>
      <c r="VBE107" s="395"/>
      <c r="VBF107" s="395"/>
      <c r="VBG107" s="396"/>
      <c r="VBH107" s="394"/>
      <c r="VBI107" s="395"/>
      <c r="VBJ107" s="395"/>
      <c r="VBK107" s="395"/>
      <c r="VBL107" s="395"/>
      <c r="VBM107" s="395"/>
      <c r="VBN107" s="395"/>
      <c r="VBO107" s="395"/>
      <c r="VBP107" s="395"/>
      <c r="VBQ107" s="395"/>
      <c r="VBR107" s="395"/>
      <c r="VBS107" s="395"/>
      <c r="VBT107" s="395"/>
      <c r="VBU107" s="395"/>
      <c r="VBV107" s="395"/>
      <c r="VBW107" s="395"/>
      <c r="VBX107" s="395"/>
      <c r="VBY107" s="395"/>
      <c r="VBZ107" s="395"/>
      <c r="VCA107" s="395"/>
      <c r="VCB107" s="395"/>
      <c r="VCC107" s="395"/>
      <c r="VCD107" s="395"/>
      <c r="VCE107" s="395"/>
      <c r="VCF107" s="395"/>
      <c r="VCG107" s="395"/>
      <c r="VCH107" s="396"/>
      <c r="VCI107" s="394"/>
      <c r="VCJ107" s="395"/>
      <c r="VCK107" s="395"/>
      <c r="VCL107" s="395"/>
      <c r="VCM107" s="395"/>
      <c r="VCN107" s="395"/>
      <c r="VCO107" s="395"/>
      <c r="VCP107" s="395"/>
      <c r="VCQ107" s="395"/>
      <c r="VCR107" s="395"/>
      <c r="VCS107" s="395"/>
      <c r="VCT107" s="395"/>
      <c r="VCU107" s="395"/>
      <c r="VCV107" s="395"/>
      <c r="VCW107" s="395"/>
      <c r="VCX107" s="395"/>
      <c r="VCY107" s="395"/>
      <c r="VCZ107" s="395"/>
      <c r="VDA107" s="395"/>
      <c r="VDB107" s="395"/>
      <c r="VDC107" s="395"/>
      <c r="VDD107" s="395"/>
      <c r="VDE107" s="395"/>
      <c r="VDF107" s="395"/>
      <c r="VDG107" s="395"/>
      <c r="VDH107" s="395"/>
      <c r="VDI107" s="396"/>
      <c r="VDJ107" s="394"/>
      <c r="VDK107" s="395"/>
      <c r="VDL107" s="395"/>
      <c r="VDM107" s="395"/>
      <c r="VDN107" s="395"/>
      <c r="VDO107" s="395"/>
      <c r="VDP107" s="395"/>
      <c r="VDQ107" s="395"/>
      <c r="VDR107" s="395"/>
      <c r="VDS107" s="395"/>
      <c r="VDT107" s="395"/>
      <c r="VDU107" s="395"/>
      <c r="VDV107" s="395"/>
      <c r="VDW107" s="395"/>
      <c r="VDX107" s="395"/>
      <c r="VDY107" s="395"/>
      <c r="VDZ107" s="395"/>
      <c r="VEA107" s="395"/>
      <c r="VEB107" s="395"/>
      <c r="VEC107" s="395"/>
      <c r="VED107" s="395"/>
      <c r="VEE107" s="395"/>
      <c r="VEF107" s="395"/>
      <c r="VEG107" s="395"/>
      <c r="VEH107" s="395"/>
      <c r="VEI107" s="395"/>
      <c r="VEJ107" s="396"/>
      <c r="VEK107" s="394"/>
      <c r="VEL107" s="395"/>
      <c r="VEM107" s="395"/>
      <c r="VEN107" s="395"/>
      <c r="VEO107" s="395"/>
      <c r="VEP107" s="395"/>
      <c r="VEQ107" s="395"/>
      <c r="VER107" s="395"/>
      <c r="VES107" s="395"/>
      <c r="VET107" s="395"/>
      <c r="VEU107" s="395"/>
      <c r="VEV107" s="395"/>
      <c r="VEW107" s="395"/>
      <c r="VEX107" s="395"/>
      <c r="VEY107" s="395"/>
      <c r="VEZ107" s="395"/>
      <c r="VFA107" s="395"/>
      <c r="VFB107" s="395"/>
      <c r="VFC107" s="395"/>
      <c r="VFD107" s="395"/>
      <c r="VFE107" s="395"/>
      <c r="VFF107" s="395"/>
      <c r="VFG107" s="395"/>
      <c r="VFH107" s="395"/>
      <c r="VFI107" s="395"/>
      <c r="VFJ107" s="395"/>
      <c r="VFK107" s="396"/>
      <c r="VFL107" s="394"/>
      <c r="VFM107" s="395"/>
      <c r="VFN107" s="395"/>
      <c r="VFO107" s="395"/>
      <c r="VFP107" s="395"/>
      <c r="VFQ107" s="395"/>
      <c r="VFR107" s="395"/>
      <c r="VFS107" s="395"/>
      <c r="VFT107" s="395"/>
      <c r="VFU107" s="395"/>
      <c r="VFV107" s="395"/>
      <c r="VFW107" s="395"/>
      <c r="VFX107" s="395"/>
      <c r="VFY107" s="395"/>
      <c r="VFZ107" s="395"/>
      <c r="VGA107" s="395"/>
      <c r="VGB107" s="395"/>
      <c r="VGC107" s="395"/>
      <c r="VGD107" s="395"/>
      <c r="VGE107" s="395"/>
      <c r="VGF107" s="395"/>
      <c r="VGG107" s="395"/>
      <c r="VGH107" s="395"/>
      <c r="VGI107" s="395"/>
      <c r="VGJ107" s="395"/>
      <c r="VGK107" s="395"/>
      <c r="VGL107" s="396"/>
      <c r="VGM107" s="394"/>
      <c r="VGN107" s="395"/>
      <c r="VGO107" s="395"/>
      <c r="VGP107" s="395"/>
      <c r="VGQ107" s="395"/>
      <c r="VGR107" s="395"/>
      <c r="VGS107" s="395"/>
      <c r="VGT107" s="395"/>
      <c r="VGU107" s="395"/>
      <c r="VGV107" s="395"/>
      <c r="VGW107" s="395"/>
      <c r="VGX107" s="395"/>
      <c r="VGY107" s="395"/>
      <c r="VGZ107" s="395"/>
      <c r="VHA107" s="395"/>
      <c r="VHB107" s="395"/>
      <c r="VHC107" s="395"/>
      <c r="VHD107" s="395"/>
      <c r="VHE107" s="395"/>
      <c r="VHF107" s="395"/>
      <c r="VHG107" s="395"/>
      <c r="VHH107" s="395"/>
      <c r="VHI107" s="395"/>
      <c r="VHJ107" s="395"/>
      <c r="VHK107" s="395"/>
      <c r="VHL107" s="395"/>
      <c r="VHM107" s="396"/>
      <c r="VHN107" s="394"/>
      <c r="VHO107" s="395"/>
      <c r="VHP107" s="395"/>
      <c r="VHQ107" s="395"/>
      <c r="VHR107" s="395"/>
      <c r="VHS107" s="395"/>
      <c r="VHT107" s="395"/>
      <c r="VHU107" s="395"/>
      <c r="VHV107" s="395"/>
      <c r="VHW107" s="395"/>
      <c r="VHX107" s="395"/>
      <c r="VHY107" s="395"/>
      <c r="VHZ107" s="395"/>
      <c r="VIA107" s="395"/>
      <c r="VIB107" s="395"/>
      <c r="VIC107" s="395"/>
      <c r="VID107" s="395"/>
      <c r="VIE107" s="395"/>
      <c r="VIF107" s="395"/>
      <c r="VIG107" s="395"/>
      <c r="VIH107" s="395"/>
      <c r="VII107" s="395"/>
      <c r="VIJ107" s="395"/>
      <c r="VIK107" s="395"/>
      <c r="VIL107" s="395"/>
      <c r="VIM107" s="395"/>
      <c r="VIN107" s="396"/>
      <c r="VIO107" s="394"/>
      <c r="VIP107" s="395"/>
      <c r="VIQ107" s="395"/>
      <c r="VIR107" s="395"/>
      <c r="VIS107" s="395"/>
      <c r="VIT107" s="395"/>
      <c r="VIU107" s="395"/>
      <c r="VIV107" s="395"/>
      <c r="VIW107" s="395"/>
      <c r="VIX107" s="395"/>
      <c r="VIY107" s="395"/>
      <c r="VIZ107" s="395"/>
      <c r="VJA107" s="395"/>
      <c r="VJB107" s="395"/>
      <c r="VJC107" s="395"/>
      <c r="VJD107" s="395"/>
      <c r="VJE107" s="395"/>
      <c r="VJF107" s="395"/>
      <c r="VJG107" s="395"/>
      <c r="VJH107" s="395"/>
      <c r="VJI107" s="395"/>
      <c r="VJJ107" s="395"/>
      <c r="VJK107" s="395"/>
      <c r="VJL107" s="395"/>
      <c r="VJM107" s="395"/>
      <c r="VJN107" s="395"/>
      <c r="VJO107" s="396"/>
      <c r="VJP107" s="394"/>
      <c r="VJQ107" s="395"/>
      <c r="VJR107" s="395"/>
      <c r="VJS107" s="395"/>
      <c r="VJT107" s="395"/>
      <c r="VJU107" s="395"/>
      <c r="VJV107" s="395"/>
      <c r="VJW107" s="395"/>
      <c r="VJX107" s="395"/>
      <c r="VJY107" s="395"/>
      <c r="VJZ107" s="395"/>
      <c r="VKA107" s="395"/>
      <c r="VKB107" s="395"/>
      <c r="VKC107" s="395"/>
      <c r="VKD107" s="395"/>
      <c r="VKE107" s="395"/>
      <c r="VKF107" s="395"/>
      <c r="VKG107" s="395"/>
      <c r="VKH107" s="395"/>
      <c r="VKI107" s="395"/>
      <c r="VKJ107" s="395"/>
      <c r="VKK107" s="395"/>
      <c r="VKL107" s="395"/>
      <c r="VKM107" s="395"/>
      <c r="VKN107" s="395"/>
      <c r="VKO107" s="395"/>
      <c r="VKP107" s="396"/>
      <c r="VKQ107" s="394"/>
      <c r="VKR107" s="395"/>
      <c r="VKS107" s="395"/>
      <c r="VKT107" s="395"/>
      <c r="VKU107" s="395"/>
      <c r="VKV107" s="395"/>
      <c r="VKW107" s="395"/>
      <c r="VKX107" s="395"/>
      <c r="VKY107" s="395"/>
      <c r="VKZ107" s="395"/>
      <c r="VLA107" s="395"/>
      <c r="VLB107" s="395"/>
      <c r="VLC107" s="395"/>
      <c r="VLD107" s="395"/>
      <c r="VLE107" s="395"/>
      <c r="VLF107" s="395"/>
      <c r="VLG107" s="395"/>
      <c r="VLH107" s="395"/>
      <c r="VLI107" s="395"/>
      <c r="VLJ107" s="395"/>
      <c r="VLK107" s="395"/>
      <c r="VLL107" s="395"/>
      <c r="VLM107" s="395"/>
      <c r="VLN107" s="395"/>
      <c r="VLO107" s="395"/>
      <c r="VLP107" s="395"/>
      <c r="VLQ107" s="396"/>
      <c r="VLR107" s="394"/>
      <c r="VLS107" s="395"/>
      <c r="VLT107" s="395"/>
      <c r="VLU107" s="395"/>
      <c r="VLV107" s="395"/>
      <c r="VLW107" s="395"/>
      <c r="VLX107" s="395"/>
      <c r="VLY107" s="395"/>
      <c r="VLZ107" s="395"/>
      <c r="VMA107" s="395"/>
      <c r="VMB107" s="395"/>
      <c r="VMC107" s="395"/>
      <c r="VMD107" s="395"/>
      <c r="VME107" s="395"/>
      <c r="VMF107" s="395"/>
      <c r="VMG107" s="395"/>
      <c r="VMH107" s="395"/>
      <c r="VMI107" s="395"/>
      <c r="VMJ107" s="395"/>
      <c r="VMK107" s="395"/>
      <c r="VML107" s="395"/>
      <c r="VMM107" s="395"/>
      <c r="VMN107" s="395"/>
      <c r="VMO107" s="395"/>
      <c r="VMP107" s="395"/>
      <c r="VMQ107" s="395"/>
      <c r="VMR107" s="396"/>
      <c r="VMS107" s="394"/>
      <c r="VMT107" s="395"/>
      <c r="VMU107" s="395"/>
      <c r="VMV107" s="395"/>
      <c r="VMW107" s="395"/>
      <c r="VMX107" s="395"/>
      <c r="VMY107" s="395"/>
      <c r="VMZ107" s="395"/>
      <c r="VNA107" s="395"/>
      <c r="VNB107" s="395"/>
      <c r="VNC107" s="395"/>
      <c r="VND107" s="395"/>
      <c r="VNE107" s="395"/>
      <c r="VNF107" s="395"/>
      <c r="VNG107" s="395"/>
      <c r="VNH107" s="395"/>
      <c r="VNI107" s="395"/>
      <c r="VNJ107" s="395"/>
      <c r="VNK107" s="395"/>
      <c r="VNL107" s="395"/>
      <c r="VNM107" s="395"/>
      <c r="VNN107" s="395"/>
      <c r="VNO107" s="395"/>
      <c r="VNP107" s="395"/>
      <c r="VNQ107" s="395"/>
      <c r="VNR107" s="395"/>
      <c r="VNS107" s="396"/>
      <c r="VNT107" s="394"/>
      <c r="VNU107" s="395"/>
      <c r="VNV107" s="395"/>
      <c r="VNW107" s="395"/>
      <c r="VNX107" s="395"/>
      <c r="VNY107" s="395"/>
      <c r="VNZ107" s="395"/>
      <c r="VOA107" s="395"/>
      <c r="VOB107" s="395"/>
      <c r="VOC107" s="395"/>
      <c r="VOD107" s="395"/>
      <c r="VOE107" s="395"/>
      <c r="VOF107" s="395"/>
      <c r="VOG107" s="395"/>
      <c r="VOH107" s="395"/>
      <c r="VOI107" s="395"/>
      <c r="VOJ107" s="395"/>
      <c r="VOK107" s="395"/>
      <c r="VOL107" s="395"/>
      <c r="VOM107" s="395"/>
      <c r="VON107" s="395"/>
      <c r="VOO107" s="395"/>
      <c r="VOP107" s="395"/>
      <c r="VOQ107" s="395"/>
      <c r="VOR107" s="395"/>
      <c r="VOS107" s="395"/>
      <c r="VOT107" s="396"/>
      <c r="VOU107" s="394"/>
      <c r="VOV107" s="395"/>
      <c r="VOW107" s="395"/>
      <c r="VOX107" s="395"/>
      <c r="VOY107" s="395"/>
      <c r="VOZ107" s="395"/>
      <c r="VPA107" s="395"/>
      <c r="VPB107" s="395"/>
      <c r="VPC107" s="395"/>
      <c r="VPD107" s="395"/>
      <c r="VPE107" s="395"/>
      <c r="VPF107" s="395"/>
      <c r="VPG107" s="395"/>
      <c r="VPH107" s="395"/>
      <c r="VPI107" s="395"/>
      <c r="VPJ107" s="395"/>
      <c r="VPK107" s="395"/>
      <c r="VPL107" s="395"/>
      <c r="VPM107" s="395"/>
      <c r="VPN107" s="395"/>
      <c r="VPO107" s="395"/>
      <c r="VPP107" s="395"/>
      <c r="VPQ107" s="395"/>
      <c r="VPR107" s="395"/>
      <c r="VPS107" s="395"/>
      <c r="VPT107" s="395"/>
      <c r="VPU107" s="396"/>
      <c r="VPV107" s="394"/>
      <c r="VPW107" s="395"/>
      <c r="VPX107" s="395"/>
      <c r="VPY107" s="395"/>
      <c r="VPZ107" s="395"/>
      <c r="VQA107" s="395"/>
      <c r="VQB107" s="395"/>
      <c r="VQC107" s="395"/>
      <c r="VQD107" s="395"/>
      <c r="VQE107" s="395"/>
      <c r="VQF107" s="395"/>
      <c r="VQG107" s="395"/>
      <c r="VQH107" s="395"/>
      <c r="VQI107" s="395"/>
      <c r="VQJ107" s="395"/>
      <c r="VQK107" s="395"/>
      <c r="VQL107" s="395"/>
      <c r="VQM107" s="395"/>
      <c r="VQN107" s="395"/>
      <c r="VQO107" s="395"/>
      <c r="VQP107" s="395"/>
      <c r="VQQ107" s="395"/>
      <c r="VQR107" s="395"/>
      <c r="VQS107" s="395"/>
      <c r="VQT107" s="395"/>
      <c r="VQU107" s="395"/>
      <c r="VQV107" s="396"/>
      <c r="VQW107" s="394"/>
      <c r="VQX107" s="395"/>
      <c r="VQY107" s="395"/>
      <c r="VQZ107" s="395"/>
      <c r="VRA107" s="395"/>
      <c r="VRB107" s="395"/>
      <c r="VRC107" s="395"/>
      <c r="VRD107" s="395"/>
      <c r="VRE107" s="395"/>
      <c r="VRF107" s="395"/>
      <c r="VRG107" s="395"/>
      <c r="VRH107" s="395"/>
      <c r="VRI107" s="395"/>
      <c r="VRJ107" s="395"/>
      <c r="VRK107" s="395"/>
      <c r="VRL107" s="395"/>
      <c r="VRM107" s="395"/>
      <c r="VRN107" s="395"/>
      <c r="VRO107" s="395"/>
      <c r="VRP107" s="395"/>
      <c r="VRQ107" s="395"/>
      <c r="VRR107" s="395"/>
      <c r="VRS107" s="395"/>
      <c r="VRT107" s="395"/>
      <c r="VRU107" s="395"/>
      <c r="VRV107" s="395"/>
      <c r="VRW107" s="396"/>
      <c r="VRX107" s="394"/>
      <c r="VRY107" s="395"/>
      <c r="VRZ107" s="395"/>
      <c r="VSA107" s="395"/>
      <c r="VSB107" s="395"/>
      <c r="VSC107" s="395"/>
      <c r="VSD107" s="395"/>
      <c r="VSE107" s="395"/>
      <c r="VSF107" s="395"/>
      <c r="VSG107" s="395"/>
      <c r="VSH107" s="395"/>
      <c r="VSI107" s="395"/>
      <c r="VSJ107" s="395"/>
      <c r="VSK107" s="395"/>
      <c r="VSL107" s="395"/>
      <c r="VSM107" s="395"/>
      <c r="VSN107" s="395"/>
      <c r="VSO107" s="395"/>
      <c r="VSP107" s="395"/>
      <c r="VSQ107" s="395"/>
      <c r="VSR107" s="395"/>
      <c r="VSS107" s="395"/>
      <c r="VST107" s="395"/>
      <c r="VSU107" s="395"/>
      <c r="VSV107" s="395"/>
      <c r="VSW107" s="395"/>
      <c r="VSX107" s="396"/>
      <c r="VSY107" s="394"/>
      <c r="VSZ107" s="395"/>
      <c r="VTA107" s="395"/>
      <c r="VTB107" s="395"/>
      <c r="VTC107" s="395"/>
      <c r="VTD107" s="395"/>
      <c r="VTE107" s="395"/>
      <c r="VTF107" s="395"/>
      <c r="VTG107" s="395"/>
      <c r="VTH107" s="395"/>
      <c r="VTI107" s="395"/>
      <c r="VTJ107" s="395"/>
      <c r="VTK107" s="395"/>
      <c r="VTL107" s="395"/>
      <c r="VTM107" s="395"/>
      <c r="VTN107" s="395"/>
      <c r="VTO107" s="395"/>
      <c r="VTP107" s="395"/>
      <c r="VTQ107" s="395"/>
      <c r="VTR107" s="395"/>
      <c r="VTS107" s="395"/>
      <c r="VTT107" s="395"/>
      <c r="VTU107" s="395"/>
      <c r="VTV107" s="395"/>
      <c r="VTW107" s="395"/>
      <c r="VTX107" s="395"/>
      <c r="VTY107" s="396"/>
      <c r="VTZ107" s="394"/>
      <c r="VUA107" s="395"/>
      <c r="VUB107" s="395"/>
      <c r="VUC107" s="395"/>
      <c r="VUD107" s="395"/>
      <c r="VUE107" s="395"/>
      <c r="VUF107" s="395"/>
      <c r="VUG107" s="395"/>
      <c r="VUH107" s="395"/>
      <c r="VUI107" s="395"/>
      <c r="VUJ107" s="395"/>
      <c r="VUK107" s="395"/>
      <c r="VUL107" s="395"/>
      <c r="VUM107" s="395"/>
      <c r="VUN107" s="395"/>
      <c r="VUO107" s="395"/>
      <c r="VUP107" s="395"/>
      <c r="VUQ107" s="395"/>
      <c r="VUR107" s="395"/>
      <c r="VUS107" s="395"/>
      <c r="VUT107" s="395"/>
      <c r="VUU107" s="395"/>
      <c r="VUV107" s="395"/>
      <c r="VUW107" s="395"/>
      <c r="VUX107" s="395"/>
      <c r="VUY107" s="395"/>
      <c r="VUZ107" s="396"/>
      <c r="VVA107" s="394"/>
      <c r="VVB107" s="395"/>
      <c r="VVC107" s="395"/>
      <c r="VVD107" s="395"/>
      <c r="VVE107" s="395"/>
      <c r="VVF107" s="395"/>
      <c r="VVG107" s="395"/>
      <c r="VVH107" s="395"/>
      <c r="VVI107" s="395"/>
      <c r="VVJ107" s="395"/>
      <c r="VVK107" s="395"/>
      <c r="VVL107" s="395"/>
      <c r="VVM107" s="395"/>
      <c r="VVN107" s="395"/>
      <c r="VVO107" s="395"/>
      <c r="VVP107" s="395"/>
      <c r="VVQ107" s="395"/>
      <c r="VVR107" s="395"/>
      <c r="VVS107" s="395"/>
      <c r="VVT107" s="395"/>
      <c r="VVU107" s="395"/>
      <c r="VVV107" s="395"/>
      <c r="VVW107" s="395"/>
      <c r="VVX107" s="395"/>
      <c r="VVY107" s="395"/>
      <c r="VVZ107" s="395"/>
      <c r="VWA107" s="396"/>
      <c r="VWB107" s="394"/>
      <c r="VWC107" s="395"/>
      <c r="VWD107" s="395"/>
      <c r="VWE107" s="395"/>
      <c r="VWF107" s="395"/>
      <c r="VWG107" s="395"/>
      <c r="VWH107" s="395"/>
      <c r="VWI107" s="395"/>
      <c r="VWJ107" s="395"/>
      <c r="VWK107" s="395"/>
      <c r="VWL107" s="395"/>
      <c r="VWM107" s="395"/>
      <c r="VWN107" s="395"/>
      <c r="VWO107" s="395"/>
      <c r="VWP107" s="395"/>
      <c r="VWQ107" s="395"/>
      <c r="VWR107" s="395"/>
      <c r="VWS107" s="395"/>
      <c r="VWT107" s="395"/>
      <c r="VWU107" s="395"/>
      <c r="VWV107" s="395"/>
      <c r="VWW107" s="395"/>
      <c r="VWX107" s="395"/>
      <c r="VWY107" s="395"/>
      <c r="VWZ107" s="395"/>
      <c r="VXA107" s="395"/>
      <c r="VXB107" s="396"/>
      <c r="VXC107" s="394"/>
      <c r="VXD107" s="395"/>
      <c r="VXE107" s="395"/>
      <c r="VXF107" s="395"/>
      <c r="VXG107" s="395"/>
      <c r="VXH107" s="395"/>
      <c r="VXI107" s="395"/>
      <c r="VXJ107" s="395"/>
      <c r="VXK107" s="395"/>
      <c r="VXL107" s="395"/>
      <c r="VXM107" s="395"/>
      <c r="VXN107" s="395"/>
      <c r="VXO107" s="395"/>
      <c r="VXP107" s="395"/>
      <c r="VXQ107" s="395"/>
      <c r="VXR107" s="395"/>
      <c r="VXS107" s="395"/>
      <c r="VXT107" s="395"/>
      <c r="VXU107" s="395"/>
      <c r="VXV107" s="395"/>
      <c r="VXW107" s="395"/>
      <c r="VXX107" s="395"/>
      <c r="VXY107" s="395"/>
      <c r="VXZ107" s="395"/>
      <c r="VYA107" s="395"/>
      <c r="VYB107" s="395"/>
      <c r="VYC107" s="396"/>
      <c r="VYD107" s="394"/>
      <c r="VYE107" s="395"/>
      <c r="VYF107" s="395"/>
      <c r="VYG107" s="395"/>
      <c r="VYH107" s="395"/>
      <c r="VYI107" s="395"/>
      <c r="VYJ107" s="395"/>
      <c r="VYK107" s="395"/>
      <c r="VYL107" s="395"/>
      <c r="VYM107" s="395"/>
      <c r="VYN107" s="395"/>
      <c r="VYO107" s="395"/>
      <c r="VYP107" s="395"/>
      <c r="VYQ107" s="395"/>
      <c r="VYR107" s="395"/>
      <c r="VYS107" s="395"/>
      <c r="VYT107" s="395"/>
      <c r="VYU107" s="395"/>
      <c r="VYV107" s="395"/>
      <c r="VYW107" s="395"/>
      <c r="VYX107" s="395"/>
      <c r="VYY107" s="395"/>
      <c r="VYZ107" s="395"/>
      <c r="VZA107" s="395"/>
      <c r="VZB107" s="395"/>
      <c r="VZC107" s="395"/>
      <c r="VZD107" s="396"/>
      <c r="VZE107" s="394"/>
      <c r="VZF107" s="395"/>
      <c r="VZG107" s="395"/>
      <c r="VZH107" s="395"/>
      <c r="VZI107" s="395"/>
      <c r="VZJ107" s="395"/>
      <c r="VZK107" s="395"/>
      <c r="VZL107" s="395"/>
      <c r="VZM107" s="395"/>
      <c r="VZN107" s="395"/>
      <c r="VZO107" s="395"/>
      <c r="VZP107" s="395"/>
      <c r="VZQ107" s="395"/>
      <c r="VZR107" s="395"/>
      <c r="VZS107" s="395"/>
      <c r="VZT107" s="395"/>
      <c r="VZU107" s="395"/>
      <c r="VZV107" s="395"/>
      <c r="VZW107" s="395"/>
      <c r="VZX107" s="395"/>
      <c r="VZY107" s="395"/>
      <c r="VZZ107" s="395"/>
      <c r="WAA107" s="395"/>
      <c r="WAB107" s="395"/>
      <c r="WAC107" s="395"/>
      <c r="WAD107" s="395"/>
      <c r="WAE107" s="396"/>
      <c r="WAF107" s="394"/>
      <c r="WAG107" s="395"/>
      <c r="WAH107" s="395"/>
      <c r="WAI107" s="395"/>
      <c r="WAJ107" s="395"/>
      <c r="WAK107" s="395"/>
      <c r="WAL107" s="395"/>
      <c r="WAM107" s="395"/>
      <c r="WAN107" s="395"/>
      <c r="WAO107" s="395"/>
      <c r="WAP107" s="395"/>
      <c r="WAQ107" s="395"/>
      <c r="WAR107" s="395"/>
      <c r="WAS107" s="395"/>
      <c r="WAT107" s="395"/>
      <c r="WAU107" s="395"/>
      <c r="WAV107" s="395"/>
      <c r="WAW107" s="395"/>
      <c r="WAX107" s="395"/>
      <c r="WAY107" s="395"/>
      <c r="WAZ107" s="395"/>
      <c r="WBA107" s="395"/>
      <c r="WBB107" s="395"/>
      <c r="WBC107" s="395"/>
      <c r="WBD107" s="395"/>
      <c r="WBE107" s="395"/>
      <c r="WBF107" s="396"/>
      <c r="WBG107" s="394"/>
      <c r="WBH107" s="395"/>
      <c r="WBI107" s="395"/>
      <c r="WBJ107" s="395"/>
      <c r="WBK107" s="395"/>
      <c r="WBL107" s="395"/>
      <c r="WBM107" s="395"/>
      <c r="WBN107" s="395"/>
      <c r="WBO107" s="395"/>
      <c r="WBP107" s="395"/>
      <c r="WBQ107" s="395"/>
      <c r="WBR107" s="395"/>
      <c r="WBS107" s="395"/>
      <c r="WBT107" s="395"/>
      <c r="WBU107" s="395"/>
      <c r="WBV107" s="395"/>
      <c r="WBW107" s="395"/>
      <c r="WBX107" s="395"/>
      <c r="WBY107" s="395"/>
      <c r="WBZ107" s="395"/>
      <c r="WCA107" s="395"/>
      <c r="WCB107" s="395"/>
      <c r="WCC107" s="395"/>
      <c r="WCD107" s="395"/>
      <c r="WCE107" s="395"/>
      <c r="WCF107" s="395"/>
      <c r="WCG107" s="396"/>
      <c r="WCH107" s="394"/>
      <c r="WCI107" s="395"/>
      <c r="WCJ107" s="395"/>
      <c r="WCK107" s="395"/>
      <c r="WCL107" s="395"/>
      <c r="WCM107" s="395"/>
      <c r="WCN107" s="395"/>
      <c r="WCO107" s="395"/>
      <c r="WCP107" s="395"/>
      <c r="WCQ107" s="395"/>
      <c r="WCR107" s="395"/>
      <c r="WCS107" s="395"/>
      <c r="WCT107" s="395"/>
      <c r="WCU107" s="395"/>
      <c r="WCV107" s="395"/>
      <c r="WCW107" s="395"/>
      <c r="WCX107" s="395"/>
      <c r="WCY107" s="395"/>
      <c r="WCZ107" s="395"/>
      <c r="WDA107" s="395"/>
      <c r="WDB107" s="395"/>
      <c r="WDC107" s="395"/>
      <c r="WDD107" s="395"/>
      <c r="WDE107" s="395"/>
      <c r="WDF107" s="395"/>
      <c r="WDG107" s="395"/>
      <c r="WDH107" s="396"/>
      <c r="WDI107" s="394"/>
      <c r="WDJ107" s="395"/>
      <c r="WDK107" s="395"/>
      <c r="WDL107" s="395"/>
      <c r="WDM107" s="395"/>
      <c r="WDN107" s="395"/>
      <c r="WDO107" s="395"/>
      <c r="WDP107" s="395"/>
      <c r="WDQ107" s="395"/>
      <c r="WDR107" s="395"/>
      <c r="WDS107" s="395"/>
      <c r="WDT107" s="395"/>
      <c r="WDU107" s="395"/>
      <c r="WDV107" s="395"/>
      <c r="WDW107" s="395"/>
      <c r="WDX107" s="395"/>
      <c r="WDY107" s="395"/>
      <c r="WDZ107" s="395"/>
      <c r="WEA107" s="395"/>
      <c r="WEB107" s="395"/>
      <c r="WEC107" s="395"/>
      <c r="WED107" s="395"/>
      <c r="WEE107" s="395"/>
      <c r="WEF107" s="395"/>
      <c r="WEG107" s="395"/>
      <c r="WEH107" s="395"/>
      <c r="WEI107" s="396"/>
      <c r="WEJ107" s="394"/>
      <c r="WEK107" s="395"/>
      <c r="WEL107" s="395"/>
      <c r="WEM107" s="395"/>
      <c r="WEN107" s="395"/>
      <c r="WEO107" s="395"/>
      <c r="WEP107" s="395"/>
      <c r="WEQ107" s="395"/>
      <c r="WER107" s="395"/>
      <c r="WES107" s="395"/>
      <c r="WET107" s="395"/>
      <c r="WEU107" s="395"/>
      <c r="WEV107" s="395"/>
      <c r="WEW107" s="395"/>
      <c r="WEX107" s="395"/>
      <c r="WEY107" s="395"/>
      <c r="WEZ107" s="395"/>
      <c r="WFA107" s="395"/>
      <c r="WFB107" s="395"/>
      <c r="WFC107" s="395"/>
      <c r="WFD107" s="395"/>
      <c r="WFE107" s="395"/>
      <c r="WFF107" s="395"/>
      <c r="WFG107" s="395"/>
      <c r="WFH107" s="395"/>
      <c r="WFI107" s="395"/>
      <c r="WFJ107" s="396"/>
      <c r="WFK107" s="394"/>
      <c r="WFL107" s="395"/>
      <c r="WFM107" s="395"/>
      <c r="WFN107" s="395"/>
      <c r="WFO107" s="395"/>
      <c r="WFP107" s="395"/>
      <c r="WFQ107" s="395"/>
      <c r="WFR107" s="395"/>
      <c r="WFS107" s="395"/>
      <c r="WFT107" s="395"/>
      <c r="WFU107" s="395"/>
      <c r="WFV107" s="395"/>
      <c r="WFW107" s="395"/>
      <c r="WFX107" s="395"/>
      <c r="WFY107" s="395"/>
      <c r="WFZ107" s="395"/>
      <c r="WGA107" s="395"/>
      <c r="WGB107" s="395"/>
      <c r="WGC107" s="395"/>
      <c r="WGD107" s="395"/>
      <c r="WGE107" s="395"/>
      <c r="WGF107" s="395"/>
      <c r="WGG107" s="395"/>
      <c r="WGH107" s="395"/>
      <c r="WGI107" s="395"/>
      <c r="WGJ107" s="395"/>
      <c r="WGK107" s="396"/>
      <c r="WGL107" s="394"/>
      <c r="WGM107" s="395"/>
      <c r="WGN107" s="395"/>
      <c r="WGO107" s="395"/>
      <c r="WGP107" s="395"/>
      <c r="WGQ107" s="395"/>
      <c r="WGR107" s="395"/>
      <c r="WGS107" s="395"/>
      <c r="WGT107" s="395"/>
      <c r="WGU107" s="395"/>
      <c r="WGV107" s="395"/>
      <c r="WGW107" s="395"/>
      <c r="WGX107" s="395"/>
      <c r="WGY107" s="395"/>
      <c r="WGZ107" s="395"/>
      <c r="WHA107" s="395"/>
      <c r="WHB107" s="395"/>
      <c r="WHC107" s="395"/>
      <c r="WHD107" s="395"/>
      <c r="WHE107" s="395"/>
      <c r="WHF107" s="395"/>
      <c r="WHG107" s="395"/>
      <c r="WHH107" s="395"/>
      <c r="WHI107" s="395"/>
      <c r="WHJ107" s="395"/>
      <c r="WHK107" s="395"/>
      <c r="WHL107" s="396"/>
      <c r="WHM107" s="394"/>
      <c r="WHN107" s="395"/>
      <c r="WHO107" s="395"/>
      <c r="WHP107" s="395"/>
      <c r="WHQ107" s="395"/>
      <c r="WHR107" s="395"/>
      <c r="WHS107" s="395"/>
      <c r="WHT107" s="395"/>
      <c r="WHU107" s="395"/>
      <c r="WHV107" s="395"/>
      <c r="WHW107" s="395"/>
      <c r="WHX107" s="395"/>
      <c r="WHY107" s="395"/>
      <c r="WHZ107" s="395"/>
      <c r="WIA107" s="395"/>
      <c r="WIB107" s="395"/>
      <c r="WIC107" s="395"/>
      <c r="WID107" s="395"/>
      <c r="WIE107" s="395"/>
      <c r="WIF107" s="395"/>
      <c r="WIG107" s="395"/>
      <c r="WIH107" s="395"/>
      <c r="WII107" s="395"/>
      <c r="WIJ107" s="395"/>
      <c r="WIK107" s="395"/>
      <c r="WIL107" s="395"/>
      <c r="WIM107" s="396"/>
      <c r="WIN107" s="394"/>
      <c r="WIO107" s="395"/>
      <c r="WIP107" s="395"/>
      <c r="WIQ107" s="395"/>
      <c r="WIR107" s="395"/>
      <c r="WIS107" s="395"/>
      <c r="WIT107" s="395"/>
      <c r="WIU107" s="395"/>
      <c r="WIV107" s="395"/>
      <c r="WIW107" s="395"/>
      <c r="WIX107" s="395"/>
      <c r="WIY107" s="395"/>
      <c r="WIZ107" s="395"/>
      <c r="WJA107" s="395"/>
      <c r="WJB107" s="395"/>
      <c r="WJC107" s="395"/>
      <c r="WJD107" s="395"/>
      <c r="WJE107" s="395"/>
      <c r="WJF107" s="395"/>
      <c r="WJG107" s="395"/>
      <c r="WJH107" s="395"/>
      <c r="WJI107" s="395"/>
      <c r="WJJ107" s="395"/>
      <c r="WJK107" s="395"/>
      <c r="WJL107" s="395"/>
      <c r="WJM107" s="395"/>
      <c r="WJN107" s="396"/>
      <c r="WJO107" s="394"/>
      <c r="WJP107" s="395"/>
      <c r="WJQ107" s="395"/>
      <c r="WJR107" s="395"/>
      <c r="WJS107" s="395"/>
      <c r="WJT107" s="395"/>
      <c r="WJU107" s="395"/>
      <c r="WJV107" s="395"/>
      <c r="WJW107" s="395"/>
      <c r="WJX107" s="395"/>
      <c r="WJY107" s="395"/>
      <c r="WJZ107" s="395"/>
      <c r="WKA107" s="395"/>
      <c r="WKB107" s="395"/>
      <c r="WKC107" s="395"/>
      <c r="WKD107" s="395"/>
      <c r="WKE107" s="395"/>
      <c r="WKF107" s="395"/>
      <c r="WKG107" s="395"/>
      <c r="WKH107" s="395"/>
      <c r="WKI107" s="395"/>
      <c r="WKJ107" s="395"/>
      <c r="WKK107" s="395"/>
      <c r="WKL107" s="395"/>
      <c r="WKM107" s="395"/>
      <c r="WKN107" s="395"/>
      <c r="WKO107" s="396"/>
      <c r="WKP107" s="394"/>
      <c r="WKQ107" s="395"/>
      <c r="WKR107" s="395"/>
      <c r="WKS107" s="395"/>
      <c r="WKT107" s="395"/>
      <c r="WKU107" s="395"/>
      <c r="WKV107" s="395"/>
      <c r="WKW107" s="395"/>
      <c r="WKX107" s="395"/>
      <c r="WKY107" s="395"/>
      <c r="WKZ107" s="395"/>
      <c r="WLA107" s="395"/>
      <c r="WLB107" s="395"/>
      <c r="WLC107" s="395"/>
      <c r="WLD107" s="395"/>
      <c r="WLE107" s="395"/>
      <c r="WLF107" s="395"/>
      <c r="WLG107" s="395"/>
      <c r="WLH107" s="395"/>
      <c r="WLI107" s="395"/>
      <c r="WLJ107" s="395"/>
      <c r="WLK107" s="395"/>
      <c r="WLL107" s="395"/>
      <c r="WLM107" s="395"/>
      <c r="WLN107" s="395"/>
      <c r="WLO107" s="395"/>
      <c r="WLP107" s="396"/>
      <c r="WLQ107" s="394"/>
      <c r="WLR107" s="395"/>
      <c r="WLS107" s="395"/>
      <c r="WLT107" s="395"/>
      <c r="WLU107" s="395"/>
      <c r="WLV107" s="395"/>
      <c r="WLW107" s="395"/>
      <c r="WLX107" s="395"/>
      <c r="WLY107" s="395"/>
      <c r="WLZ107" s="395"/>
      <c r="WMA107" s="395"/>
      <c r="WMB107" s="395"/>
      <c r="WMC107" s="395"/>
      <c r="WMD107" s="395"/>
      <c r="WME107" s="395"/>
      <c r="WMF107" s="395"/>
      <c r="WMG107" s="395"/>
      <c r="WMH107" s="395"/>
      <c r="WMI107" s="395"/>
      <c r="WMJ107" s="395"/>
      <c r="WMK107" s="395"/>
      <c r="WML107" s="395"/>
      <c r="WMM107" s="395"/>
      <c r="WMN107" s="395"/>
      <c r="WMO107" s="395"/>
      <c r="WMP107" s="395"/>
      <c r="WMQ107" s="396"/>
      <c r="WMR107" s="394"/>
      <c r="WMS107" s="395"/>
      <c r="WMT107" s="395"/>
      <c r="WMU107" s="395"/>
      <c r="WMV107" s="395"/>
      <c r="WMW107" s="395"/>
      <c r="WMX107" s="395"/>
      <c r="WMY107" s="395"/>
      <c r="WMZ107" s="395"/>
      <c r="WNA107" s="395"/>
      <c r="WNB107" s="395"/>
      <c r="WNC107" s="395"/>
      <c r="WND107" s="395"/>
      <c r="WNE107" s="395"/>
      <c r="WNF107" s="395"/>
      <c r="WNG107" s="395"/>
      <c r="WNH107" s="395"/>
      <c r="WNI107" s="395"/>
      <c r="WNJ107" s="395"/>
      <c r="WNK107" s="395"/>
      <c r="WNL107" s="395"/>
      <c r="WNM107" s="395"/>
      <c r="WNN107" s="395"/>
      <c r="WNO107" s="395"/>
      <c r="WNP107" s="395"/>
      <c r="WNQ107" s="395"/>
      <c r="WNR107" s="396"/>
      <c r="WNS107" s="394"/>
      <c r="WNT107" s="395"/>
      <c r="WNU107" s="395"/>
      <c r="WNV107" s="395"/>
      <c r="WNW107" s="395"/>
      <c r="WNX107" s="395"/>
      <c r="WNY107" s="395"/>
      <c r="WNZ107" s="395"/>
      <c r="WOA107" s="395"/>
      <c r="WOB107" s="395"/>
      <c r="WOC107" s="395"/>
      <c r="WOD107" s="395"/>
      <c r="WOE107" s="395"/>
      <c r="WOF107" s="395"/>
      <c r="WOG107" s="395"/>
      <c r="WOH107" s="395"/>
      <c r="WOI107" s="395"/>
      <c r="WOJ107" s="395"/>
      <c r="WOK107" s="395"/>
      <c r="WOL107" s="395"/>
      <c r="WOM107" s="395"/>
      <c r="WON107" s="395"/>
      <c r="WOO107" s="395"/>
      <c r="WOP107" s="395"/>
      <c r="WOQ107" s="395"/>
      <c r="WOR107" s="395"/>
      <c r="WOS107" s="396"/>
      <c r="WOT107" s="394"/>
      <c r="WOU107" s="395"/>
      <c r="WOV107" s="395"/>
      <c r="WOW107" s="395"/>
      <c r="WOX107" s="395"/>
      <c r="WOY107" s="395"/>
      <c r="WOZ107" s="395"/>
      <c r="WPA107" s="395"/>
      <c r="WPB107" s="395"/>
      <c r="WPC107" s="395"/>
      <c r="WPD107" s="395"/>
      <c r="WPE107" s="395"/>
      <c r="WPF107" s="395"/>
      <c r="WPG107" s="395"/>
      <c r="WPH107" s="395"/>
      <c r="WPI107" s="395"/>
      <c r="WPJ107" s="395"/>
      <c r="WPK107" s="395"/>
      <c r="WPL107" s="395"/>
      <c r="WPM107" s="395"/>
      <c r="WPN107" s="395"/>
      <c r="WPO107" s="395"/>
      <c r="WPP107" s="395"/>
      <c r="WPQ107" s="395"/>
      <c r="WPR107" s="395"/>
      <c r="WPS107" s="395"/>
      <c r="WPT107" s="396"/>
      <c r="WPU107" s="394"/>
      <c r="WPV107" s="395"/>
      <c r="WPW107" s="395"/>
      <c r="WPX107" s="395"/>
      <c r="WPY107" s="395"/>
      <c r="WPZ107" s="395"/>
      <c r="WQA107" s="395"/>
      <c r="WQB107" s="395"/>
      <c r="WQC107" s="395"/>
      <c r="WQD107" s="395"/>
      <c r="WQE107" s="395"/>
      <c r="WQF107" s="395"/>
      <c r="WQG107" s="395"/>
      <c r="WQH107" s="395"/>
      <c r="WQI107" s="395"/>
      <c r="WQJ107" s="395"/>
      <c r="WQK107" s="395"/>
      <c r="WQL107" s="395"/>
      <c r="WQM107" s="395"/>
      <c r="WQN107" s="395"/>
      <c r="WQO107" s="395"/>
      <c r="WQP107" s="395"/>
      <c r="WQQ107" s="395"/>
      <c r="WQR107" s="395"/>
      <c r="WQS107" s="395"/>
      <c r="WQT107" s="395"/>
      <c r="WQU107" s="396"/>
      <c r="WQV107" s="394"/>
      <c r="WQW107" s="395"/>
      <c r="WQX107" s="395"/>
      <c r="WQY107" s="395"/>
      <c r="WQZ107" s="395"/>
      <c r="WRA107" s="395"/>
      <c r="WRB107" s="395"/>
      <c r="WRC107" s="395"/>
      <c r="WRD107" s="395"/>
      <c r="WRE107" s="395"/>
      <c r="WRF107" s="395"/>
      <c r="WRG107" s="395"/>
      <c r="WRH107" s="395"/>
      <c r="WRI107" s="395"/>
      <c r="WRJ107" s="395"/>
      <c r="WRK107" s="395"/>
      <c r="WRL107" s="395"/>
      <c r="WRM107" s="395"/>
      <c r="WRN107" s="395"/>
      <c r="WRO107" s="395"/>
      <c r="WRP107" s="395"/>
      <c r="WRQ107" s="395"/>
      <c r="WRR107" s="395"/>
      <c r="WRS107" s="395"/>
      <c r="WRT107" s="395"/>
      <c r="WRU107" s="395"/>
      <c r="WRV107" s="396"/>
      <c r="WRW107" s="394"/>
      <c r="WRX107" s="395"/>
      <c r="WRY107" s="395"/>
      <c r="WRZ107" s="395"/>
      <c r="WSA107" s="395"/>
      <c r="WSB107" s="395"/>
      <c r="WSC107" s="395"/>
      <c r="WSD107" s="395"/>
      <c r="WSE107" s="395"/>
      <c r="WSF107" s="395"/>
      <c r="WSG107" s="395"/>
      <c r="WSH107" s="395"/>
      <c r="WSI107" s="395"/>
      <c r="WSJ107" s="395"/>
      <c r="WSK107" s="395"/>
      <c r="WSL107" s="395"/>
      <c r="WSM107" s="395"/>
      <c r="WSN107" s="395"/>
      <c r="WSO107" s="395"/>
      <c r="WSP107" s="395"/>
      <c r="WSQ107" s="395"/>
      <c r="WSR107" s="395"/>
      <c r="WSS107" s="395"/>
      <c r="WST107" s="395"/>
      <c r="WSU107" s="395"/>
      <c r="WSV107" s="395"/>
      <c r="WSW107" s="396"/>
      <c r="WSX107" s="394"/>
      <c r="WSY107" s="395"/>
      <c r="WSZ107" s="395"/>
      <c r="WTA107" s="395"/>
      <c r="WTB107" s="395"/>
      <c r="WTC107" s="395"/>
      <c r="WTD107" s="395"/>
      <c r="WTE107" s="395"/>
      <c r="WTF107" s="395"/>
      <c r="WTG107" s="395"/>
      <c r="WTH107" s="395"/>
      <c r="WTI107" s="395"/>
      <c r="WTJ107" s="395"/>
      <c r="WTK107" s="395"/>
      <c r="WTL107" s="395"/>
      <c r="WTM107" s="395"/>
      <c r="WTN107" s="395"/>
      <c r="WTO107" s="395"/>
      <c r="WTP107" s="395"/>
      <c r="WTQ107" s="395"/>
      <c r="WTR107" s="395"/>
      <c r="WTS107" s="395"/>
      <c r="WTT107" s="395"/>
      <c r="WTU107" s="395"/>
      <c r="WTV107" s="395"/>
      <c r="WTW107" s="395"/>
      <c r="WTX107" s="396"/>
      <c r="WTY107" s="394"/>
      <c r="WTZ107" s="395"/>
      <c r="WUA107" s="395"/>
      <c r="WUB107" s="395"/>
      <c r="WUC107" s="395"/>
      <c r="WUD107" s="395"/>
      <c r="WUE107" s="395"/>
      <c r="WUF107" s="395"/>
      <c r="WUG107" s="395"/>
      <c r="WUH107" s="395"/>
      <c r="WUI107" s="395"/>
      <c r="WUJ107" s="395"/>
      <c r="WUK107" s="395"/>
      <c r="WUL107" s="395"/>
      <c r="WUM107" s="395"/>
      <c r="WUN107" s="395"/>
      <c r="WUO107" s="395"/>
      <c r="WUP107" s="395"/>
      <c r="WUQ107" s="395"/>
      <c r="WUR107" s="395"/>
      <c r="WUS107" s="395"/>
      <c r="WUT107" s="395"/>
      <c r="WUU107" s="395"/>
      <c r="WUV107" s="395"/>
      <c r="WUW107" s="395"/>
      <c r="WUX107" s="395"/>
      <c r="WUY107" s="396"/>
      <c r="WUZ107" s="394"/>
      <c r="WVA107" s="395"/>
      <c r="WVB107" s="395"/>
      <c r="WVC107" s="395"/>
      <c r="WVD107" s="395"/>
      <c r="WVE107" s="395"/>
      <c r="WVF107" s="395"/>
      <c r="WVG107" s="395"/>
      <c r="WVH107" s="395"/>
      <c r="WVI107" s="395"/>
      <c r="WVJ107" s="395"/>
      <c r="WVK107" s="395"/>
      <c r="WVL107" s="395"/>
      <c r="WVM107" s="395"/>
      <c r="WVN107" s="395"/>
      <c r="WVO107" s="395"/>
      <c r="WVP107" s="395"/>
      <c r="WVQ107" s="395"/>
      <c r="WVR107" s="395"/>
      <c r="WVS107" s="395"/>
      <c r="WVT107" s="395"/>
      <c r="WVU107" s="395"/>
      <c r="WVV107" s="395"/>
      <c r="WVW107" s="395"/>
      <c r="WVX107" s="395"/>
      <c r="WVY107" s="395"/>
      <c r="WVZ107" s="396"/>
      <c r="WWA107" s="394"/>
      <c r="WWB107" s="395"/>
      <c r="WWC107" s="395"/>
      <c r="WWD107" s="395"/>
      <c r="WWE107" s="395"/>
      <c r="WWF107" s="395"/>
      <c r="WWG107" s="395"/>
      <c r="WWH107" s="395"/>
      <c r="WWI107" s="395"/>
      <c r="WWJ107" s="395"/>
      <c r="WWK107" s="395"/>
      <c r="WWL107" s="395"/>
      <c r="WWM107" s="395"/>
      <c r="WWN107" s="395"/>
      <c r="WWO107" s="395"/>
      <c r="WWP107" s="395"/>
      <c r="WWQ107" s="395"/>
      <c r="WWR107" s="395"/>
      <c r="WWS107" s="395"/>
      <c r="WWT107" s="395"/>
      <c r="WWU107" s="395"/>
      <c r="WWV107" s="395"/>
      <c r="WWW107" s="395"/>
      <c r="WWX107" s="395"/>
      <c r="WWY107" s="395"/>
      <c r="WWZ107" s="395"/>
      <c r="WXA107" s="396"/>
      <c r="WXB107" s="394"/>
      <c r="WXC107" s="395"/>
      <c r="WXD107" s="395"/>
      <c r="WXE107" s="395"/>
      <c r="WXF107" s="395"/>
      <c r="WXG107" s="395"/>
      <c r="WXH107" s="395"/>
      <c r="WXI107" s="395"/>
      <c r="WXJ107" s="395"/>
      <c r="WXK107" s="395"/>
      <c r="WXL107" s="395"/>
      <c r="WXM107" s="395"/>
      <c r="WXN107" s="395"/>
      <c r="WXO107" s="395"/>
      <c r="WXP107" s="395"/>
      <c r="WXQ107" s="395"/>
      <c r="WXR107" s="395"/>
      <c r="WXS107" s="395"/>
      <c r="WXT107" s="395"/>
      <c r="WXU107" s="395"/>
      <c r="WXV107" s="395"/>
      <c r="WXW107" s="395"/>
      <c r="WXX107" s="395"/>
      <c r="WXY107" s="395"/>
      <c r="WXZ107" s="395"/>
      <c r="WYA107" s="395"/>
      <c r="WYB107" s="396"/>
      <c r="WYC107" s="394"/>
      <c r="WYD107" s="395"/>
      <c r="WYE107" s="395"/>
      <c r="WYF107" s="395"/>
      <c r="WYG107" s="395"/>
      <c r="WYH107" s="395"/>
      <c r="WYI107" s="395"/>
      <c r="WYJ107" s="395"/>
      <c r="WYK107" s="395"/>
      <c r="WYL107" s="395"/>
      <c r="WYM107" s="395"/>
      <c r="WYN107" s="395"/>
      <c r="WYO107" s="395"/>
      <c r="WYP107" s="395"/>
      <c r="WYQ107" s="395"/>
      <c r="WYR107" s="395"/>
      <c r="WYS107" s="395"/>
      <c r="WYT107" s="395"/>
      <c r="WYU107" s="395"/>
      <c r="WYV107" s="395"/>
      <c r="WYW107" s="395"/>
      <c r="WYX107" s="395"/>
      <c r="WYY107" s="395"/>
      <c r="WYZ107" s="395"/>
      <c r="WZA107" s="395"/>
      <c r="WZB107" s="395"/>
      <c r="WZC107" s="396"/>
      <c r="WZD107" s="394"/>
      <c r="WZE107" s="395"/>
      <c r="WZF107" s="395"/>
      <c r="WZG107" s="395"/>
      <c r="WZH107" s="395"/>
      <c r="WZI107" s="395"/>
      <c r="WZJ107" s="395"/>
      <c r="WZK107" s="395"/>
      <c r="WZL107" s="395"/>
      <c r="WZM107" s="395"/>
      <c r="WZN107" s="395"/>
      <c r="WZO107" s="395"/>
      <c r="WZP107" s="395"/>
      <c r="WZQ107" s="395"/>
      <c r="WZR107" s="395"/>
      <c r="WZS107" s="395"/>
      <c r="WZT107" s="395"/>
      <c r="WZU107" s="395"/>
      <c r="WZV107" s="395"/>
      <c r="WZW107" s="395"/>
      <c r="WZX107" s="395"/>
      <c r="WZY107" s="395"/>
      <c r="WZZ107" s="395"/>
      <c r="XAA107" s="395"/>
      <c r="XAB107" s="395"/>
      <c r="XAC107" s="395"/>
      <c r="XAD107" s="396"/>
      <c r="XAE107" s="394"/>
      <c r="XAF107" s="395"/>
      <c r="XAG107" s="395"/>
      <c r="XAH107" s="395"/>
      <c r="XAI107" s="395"/>
      <c r="XAJ107" s="395"/>
      <c r="XAK107" s="395"/>
      <c r="XAL107" s="395"/>
      <c r="XAM107" s="395"/>
      <c r="XAN107" s="395"/>
      <c r="XAO107" s="395"/>
      <c r="XAP107" s="395"/>
      <c r="XAQ107" s="395"/>
      <c r="XAR107" s="395"/>
      <c r="XAS107" s="395"/>
      <c r="XAT107" s="395"/>
      <c r="XAU107" s="395"/>
      <c r="XAV107" s="395"/>
      <c r="XAW107" s="395"/>
      <c r="XAX107" s="395"/>
      <c r="XAY107" s="395"/>
      <c r="XAZ107" s="395"/>
      <c r="XBA107" s="395"/>
      <c r="XBB107" s="395"/>
      <c r="XBC107" s="395"/>
      <c r="XBD107" s="395"/>
      <c r="XBE107" s="396"/>
      <c r="XBF107" s="394"/>
      <c r="XBG107" s="395"/>
      <c r="XBH107" s="395"/>
      <c r="XBI107" s="395"/>
      <c r="XBJ107" s="395"/>
      <c r="XBK107" s="395"/>
      <c r="XBL107" s="395"/>
      <c r="XBM107" s="395"/>
      <c r="XBN107" s="395"/>
      <c r="XBO107" s="395"/>
      <c r="XBP107" s="395"/>
      <c r="XBQ107" s="395"/>
      <c r="XBR107" s="395"/>
      <c r="XBS107" s="395"/>
      <c r="XBT107" s="395"/>
      <c r="XBU107" s="395"/>
      <c r="XBV107" s="395"/>
      <c r="XBW107" s="395"/>
      <c r="XBX107" s="395"/>
      <c r="XBY107" s="395"/>
      <c r="XBZ107" s="395"/>
      <c r="XCA107" s="395"/>
      <c r="XCB107" s="395"/>
      <c r="XCC107" s="395"/>
      <c r="XCD107" s="395"/>
      <c r="XCE107" s="395"/>
      <c r="XCF107" s="396"/>
      <c r="XCG107" s="394"/>
      <c r="XCH107" s="395"/>
      <c r="XCI107" s="395"/>
      <c r="XCJ107" s="395"/>
      <c r="XCK107" s="395"/>
      <c r="XCL107" s="395"/>
      <c r="XCM107" s="395"/>
      <c r="XCN107" s="395"/>
      <c r="XCO107" s="395"/>
      <c r="XCP107" s="395"/>
      <c r="XCQ107" s="395"/>
      <c r="XCR107" s="395"/>
      <c r="XCS107" s="395"/>
      <c r="XCT107" s="395"/>
      <c r="XCU107" s="395"/>
      <c r="XCV107" s="395"/>
      <c r="XCW107" s="395"/>
      <c r="XCX107" s="395"/>
      <c r="XCY107" s="395"/>
      <c r="XCZ107" s="395"/>
      <c r="XDA107" s="395"/>
      <c r="XDB107" s="395"/>
      <c r="XDC107" s="395"/>
      <c r="XDD107" s="395"/>
      <c r="XDE107" s="395"/>
      <c r="XDF107" s="395"/>
      <c r="XDG107" s="396"/>
      <c r="XDH107" s="394"/>
      <c r="XDI107" s="395"/>
      <c r="XDJ107" s="395"/>
      <c r="XDK107" s="395"/>
      <c r="XDL107" s="395"/>
      <c r="XDM107" s="395"/>
      <c r="XDN107" s="395"/>
      <c r="XDO107" s="395"/>
      <c r="XDP107" s="395"/>
      <c r="XDQ107" s="395"/>
      <c r="XDR107" s="395"/>
      <c r="XDS107" s="395"/>
      <c r="XDT107" s="395"/>
      <c r="XDU107" s="395"/>
      <c r="XDV107" s="395"/>
      <c r="XDW107" s="395"/>
      <c r="XDX107" s="395"/>
      <c r="XDY107" s="395"/>
      <c r="XDZ107" s="395"/>
      <c r="XEA107" s="395"/>
      <c r="XEB107" s="395"/>
      <c r="XEC107" s="395"/>
      <c r="XED107" s="395"/>
      <c r="XEE107" s="395"/>
      <c r="XEF107" s="395"/>
      <c r="XEG107" s="395"/>
      <c r="XEH107" s="396"/>
      <c r="XEI107" s="394"/>
      <c r="XEJ107" s="394"/>
      <c r="XEK107" s="394"/>
      <c r="XEL107" s="394"/>
      <c r="XEM107" s="394"/>
      <c r="XEN107" s="394"/>
      <c r="XEO107" s="394"/>
      <c r="XEP107" s="394"/>
      <c r="XEQ107" s="394"/>
      <c r="XER107" s="394"/>
      <c r="XES107" s="394"/>
      <c r="XET107" s="394"/>
      <c r="XEU107" s="394"/>
      <c r="XEV107" s="394"/>
      <c r="XEW107" s="394"/>
      <c r="XEX107" s="394"/>
      <c r="XEY107" s="394"/>
      <c r="XEZ107" s="394"/>
      <c r="XFA107" s="394"/>
      <c r="XFB107" s="394"/>
      <c r="XFC107" s="394"/>
      <c r="XFD107" s="394"/>
    </row>
    <row r="108" spans="1:16384">
      <c r="A108" s="302" t="s">
        <v>377</v>
      </c>
      <c r="B108" s="303"/>
      <c r="C108" s="303"/>
      <c r="D108" s="304"/>
      <c r="E108" s="307" t="s">
        <v>378</v>
      </c>
      <c r="F108" s="308"/>
      <c r="G108" s="302" t="s">
        <v>379</v>
      </c>
      <c r="H108" s="303"/>
      <c r="I108" s="303"/>
      <c r="J108" s="303"/>
      <c r="K108" s="304"/>
      <c r="L108" s="112">
        <v>45</v>
      </c>
      <c r="M108" s="112">
        <v>60</v>
      </c>
      <c r="N108" s="112">
        <v>30</v>
      </c>
      <c r="O108" s="112">
        <v>75</v>
      </c>
      <c r="P108" s="307">
        <f t="shared" si="2"/>
        <v>52.5</v>
      </c>
      <c r="Q108" s="308"/>
      <c r="R108" s="270">
        <v>7.4999999999999997E-2</v>
      </c>
      <c r="S108" s="271"/>
      <c r="T108" s="302" t="s">
        <v>380</v>
      </c>
      <c r="U108" s="303"/>
      <c r="V108" s="303"/>
      <c r="W108" s="303"/>
      <c r="X108" s="303"/>
      <c r="Y108" s="303"/>
      <c r="Z108" s="303"/>
      <c r="AA108" s="304"/>
    </row>
    <row r="109" spans="1:16384">
      <c r="A109" s="302" t="s">
        <v>381</v>
      </c>
      <c r="B109" s="303"/>
      <c r="C109" s="303"/>
      <c r="D109" s="304"/>
      <c r="E109" s="307" t="s">
        <v>382</v>
      </c>
      <c r="F109" s="308"/>
      <c r="G109" s="302" t="s">
        <v>383</v>
      </c>
      <c r="H109" s="303"/>
      <c r="I109" s="303"/>
      <c r="J109" s="303"/>
      <c r="K109" s="304"/>
      <c r="L109" s="112">
        <v>45</v>
      </c>
      <c r="M109" s="112">
        <v>60</v>
      </c>
      <c r="N109" s="112">
        <v>30</v>
      </c>
      <c r="O109" s="112">
        <v>75</v>
      </c>
      <c r="P109" s="307">
        <f t="shared" si="2"/>
        <v>52.5</v>
      </c>
      <c r="Q109" s="308"/>
      <c r="R109" s="270">
        <v>4.4999999999999998E-2</v>
      </c>
      <c r="S109" s="271"/>
      <c r="T109" s="302" t="s">
        <v>384</v>
      </c>
      <c r="U109" s="303"/>
      <c r="V109" s="303"/>
      <c r="W109" s="303"/>
      <c r="X109" s="303"/>
      <c r="Y109" s="303"/>
      <c r="Z109" s="303"/>
      <c r="AA109" s="304"/>
    </row>
    <row r="110" spans="1:16384">
      <c r="A110" s="302" t="s">
        <v>385</v>
      </c>
      <c r="B110" s="303"/>
      <c r="C110" s="303"/>
      <c r="D110" s="304"/>
      <c r="E110" s="307" t="s">
        <v>369</v>
      </c>
      <c r="F110" s="308"/>
      <c r="G110" s="302" t="s">
        <v>386</v>
      </c>
      <c r="H110" s="303"/>
      <c r="I110" s="303"/>
      <c r="J110" s="303"/>
      <c r="K110" s="304"/>
      <c r="L110" s="112">
        <v>60</v>
      </c>
      <c r="M110" s="112">
        <v>90</v>
      </c>
      <c r="N110" s="112">
        <v>45</v>
      </c>
      <c r="O110" s="112">
        <v>120</v>
      </c>
      <c r="P110" s="307">
        <f t="shared" si="2"/>
        <v>82.5</v>
      </c>
      <c r="Q110" s="308"/>
      <c r="R110" s="270">
        <v>1.4999999999999999E-2</v>
      </c>
      <c r="S110" s="271"/>
      <c r="T110" s="302" t="s">
        <v>387</v>
      </c>
      <c r="U110" s="303"/>
      <c r="V110" s="303"/>
      <c r="W110" s="303"/>
      <c r="X110" s="303"/>
      <c r="Y110" s="303"/>
      <c r="Z110" s="303"/>
      <c r="AA110" s="304"/>
    </row>
    <row r="111" spans="1:16384">
      <c r="A111" s="302" t="s">
        <v>388</v>
      </c>
      <c r="B111" s="303"/>
      <c r="C111" s="303"/>
      <c r="D111" s="304"/>
      <c r="E111" s="307" t="s">
        <v>369</v>
      </c>
      <c r="F111" s="308"/>
      <c r="G111" s="302" t="s">
        <v>389</v>
      </c>
      <c r="H111" s="303"/>
      <c r="I111" s="303"/>
      <c r="J111" s="303"/>
      <c r="K111" s="304"/>
      <c r="L111" s="112">
        <v>45</v>
      </c>
      <c r="M111" s="112">
        <v>60</v>
      </c>
      <c r="N111" s="112">
        <v>30</v>
      </c>
      <c r="O111" s="112">
        <v>90</v>
      </c>
      <c r="P111" s="307">
        <f t="shared" si="2"/>
        <v>60</v>
      </c>
      <c r="Q111" s="308"/>
      <c r="R111" s="270">
        <v>1.4999999999999999E-2</v>
      </c>
      <c r="S111" s="271"/>
      <c r="T111" s="302" t="s">
        <v>390</v>
      </c>
      <c r="U111" s="303"/>
      <c r="V111" s="303"/>
      <c r="W111" s="303"/>
      <c r="X111" s="303"/>
      <c r="Y111" s="303"/>
      <c r="Z111" s="303"/>
      <c r="AA111" s="304"/>
    </row>
    <row r="112" spans="1:16384">
      <c r="A112" s="302" t="s">
        <v>391</v>
      </c>
      <c r="B112" s="303"/>
      <c r="C112" s="303"/>
      <c r="D112" s="304"/>
      <c r="E112" s="307" t="s">
        <v>369</v>
      </c>
      <c r="F112" s="308"/>
      <c r="G112" s="302" t="s">
        <v>392</v>
      </c>
      <c r="H112" s="303"/>
      <c r="I112" s="303"/>
      <c r="J112" s="303"/>
      <c r="K112" s="304"/>
      <c r="L112" s="112">
        <v>45</v>
      </c>
      <c r="M112" s="112">
        <v>60</v>
      </c>
      <c r="N112" s="112">
        <v>30</v>
      </c>
      <c r="O112" s="112">
        <v>90</v>
      </c>
      <c r="P112" s="307">
        <f t="shared" si="2"/>
        <v>60</v>
      </c>
      <c r="Q112" s="308"/>
      <c r="R112" s="270">
        <v>1.4999999999999999E-2</v>
      </c>
      <c r="S112" s="271"/>
      <c r="T112" s="302" t="s">
        <v>393</v>
      </c>
      <c r="U112" s="303"/>
      <c r="V112" s="303"/>
      <c r="W112" s="303"/>
      <c r="X112" s="303"/>
      <c r="Y112" s="303"/>
      <c r="Z112" s="303"/>
      <c r="AA112" s="304"/>
    </row>
    <row r="113" spans="1:16384">
      <c r="A113" s="302" t="s">
        <v>394</v>
      </c>
      <c r="B113" s="303"/>
      <c r="C113" s="303"/>
      <c r="D113" s="304"/>
      <c r="E113" s="307" t="s">
        <v>369</v>
      </c>
      <c r="F113" s="308"/>
      <c r="G113" s="302" t="s">
        <v>395</v>
      </c>
      <c r="H113" s="303"/>
      <c r="I113" s="303"/>
      <c r="J113" s="303"/>
      <c r="K113" s="304"/>
      <c r="L113" s="112">
        <v>45</v>
      </c>
      <c r="M113" s="112">
        <v>60</v>
      </c>
      <c r="N113" s="112">
        <v>30</v>
      </c>
      <c r="O113" s="112">
        <v>75</v>
      </c>
      <c r="P113" s="307">
        <f t="shared" si="2"/>
        <v>52.5</v>
      </c>
      <c r="Q113" s="308"/>
      <c r="R113" s="270">
        <v>1.4999999999999999E-2</v>
      </c>
      <c r="S113" s="271"/>
      <c r="T113" s="302" t="s">
        <v>396</v>
      </c>
      <c r="U113" s="303"/>
      <c r="V113" s="303"/>
      <c r="W113" s="303"/>
      <c r="X113" s="303"/>
      <c r="Y113" s="303"/>
      <c r="Z113" s="303"/>
      <c r="AA113" s="304"/>
    </row>
    <row r="114" spans="1:16384">
      <c r="A114" s="397" t="s">
        <v>397</v>
      </c>
      <c r="B114" s="398"/>
      <c r="C114" s="398"/>
      <c r="D114" s="398"/>
      <c r="E114" s="398"/>
      <c r="F114" s="398"/>
      <c r="G114" s="398"/>
      <c r="H114" s="398"/>
      <c r="I114" s="398"/>
      <c r="J114" s="398"/>
      <c r="K114" s="398"/>
      <c r="L114" s="398"/>
      <c r="M114" s="398"/>
      <c r="N114" s="398"/>
      <c r="O114" s="398"/>
      <c r="P114" s="398"/>
      <c r="Q114" s="398"/>
      <c r="R114" s="398"/>
      <c r="S114" s="398"/>
      <c r="T114" s="398"/>
      <c r="U114" s="398"/>
      <c r="V114" s="398"/>
      <c r="W114" s="398"/>
      <c r="X114" s="398"/>
      <c r="Y114" s="398"/>
      <c r="Z114" s="398"/>
      <c r="AA114" s="399"/>
      <c r="AB114" s="394"/>
      <c r="AC114" s="395"/>
      <c r="AD114" s="395"/>
      <c r="AE114" s="395"/>
      <c r="AF114" s="395"/>
      <c r="AG114" s="395"/>
      <c r="AH114" s="395"/>
      <c r="AI114" s="395"/>
      <c r="AJ114" s="395"/>
      <c r="AK114" s="395"/>
      <c r="AL114" s="395"/>
      <c r="AM114" s="395"/>
      <c r="AN114" s="395"/>
      <c r="AO114" s="395"/>
      <c r="AP114" s="395"/>
      <c r="AQ114" s="395"/>
      <c r="AR114" s="395"/>
      <c r="AS114" s="395"/>
      <c r="AT114" s="395"/>
      <c r="AU114" s="395"/>
      <c r="AV114" s="395"/>
      <c r="AW114" s="395"/>
      <c r="AX114" s="395"/>
      <c r="AY114" s="395"/>
      <c r="AZ114" s="395"/>
      <c r="BA114" s="395"/>
      <c r="BB114" s="396"/>
      <c r="BC114" s="394"/>
      <c r="BD114" s="395"/>
      <c r="BE114" s="395"/>
      <c r="BF114" s="395"/>
      <c r="BG114" s="395"/>
      <c r="BH114" s="395"/>
      <c r="BI114" s="395"/>
      <c r="BJ114" s="395"/>
      <c r="BK114" s="395"/>
      <c r="BL114" s="395"/>
      <c r="BM114" s="395"/>
      <c r="BN114" s="395"/>
      <c r="BO114" s="395"/>
      <c r="BP114" s="395"/>
      <c r="BQ114" s="395"/>
      <c r="BR114" s="395"/>
      <c r="BS114" s="395"/>
      <c r="BT114" s="395"/>
      <c r="BU114" s="395"/>
      <c r="BV114" s="395"/>
      <c r="BW114" s="395"/>
      <c r="BX114" s="395"/>
      <c r="BY114" s="395"/>
      <c r="BZ114" s="395"/>
      <c r="CA114" s="395"/>
      <c r="CB114" s="395"/>
      <c r="CC114" s="396"/>
      <c r="CD114" s="394"/>
      <c r="CE114" s="395"/>
      <c r="CF114" s="395"/>
      <c r="CG114" s="395"/>
      <c r="CH114" s="395"/>
      <c r="CI114" s="395"/>
      <c r="CJ114" s="395"/>
      <c r="CK114" s="395"/>
      <c r="CL114" s="395"/>
      <c r="CM114" s="395"/>
      <c r="CN114" s="395"/>
      <c r="CO114" s="395"/>
      <c r="CP114" s="395"/>
      <c r="CQ114" s="395"/>
      <c r="CR114" s="395"/>
      <c r="CS114" s="395"/>
      <c r="CT114" s="395"/>
      <c r="CU114" s="395"/>
      <c r="CV114" s="395"/>
      <c r="CW114" s="395"/>
      <c r="CX114" s="395"/>
      <c r="CY114" s="395"/>
      <c r="CZ114" s="395"/>
      <c r="DA114" s="395"/>
      <c r="DB114" s="395"/>
      <c r="DC114" s="395"/>
      <c r="DD114" s="396"/>
      <c r="DE114" s="394"/>
      <c r="DF114" s="395"/>
      <c r="DG114" s="395"/>
      <c r="DH114" s="395"/>
      <c r="DI114" s="395"/>
      <c r="DJ114" s="395"/>
      <c r="DK114" s="395"/>
      <c r="DL114" s="395"/>
      <c r="DM114" s="395"/>
      <c r="DN114" s="395"/>
      <c r="DO114" s="395"/>
      <c r="DP114" s="395"/>
      <c r="DQ114" s="395"/>
      <c r="DR114" s="395"/>
      <c r="DS114" s="395"/>
      <c r="DT114" s="395"/>
      <c r="DU114" s="395"/>
      <c r="DV114" s="395"/>
      <c r="DW114" s="395"/>
      <c r="DX114" s="395"/>
      <c r="DY114" s="395"/>
      <c r="DZ114" s="395"/>
      <c r="EA114" s="395"/>
      <c r="EB114" s="395"/>
      <c r="EC114" s="395"/>
      <c r="ED114" s="395"/>
      <c r="EE114" s="396"/>
      <c r="EF114" s="394"/>
      <c r="EG114" s="395"/>
      <c r="EH114" s="395"/>
      <c r="EI114" s="395"/>
      <c r="EJ114" s="395"/>
      <c r="EK114" s="395"/>
      <c r="EL114" s="395"/>
      <c r="EM114" s="395"/>
      <c r="EN114" s="395"/>
      <c r="EO114" s="395"/>
      <c r="EP114" s="395"/>
      <c r="EQ114" s="395"/>
      <c r="ER114" s="395"/>
      <c r="ES114" s="395"/>
      <c r="ET114" s="395"/>
      <c r="EU114" s="395"/>
      <c r="EV114" s="395"/>
      <c r="EW114" s="395"/>
      <c r="EX114" s="395"/>
      <c r="EY114" s="395"/>
      <c r="EZ114" s="395"/>
      <c r="FA114" s="395"/>
      <c r="FB114" s="395"/>
      <c r="FC114" s="395"/>
      <c r="FD114" s="395"/>
      <c r="FE114" s="395"/>
      <c r="FF114" s="396"/>
      <c r="FG114" s="394"/>
      <c r="FH114" s="395"/>
      <c r="FI114" s="395"/>
      <c r="FJ114" s="395"/>
      <c r="FK114" s="395"/>
      <c r="FL114" s="395"/>
      <c r="FM114" s="395"/>
      <c r="FN114" s="395"/>
      <c r="FO114" s="395"/>
      <c r="FP114" s="395"/>
      <c r="FQ114" s="395"/>
      <c r="FR114" s="395"/>
      <c r="FS114" s="395"/>
      <c r="FT114" s="395"/>
      <c r="FU114" s="395"/>
      <c r="FV114" s="395"/>
      <c r="FW114" s="395"/>
      <c r="FX114" s="395"/>
      <c r="FY114" s="395"/>
      <c r="FZ114" s="395"/>
      <c r="GA114" s="395"/>
      <c r="GB114" s="395"/>
      <c r="GC114" s="395"/>
      <c r="GD114" s="395"/>
      <c r="GE114" s="395"/>
      <c r="GF114" s="395"/>
      <c r="GG114" s="396"/>
      <c r="GH114" s="394"/>
      <c r="GI114" s="395"/>
      <c r="GJ114" s="395"/>
      <c r="GK114" s="395"/>
      <c r="GL114" s="395"/>
      <c r="GM114" s="395"/>
      <c r="GN114" s="395"/>
      <c r="GO114" s="395"/>
      <c r="GP114" s="395"/>
      <c r="GQ114" s="395"/>
      <c r="GR114" s="395"/>
      <c r="GS114" s="395"/>
      <c r="GT114" s="395"/>
      <c r="GU114" s="395"/>
      <c r="GV114" s="395"/>
      <c r="GW114" s="395"/>
      <c r="GX114" s="395"/>
      <c r="GY114" s="395"/>
      <c r="GZ114" s="395"/>
      <c r="HA114" s="395"/>
      <c r="HB114" s="395"/>
      <c r="HC114" s="395"/>
      <c r="HD114" s="395"/>
      <c r="HE114" s="395"/>
      <c r="HF114" s="395"/>
      <c r="HG114" s="395"/>
      <c r="HH114" s="396"/>
      <c r="HI114" s="394"/>
      <c r="HJ114" s="395"/>
      <c r="HK114" s="395"/>
      <c r="HL114" s="395"/>
      <c r="HM114" s="395"/>
      <c r="HN114" s="395"/>
      <c r="HO114" s="395"/>
      <c r="HP114" s="395"/>
      <c r="HQ114" s="395"/>
      <c r="HR114" s="395"/>
      <c r="HS114" s="395"/>
      <c r="HT114" s="395"/>
      <c r="HU114" s="395"/>
      <c r="HV114" s="395"/>
      <c r="HW114" s="395"/>
      <c r="HX114" s="395"/>
      <c r="HY114" s="395"/>
      <c r="HZ114" s="395"/>
      <c r="IA114" s="395"/>
      <c r="IB114" s="395"/>
      <c r="IC114" s="395"/>
      <c r="ID114" s="395"/>
      <c r="IE114" s="395"/>
      <c r="IF114" s="395"/>
      <c r="IG114" s="395"/>
      <c r="IH114" s="395"/>
      <c r="II114" s="396"/>
      <c r="IJ114" s="394"/>
      <c r="IK114" s="395"/>
      <c r="IL114" s="395"/>
      <c r="IM114" s="395"/>
      <c r="IN114" s="395"/>
      <c r="IO114" s="395"/>
      <c r="IP114" s="395"/>
      <c r="IQ114" s="395"/>
      <c r="IR114" s="395"/>
      <c r="IS114" s="395"/>
      <c r="IT114" s="395"/>
      <c r="IU114" s="395"/>
      <c r="IV114" s="395"/>
      <c r="IW114" s="395"/>
      <c r="IX114" s="395"/>
      <c r="IY114" s="395"/>
      <c r="IZ114" s="395"/>
      <c r="JA114" s="395"/>
      <c r="JB114" s="395"/>
      <c r="JC114" s="395"/>
      <c r="JD114" s="395"/>
      <c r="JE114" s="395"/>
      <c r="JF114" s="395"/>
      <c r="JG114" s="395"/>
      <c r="JH114" s="395"/>
      <c r="JI114" s="395"/>
      <c r="JJ114" s="396"/>
      <c r="JK114" s="394"/>
      <c r="JL114" s="395"/>
      <c r="JM114" s="395"/>
      <c r="JN114" s="395"/>
      <c r="JO114" s="395"/>
      <c r="JP114" s="395"/>
      <c r="JQ114" s="395"/>
      <c r="JR114" s="395"/>
      <c r="JS114" s="395"/>
      <c r="JT114" s="395"/>
      <c r="JU114" s="395"/>
      <c r="JV114" s="395"/>
      <c r="JW114" s="395"/>
      <c r="JX114" s="395"/>
      <c r="JY114" s="395"/>
      <c r="JZ114" s="395"/>
      <c r="KA114" s="395"/>
      <c r="KB114" s="395"/>
      <c r="KC114" s="395"/>
      <c r="KD114" s="395"/>
      <c r="KE114" s="395"/>
      <c r="KF114" s="395"/>
      <c r="KG114" s="395"/>
      <c r="KH114" s="395"/>
      <c r="KI114" s="395"/>
      <c r="KJ114" s="395"/>
      <c r="KK114" s="396"/>
      <c r="KL114" s="394"/>
      <c r="KM114" s="395"/>
      <c r="KN114" s="395"/>
      <c r="KO114" s="395"/>
      <c r="KP114" s="395"/>
      <c r="KQ114" s="395"/>
      <c r="KR114" s="395"/>
      <c r="KS114" s="395"/>
      <c r="KT114" s="395"/>
      <c r="KU114" s="395"/>
      <c r="KV114" s="395"/>
      <c r="KW114" s="395"/>
      <c r="KX114" s="395"/>
      <c r="KY114" s="395"/>
      <c r="KZ114" s="395"/>
      <c r="LA114" s="395"/>
      <c r="LB114" s="395"/>
      <c r="LC114" s="395"/>
      <c r="LD114" s="395"/>
      <c r="LE114" s="395"/>
      <c r="LF114" s="395"/>
      <c r="LG114" s="395"/>
      <c r="LH114" s="395"/>
      <c r="LI114" s="395"/>
      <c r="LJ114" s="395"/>
      <c r="LK114" s="395"/>
      <c r="LL114" s="396"/>
      <c r="LM114" s="394"/>
      <c r="LN114" s="395"/>
      <c r="LO114" s="395"/>
      <c r="LP114" s="395"/>
      <c r="LQ114" s="395"/>
      <c r="LR114" s="395"/>
      <c r="LS114" s="395"/>
      <c r="LT114" s="395"/>
      <c r="LU114" s="395"/>
      <c r="LV114" s="395"/>
      <c r="LW114" s="395"/>
      <c r="LX114" s="395"/>
      <c r="LY114" s="395"/>
      <c r="LZ114" s="395"/>
      <c r="MA114" s="395"/>
      <c r="MB114" s="395"/>
      <c r="MC114" s="395"/>
      <c r="MD114" s="395"/>
      <c r="ME114" s="395"/>
      <c r="MF114" s="395"/>
      <c r="MG114" s="395"/>
      <c r="MH114" s="395"/>
      <c r="MI114" s="395"/>
      <c r="MJ114" s="395"/>
      <c r="MK114" s="395"/>
      <c r="ML114" s="395"/>
      <c r="MM114" s="396"/>
      <c r="MN114" s="394"/>
      <c r="MO114" s="395"/>
      <c r="MP114" s="395"/>
      <c r="MQ114" s="395"/>
      <c r="MR114" s="395"/>
      <c r="MS114" s="395"/>
      <c r="MT114" s="395"/>
      <c r="MU114" s="395"/>
      <c r="MV114" s="395"/>
      <c r="MW114" s="395"/>
      <c r="MX114" s="395"/>
      <c r="MY114" s="395"/>
      <c r="MZ114" s="395"/>
      <c r="NA114" s="395"/>
      <c r="NB114" s="395"/>
      <c r="NC114" s="395"/>
      <c r="ND114" s="395"/>
      <c r="NE114" s="395"/>
      <c r="NF114" s="395"/>
      <c r="NG114" s="395"/>
      <c r="NH114" s="395"/>
      <c r="NI114" s="395"/>
      <c r="NJ114" s="395"/>
      <c r="NK114" s="395"/>
      <c r="NL114" s="395"/>
      <c r="NM114" s="395"/>
      <c r="NN114" s="396"/>
      <c r="NO114" s="394"/>
      <c r="NP114" s="395"/>
      <c r="NQ114" s="395"/>
      <c r="NR114" s="395"/>
      <c r="NS114" s="395"/>
      <c r="NT114" s="395"/>
      <c r="NU114" s="395"/>
      <c r="NV114" s="395"/>
      <c r="NW114" s="395"/>
      <c r="NX114" s="395"/>
      <c r="NY114" s="395"/>
      <c r="NZ114" s="395"/>
      <c r="OA114" s="395"/>
      <c r="OB114" s="395"/>
      <c r="OC114" s="395"/>
      <c r="OD114" s="395"/>
      <c r="OE114" s="395"/>
      <c r="OF114" s="395"/>
      <c r="OG114" s="395"/>
      <c r="OH114" s="395"/>
      <c r="OI114" s="395"/>
      <c r="OJ114" s="395"/>
      <c r="OK114" s="395"/>
      <c r="OL114" s="395"/>
      <c r="OM114" s="395"/>
      <c r="ON114" s="395"/>
      <c r="OO114" s="396"/>
      <c r="OP114" s="394"/>
      <c r="OQ114" s="395"/>
      <c r="OR114" s="395"/>
      <c r="OS114" s="395"/>
      <c r="OT114" s="395"/>
      <c r="OU114" s="395"/>
      <c r="OV114" s="395"/>
      <c r="OW114" s="395"/>
      <c r="OX114" s="395"/>
      <c r="OY114" s="395"/>
      <c r="OZ114" s="395"/>
      <c r="PA114" s="395"/>
      <c r="PB114" s="395"/>
      <c r="PC114" s="395"/>
      <c r="PD114" s="395"/>
      <c r="PE114" s="395"/>
      <c r="PF114" s="395"/>
      <c r="PG114" s="395"/>
      <c r="PH114" s="395"/>
      <c r="PI114" s="395"/>
      <c r="PJ114" s="395"/>
      <c r="PK114" s="395"/>
      <c r="PL114" s="395"/>
      <c r="PM114" s="395"/>
      <c r="PN114" s="395"/>
      <c r="PO114" s="395"/>
      <c r="PP114" s="396"/>
      <c r="PQ114" s="394"/>
      <c r="PR114" s="395"/>
      <c r="PS114" s="395"/>
      <c r="PT114" s="395"/>
      <c r="PU114" s="395"/>
      <c r="PV114" s="395"/>
      <c r="PW114" s="395"/>
      <c r="PX114" s="395"/>
      <c r="PY114" s="395"/>
      <c r="PZ114" s="395"/>
      <c r="QA114" s="395"/>
      <c r="QB114" s="395"/>
      <c r="QC114" s="395"/>
      <c r="QD114" s="395"/>
      <c r="QE114" s="395"/>
      <c r="QF114" s="395"/>
      <c r="QG114" s="395"/>
      <c r="QH114" s="395"/>
      <c r="QI114" s="395"/>
      <c r="QJ114" s="395"/>
      <c r="QK114" s="395"/>
      <c r="QL114" s="395"/>
      <c r="QM114" s="395"/>
      <c r="QN114" s="395"/>
      <c r="QO114" s="395"/>
      <c r="QP114" s="395"/>
      <c r="QQ114" s="396"/>
      <c r="QR114" s="394"/>
      <c r="QS114" s="395"/>
      <c r="QT114" s="395"/>
      <c r="QU114" s="395"/>
      <c r="QV114" s="395"/>
      <c r="QW114" s="395"/>
      <c r="QX114" s="395"/>
      <c r="QY114" s="395"/>
      <c r="QZ114" s="395"/>
      <c r="RA114" s="395"/>
      <c r="RB114" s="395"/>
      <c r="RC114" s="395"/>
      <c r="RD114" s="395"/>
      <c r="RE114" s="395"/>
      <c r="RF114" s="395"/>
      <c r="RG114" s="395"/>
      <c r="RH114" s="395"/>
      <c r="RI114" s="395"/>
      <c r="RJ114" s="395"/>
      <c r="RK114" s="395"/>
      <c r="RL114" s="395"/>
      <c r="RM114" s="395"/>
      <c r="RN114" s="395"/>
      <c r="RO114" s="395"/>
      <c r="RP114" s="395"/>
      <c r="RQ114" s="395"/>
      <c r="RR114" s="396"/>
      <c r="RS114" s="394"/>
      <c r="RT114" s="395"/>
      <c r="RU114" s="395"/>
      <c r="RV114" s="395"/>
      <c r="RW114" s="395"/>
      <c r="RX114" s="395"/>
      <c r="RY114" s="395"/>
      <c r="RZ114" s="395"/>
      <c r="SA114" s="395"/>
      <c r="SB114" s="395"/>
      <c r="SC114" s="395"/>
      <c r="SD114" s="395"/>
      <c r="SE114" s="395"/>
      <c r="SF114" s="395"/>
      <c r="SG114" s="395"/>
      <c r="SH114" s="395"/>
      <c r="SI114" s="395"/>
      <c r="SJ114" s="395"/>
      <c r="SK114" s="395"/>
      <c r="SL114" s="395"/>
      <c r="SM114" s="395"/>
      <c r="SN114" s="395"/>
      <c r="SO114" s="395"/>
      <c r="SP114" s="395"/>
      <c r="SQ114" s="395"/>
      <c r="SR114" s="395"/>
      <c r="SS114" s="396"/>
      <c r="ST114" s="394"/>
      <c r="SU114" s="395"/>
      <c r="SV114" s="395"/>
      <c r="SW114" s="395"/>
      <c r="SX114" s="395"/>
      <c r="SY114" s="395"/>
      <c r="SZ114" s="395"/>
      <c r="TA114" s="395"/>
      <c r="TB114" s="395"/>
      <c r="TC114" s="395"/>
      <c r="TD114" s="395"/>
      <c r="TE114" s="395"/>
      <c r="TF114" s="395"/>
      <c r="TG114" s="395"/>
      <c r="TH114" s="395"/>
      <c r="TI114" s="395"/>
      <c r="TJ114" s="395"/>
      <c r="TK114" s="395"/>
      <c r="TL114" s="395"/>
      <c r="TM114" s="395"/>
      <c r="TN114" s="395"/>
      <c r="TO114" s="395"/>
      <c r="TP114" s="395"/>
      <c r="TQ114" s="395"/>
      <c r="TR114" s="395"/>
      <c r="TS114" s="395"/>
      <c r="TT114" s="396"/>
      <c r="TU114" s="394"/>
      <c r="TV114" s="395"/>
      <c r="TW114" s="395"/>
      <c r="TX114" s="395"/>
      <c r="TY114" s="395"/>
      <c r="TZ114" s="395"/>
      <c r="UA114" s="395"/>
      <c r="UB114" s="395"/>
      <c r="UC114" s="395"/>
      <c r="UD114" s="395"/>
      <c r="UE114" s="395"/>
      <c r="UF114" s="395"/>
      <c r="UG114" s="395"/>
      <c r="UH114" s="395"/>
      <c r="UI114" s="395"/>
      <c r="UJ114" s="395"/>
      <c r="UK114" s="395"/>
      <c r="UL114" s="395"/>
      <c r="UM114" s="395"/>
      <c r="UN114" s="395"/>
      <c r="UO114" s="395"/>
      <c r="UP114" s="395"/>
      <c r="UQ114" s="395"/>
      <c r="UR114" s="395"/>
      <c r="US114" s="395"/>
      <c r="UT114" s="395"/>
      <c r="UU114" s="396"/>
      <c r="UV114" s="394"/>
      <c r="UW114" s="395"/>
      <c r="UX114" s="395"/>
      <c r="UY114" s="395"/>
      <c r="UZ114" s="395"/>
      <c r="VA114" s="395"/>
      <c r="VB114" s="395"/>
      <c r="VC114" s="395"/>
      <c r="VD114" s="395"/>
      <c r="VE114" s="395"/>
      <c r="VF114" s="395"/>
      <c r="VG114" s="395"/>
      <c r="VH114" s="395"/>
      <c r="VI114" s="395"/>
      <c r="VJ114" s="395"/>
      <c r="VK114" s="395"/>
      <c r="VL114" s="395"/>
      <c r="VM114" s="395"/>
      <c r="VN114" s="395"/>
      <c r="VO114" s="395"/>
      <c r="VP114" s="395"/>
      <c r="VQ114" s="395"/>
      <c r="VR114" s="395"/>
      <c r="VS114" s="395"/>
      <c r="VT114" s="395"/>
      <c r="VU114" s="395"/>
      <c r="VV114" s="396"/>
      <c r="VW114" s="394"/>
      <c r="VX114" s="395"/>
      <c r="VY114" s="395"/>
      <c r="VZ114" s="395"/>
      <c r="WA114" s="395"/>
      <c r="WB114" s="395"/>
      <c r="WC114" s="395"/>
      <c r="WD114" s="395"/>
      <c r="WE114" s="395"/>
      <c r="WF114" s="395"/>
      <c r="WG114" s="395"/>
      <c r="WH114" s="395"/>
      <c r="WI114" s="395"/>
      <c r="WJ114" s="395"/>
      <c r="WK114" s="395"/>
      <c r="WL114" s="395"/>
      <c r="WM114" s="395"/>
      <c r="WN114" s="395"/>
      <c r="WO114" s="395"/>
      <c r="WP114" s="395"/>
      <c r="WQ114" s="395"/>
      <c r="WR114" s="395"/>
      <c r="WS114" s="395"/>
      <c r="WT114" s="395"/>
      <c r="WU114" s="395"/>
      <c r="WV114" s="395"/>
      <c r="WW114" s="396"/>
      <c r="WX114" s="394"/>
      <c r="WY114" s="395"/>
      <c r="WZ114" s="395"/>
      <c r="XA114" s="395"/>
      <c r="XB114" s="395"/>
      <c r="XC114" s="395"/>
      <c r="XD114" s="395"/>
      <c r="XE114" s="395"/>
      <c r="XF114" s="395"/>
      <c r="XG114" s="395"/>
      <c r="XH114" s="395"/>
      <c r="XI114" s="395"/>
      <c r="XJ114" s="395"/>
      <c r="XK114" s="395"/>
      <c r="XL114" s="395"/>
      <c r="XM114" s="395"/>
      <c r="XN114" s="395"/>
      <c r="XO114" s="395"/>
      <c r="XP114" s="395"/>
      <c r="XQ114" s="395"/>
      <c r="XR114" s="395"/>
      <c r="XS114" s="395"/>
      <c r="XT114" s="395"/>
      <c r="XU114" s="395"/>
      <c r="XV114" s="395"/>
      <c r="XW114" s="395"/>
      <c r="XX114" s="396"/>
      <c r="XY114" s="394"/>
      <c r="XZ114" s="395"/>
      <c r="YA114" s="395"/>
      <c r="YB114" s="395"/>
      <c r="YC114" s="395"/>
      <c r="YD114" s="395"/>
      <c r="YE114" s="395"/>
      <c r="YF114" s="395"/>
      <c r="YG114" s="395"/>
      <c r="YH114" s="395"/>
      <c r="YI114" s="395"/>
      <c r="YJ114" s="395"/>
      <c r="YK114" s="395"/>
      <c r="YL114" s="395"/>
      <c r="YM114" s="395"/>
      <c r="YN114" s="395"/>
      <c r="YO114" s="395"/>
      <c r="YP114" s="395"/>
      <c r="YQ114" s="395"/>
      <c r="YR114" s="395"/>
      <c r="YS114" s="395"/>
      <c r="YT114" s="395"/>
      <c r="YU114" s="395"/>
      <c r="YV114" s="395"/>
      <c r="YW114" s="395"/>
      <c r="YX114" s="395"/>
      <c r="YY114" s="396"/>
      <c r="YZ114" s="394"/>
      <c r="ZA114" s="395"/>
      <c r="ZB114" s="395"/>
      <c r="ZC114" s="395"/>
      <c r="ZD114" s="395"/>
      <c r="ZE114" s="395"/>
      <c r="ZF114" s="395"/>
      <c r="ZG114" s="395"/>
      <c r="ZH114" s="395"/>
      <c r="ZI114" s="395"/>
      <c r="ZJ114" s="395"/>
      <c r="ZK114" s="395"/>
      <c r="ZL114" s="395"/>
      <c r="ZM114" s="395"/>
      <c r="ZN114" s="395"/>
      <c r="ZO114" s="395"/>
      <c r="ZP114" s="395"/>
      <c r="ZQ114" s="395"/>
      <c r="ZR114" s="395"/>
      <c r="ZS114" s="395"/>
      <c r="ZT114" s="395"/>
      <c r="ZU114" s="395"/>
      <c r="ZV114" s="395"/>
      <c r="ZW114" s="395"/>
      <c r="ZX114" s="395"/>
      <c r="ZY114" s="395"/>
      <c r="ZZ114" s="396"/>
      <c r="AAA114" s="394"/>
      <c r="AAB114" s="395"/>
      <c r="AAC114" s="395"/>
      <c r="AAD114" s="395"/>
      <c r="AAE114" s="395"/>
      <c r="AAF114" s="395"/>
      <c r="AAG114" s="395"/>
      <c r="AAH114" s="395"/>
      <c r="AAI114" s="395"/>
      <c r="AAJ114" s="395"/>
      <c r="AAK114" s="395"/>
      <c r="AAL114" s="395"/>
      <c r="AAM114" s="395"/>
      <c r="AAN114" s="395"/>
      <c r="AAO114" s="395"/>
      <c r="AAP114" s="395"/>
      <c r="AAQ114" s="395"/>
      <c r="AAR114" s="395"/>
      <c r="AAS114" s="395"/>
      <c r="AAT114" s="395"/>
      <c r="AAU114" s="395"/>
      <c r="AAV114" s="395"/>
      <c r="AAW114" s="395"/>
      <c r="AAX114" s="395"/>
      <c r="AAY114" s="395"/>
      <c r="AAZ114" s="395"/>
      <c r="ABA114" s="396"/>
      <c r="ABB114" s="394"/>
      <c r="ABC114" s="395"/>
      <c r="ABD114" s="395"/>
      <c r="ABE114" s="395"/>
      <c r="ABF114" s="395"/>
      <c r="ABG114" s="395"/>
      <c r="ABH114" s="395"/>
      <c r="ABI114" s="395"/>
      <c r="ABJ114" s="395"/>
      <c r="ABK114" s="395"/>
      <c r="ABL114" s="395"/>
      <c r="ABM114" s="395"/>
      <c r="ABN114" s="395"/>
      <c r="ABO114" s="395"/>
      <c r="ABP114" s="395"/>
      <c r="ABQ114" s="395"/>
      <c r="ABR114" s="395"/>
      <c r="ABS114" s="395"/>
      <c r="ABT114" s="395"/>
      <c r="ABU114" s="395"/>
      <c r="ABV114" s="395"/>
      <c r="ABW114" s="395"/>
      <c r="ABX114" s="395"/>
      <c r="ABY114" s="395"/>
      <c r="ABZ114" s="395"/>
      <c r="ACA114" s="395"/>
      <c r="ACB114" s="396"/>
      <c r="ACC114" s="394"/>
      <c r="ACD114" s="395"/>
      <c r="ACE114" s="395"/>
      <c r="ACF114" s="395"/>
      <c r="ACG114" s="395"/>
      <c r="ACH114" s="395"/>
      <c r="ACI114" s="395"/>
      <c r="ACJ114" s="395"/>
      <c r="ACK114" s="395"/>
      <c r="ACL114" s="395"/>
      <c r="ACM114" s="395"/>
      <c r="ACN114" s="395"/>
      <c r="ACO114" s="395"/>
      <c r="ACP114" s="395"/>
      <c r="ACQ114" s="395"/>
      <c r="ACR114" s="395"/>
      <c r="ACS114" s="395"/>
      <c r="ACT114" s="395"/>
      <c r="ACU114" s="395"/>
      <c r="ACV114" s="395"/>
      <c r="ACW114" s="395"/>
      <c r="ACX114" s="395"/>
      <c r="ACY114" s="395"/>
      <c r="ACZ114" s="395"/>
      <c r="ADA114" s="395"/>
      <c r="ADB114" s="395"/>
      <c r="ADC114" s="396"/>
      <c r="ADD114" s="394"/>
      <c r="ADE114" s="395"/>
      <c r="ADF114" s="395"/>
      <c r="ADG114" s="395"/>
      <c r="ADH114" s="395"/>
      <c r="ADI114" s="395"/>
      <c r="ADJ114" s="395"/>
      <c r="ADK114" s="395"/>
      <c r="ADL114" s="395"/>
      <c r="ADM114" s="395"/>
      <c r="ADN114" s="395"/>
      <c r="ADO114" s="395"/>
      <c r="ADP114" s="395"/>
      <c r="ADQ114" s="395"/>
      <c r="ADR114" s="395"/>
      <c r="ADS114" s="395"/>
      <c r="ADT114" s="395"/>
      <c r="ADU114" s="395"/>
      <c r="ADV114" s="395"/>
      <c r="ADW114" s="395"/>
      <c r="ADX114" s="395"/>
      <c r="ADY114" s="395"/>
      <c r="ADZ114" s="395"/>
      <c r="AEA114" s="395"/>
      <c r="AEB114" s="395"/>
      <c r="AEC114" s="395"/>
      <c r="AED114" s="396"/>
      <c r="AEE114" s="394"/>
      <c r="AEF114" s="395"/>
      <c r="AEG114" s="395"/>
      <c r="AEH114" s="395"/>
      <c r="AEI114" s="395"/>
      <c r="AEJ114" s="395"/>
      <c r="AEK114" s="395"/>
      <c r="AEL114" s="395"/>
      <c r="AEM114" s="395"/>
      <c r="AEN114" s="395"/>
      <c r="AEO114" s="395"/>
      <c r="AEP114" s="395"/>
      <c r="AEQ114" s="395"/>
      <c r="AER114" s="395"/>
      <c r="AES114" s="395"/>
      <c r="AET114" s="395"/>
      <c r="AEU114" s="395"/>
      <c r="AEV114" s="395"/>
      <c r="AEW114" s="395"/>
      <c r="AEX114" s="395"/>
      <c r="AEY114" s="395"/>
      <c r="AEZ114" s="395"/>
      <c r="AFA114" s="395"/>
      <c r="AFB114" s="395"/>
      <c r="AFC114" s="395"/>
      <c r="AFD114" s="395"/>
      <c r="AFE114" s="396"/>
      <c r="AFF114" s="394"/>
      <c r="AFG114" s="395"/>
      <c r="AFH114" s="395"/>
      <c r="AFI114" s="395"/>
      <c r="AFJ114" s="395"/>
      <c r="AFK114" s="395"/>
      <c r="AFL114" s="395"/>
      <c r="AFM114" s="395"/>
      <c r="AFN114" s="395"/>
      <c r="AFO114" s="395"/>
      <c r="AFP114" s="395"/>
      <c r="AFQ114" s="395"/>
      <c r="AFR114" s="395"/>
      <c r="AFS114" s="395"/>
      <c r="AFT114" s="395"/>
      <c r="AFU114" s="395"/>
      <c r="AFV114" s="395"/>
      <c r="AFW114" s="395"/>
      <c r="AFX114" s="395"/>
      <c r="AFY114" s="395"/>
      <c r="AFZ114" s="395"/>
      <c r="AGA114" s="395"/>
      <c r="AGB114" s="395"/>
      <c r="AGC114" s="395"/>
      <c r="AGD114" s="395"/>
      <c r="AGE114" s="395"/>
      <c r="AGF114" s="396"/>
      <c r="AGG114" s="394"/>
      <c r="AGH114" s="395"/>
      <c r="AGI114" s="395"/>
      <c r="AGJ114" s="395"/>
      <c r="AGK114" s="395"/>
      <c r="AGL114" s="395"/>
      <c r="AGM114" s="395"/>
      <c r="AGN114" s="395"/>
      <c r="AGO114" s="395"/>
      <c r="AGP114" s="395"/>
      <c r="AGQ114" s="395"/>
      <c r="AGR114" s="395"/>
      <c r="AGS114" s="395"/>
      <c r="AGT114" s="395"/>
      <c r="AGU114" s="395"/>
      <c r="AGV114" s="395"/>
      <c r="AGW114" s="395"/>
      <c r="AGX114" s="395"/>
      <c r="AGY114" s="395"/>
      <c r="AGZ114" s="395"/>
      <c r="AHA114" s="395"/>
      <c r="AHB114" s="395"/>
      <c r="AHC114" s="395"/>
      <c r="AHD114" s="395"/>
      <c r="AHE114" s="395"/>
      <c r="AHF114" s="395"/>
      <c r="AHG114" s="396"/>
      <c r="AHH114" s="394"/>
      <c r="AHI114" s="395"/>
      <c r="AHJ114" s="395"/>
      <c r="AHK114" s="395"/>
      <c r="AHL114" s="395"/>
      <c r="AHM114" s="395"/>
      <c r="AHN114" s="395"/>
      <c r="AHO114" s="395"/>
      <c r="AHP114" s="395"/>
      <c r="AHQ114" s="395"/>
      <c r="AHR114" s="395"/>
      <c r="AHS114" s="395"/>
      <c r="AHT114" s="395"/>
      <c r="AHU114" s="395"/>
      <c r="AHV114" s="395"/>
      <c r="AHW114" s="395"/>
      <c r="AHX114" s="395"/>
      <c r="AHY114" s="395"/>
      <c r="AHZ114" s="395"/>
      <c r="AIA114" s="395"/>
      <c r="AIB114" s="395"/>
      <c r="AIC114" s="395"/>
      <c r="AID114" s="395"/>
      <c r="AIE114" s="395"/>
      <c r="AIF114" s="395"/>
      <c r="AIG114" s="395"/>
      <c r="AIH114" s="396"/>
      <c r="AII114" s="394"/>
      <c r="AIJ114" s="395"/>
      <c r="AIK114" s="395"/>
      <c r="AIL114" s="395"/>
      <c r="AIM114" s="395"/>
      <c r="AIN114" s="395"/>
      <c r="AIO114" s="395"/>
      <c r="AIP114" s="395"/>
      <c r="AIQ114" s="395"/>
      <c r="AIR114" s="395"/>
      <c r="AIS114" s="395"/>
      <c r="AIT114" s="395"/>
      <c r="AIU114" s="395"/>
      <c r="AIV114" s="395"/>
      <c r="AIW114" s="395"/>
      <c r="AIX114" s="395"/>
      <c r="AIY114" s="395"/>
      <c r="AIZ114" s="395"/>
      <c r="AJA114" s="395"/>
      <c r="AJB114" s="395"/>
      <c r="AJC114" s="395"/>
      <c r="AJD114" s="395"/>
      <c r="AJE114" s="395"/>
      <c r="AJF114" s="395"/>
      <c r="AJG114" s="395"/>
      <c r="AJH114" s="395"/>
      <c r="AJI114" s="396"/>
      <c r="AJJ114" s="394"/>
      <c r="AJK114" s="395"/>
      <c r="AJL114" s="395"/>
      <c r="AJM114" s="395"/>
      <c r="AJN114" s="395"/>
      <c r="AJO114" s="395"/>
      <c r="AJP114" s="395"/>
      <c r="AJQ114" s="395"/>
      <c r="AJR114" s="395"/>
      <c r="AJS114" s="395"/>
      <c r="AJT114" s="395"/>
      <c r="AJU114" s="395"/>
      <c r="AJV114" s="395"/>
      <c r="AJW114" s="395"/>
      <c r="AJX114" s="395"/>
      <c r="AJY114" s="395"/>
      <c r="AJZ114" s="395"/>
      <c r="AKA114" s="395"/>
      <c r="AKB114" s="395"/>
      <c r="AKC114" s="395"/>
      <c r="AKD114" s="395"/>
      <c r="AKE114" s="395"/>
      <c r="AKF114" s="395"/>
      <c r="AKG114" s="395"/>
      <c r="AKH114" s="395"/>
      <c r="AKI114" s="395"/>
      <c r="AKJ114" s="396"/>
      <c r="AKK114" s="394"/>
      <c r="AKL114" s="395"/>
      <c r="AKM114" s="395"/>
      <c r="AKN114" s="395"/>
      <c r="AKO114" s="395"/>
      <c r="AKP114" s="395"/>
      <c r="AKQ114" s="395"/>
      <c r="AKR114" s="395"/>
      <c r="AKS114" s="395"/>
      <c r="AKT114" s="395"/>
      <c r="AKU114" s="395"/>
      <c r="AKV114" s="395"/>
      <c r="AKW114" s="395"/>
      <c r="AKX114" s="395"/>
      <c r="AKY114" s="395"/>
      <c r="AKZ114" s="395"/>
      <c r="ALA114" s="395"/>
      <c r="ALB114" s="395"/>
      <c r="ALC114" s="395"/>
      <c r="ALD114" s="395"/>
      <c r="ALE114" s="395"/>
      <c r="ALF114" s="395"/>
      <c r="ALG114" s="395"/>
      <c r="ALH114" s="395"/>
      <c r="ALI114" s="395"/>
      <c r="ALJ114" s="395"/>
      <c r="ALK114" s="396"/>
      <c r="ALL114" s="394"/>
      <c r="ALM114" s="395"/>
      <c r="ALN114" s="395"/>
      <c r="ALO114" s="395"/>
      <c r="ALP114" s="395"/>
      <c r="ALQ114" s="395"/>
      <c r="ALR114" s="395"/>
      <c r="ALS114" s="395"/>
      <c r="ALT114" s="395"/>
      <c r="ALU114" s="395"/>
      <c r="ALV114" s="395"/>
      <c r="ALW114" s="395"/>
      <c r="ALX114" s="395"/>
      <c r="ALY114" s="395"/>
      <c r="ALZ114" s="395"/>
      <c r="AMA114" s="395"/>
      <c r="AMB114" s="395"/>
      <c r="AMC114" s="395"/>
      <c r="AMD114" s="395"/>
      <c r="AME114" s="395"/>
      <c r="AMF114" s="395"/>
      <c r="AMG114" s="395"/>
      <c r="AMH114" s="395"/>
      <c r="AMI114" s="395"/>
      <c r="AMJ114" s="395"/>
      <c r="AMK114" s="395"/>
      <c r="AML114" s="396"/>
      <c r="AMM114" s="394"/>
      <c r="AMN114" s="395"/>
      <c r="AMO114" s="395"/>
      <c r="AMP114" s="395"/>
      <c r="AMQ114" s="395"/>
      <c r="AMR114" s="395"/>
      <c r="AMS114" s="395"/>
      <c r="AMT114" s="395"/>
      <c r="AMU114" s="395"/>
      <c r="AMV114" s="395"/>
      <c r="AMW114" s="395"/>
      <c r="AMX114" s="395"/>
      <c r="AMY114" s="395"/>
      <c r="AMZ114" s="395"/>
      <c r="ANA114" s="395"/>
      <c r="ANB114" s="395"/>
      <c r="ANC114" s="395"/>
      <c r="AND114" s="395"/>
      <c r="ANE114" s="395"/>
      <c r="ANF114" s="395"/>
      <c r="ANG114" s="395"/>
      <c r="ANH114" s="395"/>
      <c r="ANI114" s="395"/>
      <c r="ANJ114" s="395"/>
      <c r="ANK114" s="395"/>
      <c r="ANL114" s="395"/>
      <c r="ANM114" s="396"/>
      <c r="ANN114" s="394"/>
      <c r="ANO114" s="395"/>
      <c r="ANP114" s="395"/>
      <c r="ANQ114" s="395"/>
      <c r="ANR114" s="395"/>
      <c r="ANS114" s="395"/>
      <c r="ANT114" s="395"/>
      <c r="ANU114" s="395"/>
      <c r="ANV114" s="395"/>
      <c r="ANW114" s="395"/>
      <c r="ANX114" s="395"/>
      <c r="ANY114" s="395"/>
      <c r="ANZ114" s="395"/>
      <c r="AOA114" s="395"/>
      <c r="AOB114" s="395"/>
      <c r="AOC114" s="395"/>
      <c r="AOD114" s="395"/>
      <c r="AOE114" s="395"/>
      <c r="AOF114" s="395"/>
      <c r="AOG114" s="395"/>
      <c r="AOH114" s="395"/>
      <c r="AOI114" s="395"/>
      <c r="AOJ114" s="395"/>
      <c r="AOK114" s="395"/>
      <c r="AOL114" s="395"/>
      <c r="AOM114" s="395"/>
      <c r="AON114" s="396"/>
      <c r="AOO114" s="394"/>
      <c r="AOP114" s="395"/>
      <c r="AOQ114" s="395"/>
      <c r="AOR114" s="395"/>
      <c r="AOS114" s="395"/>
      <c r="AOT114" s="395"/>
      <c r="AOU114" s="395"/>
      <c r="AOV114" s="395"/>
      <c r="AOW114" s="395"/>
      <c r="AOX114" s="395"/>
      <c r="AOY114" s="395"/>
      <c r="AOZ114" s="395"/>
      <c r="APA114" s="395"/>
      <c r="APB114" s="395"/>
      <c r="APC114" s="395"/>
      <c r="APD114" s="395"/>
      <c r="APE114" s="395"/>
      <c r="APF114" s="395"/>
      <c r="APG114" s="395"/>
      <c r="APH114" s="395"/>
      <c r="API114" s="395"/>
      <c r="APJ114" s="395"/>
      <c r="APK114" s="395"/>
      <c r="APL114" s="395"/>
      <c r="APM114" s="395"/>
      <c r="APN114" s="395"/>
      <c r="APO114" s="396"/>
      <c r="APP114" s="394"/>
      <c r="APQ114" s="395"/>
      <c r="APR114" s="395"/>
      <c r="APS114" s="395"/>
      <c r="APT114" s="395"/>
      <c r="APU114" s="395"/>
      <c r="APV114" s="395"/>
      <c r="APW114" s="395"/>
      <c r="APX114" s="395"/>
      <c r="APY114" s="395"/>
      <c r="APZ114" s="395"/>
      <c r="AQA114" s="395"/>
      <c r="AQB114" s="395"/>
      <c r="AQC114" s="395"/>
      <c r="AQD114" s="395"/>
      <c r="AQE114" s="395"/>
      <c r="AQF114" s="395"/>
      <c r="AQG114" s="395"/>
      <c r="AQH114" s="395"/>
      <c r="AQI114" s="395"/>
      <c r="AQJ114" s="395"/>
      <c r="AQK114" s="395"/>
      <c r="AQL114" s="395"/>
      <c r="AQM114" s="395"/>
      <c r="AQN114" s="395"/>
      <c r="AQO114" s="395"/>
      <c r="AQP114" s="396"/>
      <c r="AQQ114" s="394"/>
      <c r="AQR114" s="395"/>
      <c r="AQS114" s="395"/>
      <c r="AQT114" s="395"/>
      <c r="AQU114" s="395"/>
      <c r="AQV114" s="395"/>
      <c r="AQW114" s="395"/>
      <c r="AQX114" s="395"/>
      <c r="AQY114" s="395"/>
      <c r="AQZ114" s="395"/>
      <c r="ARA114" s="395"/>
      <c r="ARB114" s="395"/>
      <c r="ARC114" s="395"/>
      <c r="ARD114" s="395"/>
      <c r="ARE114" s="395"/>
      <c r="ARF114" s="395"/>
      <c r="ARG114" s="395"/>
      <c r="ARH114" s="395"/>
      <c r="ARI114" s="395"/>
      <c r="ARJ114" s="395"/>
      <c r="ARK114" s="395"/>
      <c r="ARL114" s="395"/>
      <c r="ARM114" s="395"/>
      <c r="ARN114" s="395"/>
      <c r="ARO114" s="395"/>
      <c r="ARP114" s="395"/>
      <c r="ARQ114" s="396"/>
      <c r="ARR114" s="394"/>
      <c r="ARS114" s="395"/>
      <c r="ART114" s="395"/>
      <c r="ARU114" s="395"/>
      <c r="ARV114" s="395"/>
      <c r="ARW114" s="395"/>
      <c r="ARX114" s="395"/>
      <c r="ARY114" s="395"/>
      <c r="ARZ114" s="395"/>
      <c r="ASA114" s="395"/>
      <c r="ASB114" s="395"/>
      <c r="ASC114" s="395"/>
      <c r="ASD114" s="395"/>
      <c r="ASE114" s="395"/>
      <c r="ASF114" s="395"/>
      <c r="ASG114" s="395"/>
      <c r="ASH114" s="395"/>
      <c r="ASI114" s="395"/>
      <c r="ASJ114" s="395"/>
      <c r="ASK114" s="395"/>
      <c r="ASL114" s="395"/>
      <c r="ASM114" s="395"/>
      <c r="ASN114" s="395"/>
      <c r="ASO114" s="395"/>
      <c r="ASP114" s="395"/>
      <c r="ASQ114" s="395"/>
      <c r="ASR114" s="396"/>
      <c r="ASS114" s="394"/>
      <c r="AST114" s="395"/>
      <c r="ASU114" s="395"/>
      <c r="ASV114" s="395"/>
      <c r="ASW114" s="395"/>
      <c r="ASX114" s="395"/>
      <c r="ASY114" s="395"/>
      <c r="ASZ114" s="395"/>
      <c r="ATA114" s="395"/>
      <c r="ATB114" s="395"/>
      <c r="ATC114" s="395"/>
      <c r="ATD114" s="395"/>
      <c r="ATE114" s="395"/>
      <c r="ATF114" s="395"/>
      <c r="ATG114" s="395"/>
      <c r="ATH114" s="395"/>
      <c r="ATI114" s="395"/>
      <c r="ATJ114" s="395"/>
      <c r="ATK114" s="395"/>
      <c r="ATL114" s="395"/>
      <c r="ATM114" s="395"/>
      <c r="ATN114" s="395"/>
      <c r="ATO114" s="395"/>
      <c r="ATP114" s="395"/>
      <c r="ATQ114" s="395"/>
      <c r="ATR114" s="395"/>
      <c r="ATS114" s="396"/>
      <c r="ATT114" s="394"/>
      <c r="ATU114" s="395"/>
      <c r="ATV114" s="395"/>
      <c r="ATW114" s="395"/>
      <c r="ATX114" s="395"/>
      <c r="ATY114" s="395"/>
      <c r="ATZ114" s="395"/>
      <c r="AUA114" s="395"/>
      <c r="AUB114" s="395"/>
      <c r="AUC114" s="395"/>
      <c r="AUD114" s="395"/>
      <c r="AUE114" s="395"/>
      <c r="AUF114" s="395"/>
      <c r="AUG114" s="395"/>
      <c r="AUH114" s="395"/>
      <c r="AUI114" s="395"/>
      <c r="AUJ114" s="395"/>
      <c r="AUK114" s="395"/>
      <c r="AUL114" s="395"/>
      <c r="AUM114" s="395"/>
      <c r="AUN114" s="395"/>
      <c r="AUO114" s="395"/>
      <c r="AUP114" s="395"/>
      <c r="AUQ114" s="395"/>
      <c r="AUR114" s="395"/>
      <c r="AUS114" s="395"/>
      <c r="AUT114" s="396"/>
      <c r="AUU114" s="394"/>
      <c r="AUV114" s="395"/>
      <c r="AUW114" s="395"/>
      <c r="AUX114" s="395"/>
      <c r="AUY114" s="395"/>
      <c r="AUZ114" s="395"/>
      <c r="AVA114" s="395"/>
      <c r="AVB114" s="395"/>
      <c r="AVC114" s="395"/>
      <c r="AVD114" s="395"/>
      <c r="AVE114" s="395"/>
      <c r="AVF114" s="395"/>
      <c r="AVG114" s="395"/>
      <c r="AVH114" s="395"/>
      <c r="AVI114" s="395"/>
      <c r="AVJ114" s="395"/>
      <c r="AVK114" s="395"/>
      <c r="AVL114" s="395"/>
      <c r="AVM114" s="395"/>
      <c r="AVN114" s="395"/>
      <c r="AVO114" s="395"/>
      <c r="AVP114" s="395"/>
      <c r="AVQ114" s="395"/>
      <c r="AVR114" s="395"/>
      <c r="AVS114" s="395"/>
      <c r="AVT114" s="395"/>
      <c r="AVU114" s="396"/>
      <c r="AVV114" s="394"/>
      <c r="AVW114" s="395"/>
      <c r="AVX114" s="395"/>
      <c r="AVY114" s="395"/>
      <c r="AVZ114" s="395"/>
      <c r="AWA114" s="395"/>
      <c r="AWB114" s="395"/>
      <c r="AWC114" s="395"/>
      <c r="AWD114" s="395"/>
      <c r="AWE114" s="395"/>
      <c r="AWF114" s="395"/>
      <c r="AWG114" s="395"/>
      <c r="AWH114" s="395"/>
      <c r="AWI114" s="395"/>
      <c r="AWJ114" s="395"/>
      <c r="AWK114" s="395"/>
      <c r="AWL114" s="395"/>
      <c r="AWM114" s="395"/>
      <c r="AWN114" s="395"/>
      <c r="AWO114" s="395"/>
      <c r="AWP114" s="395"/>
      <c r="AWQ114" s="395"/>
      <c r="AWR114" s="395"/>
      <c r="AWS114" s="395"/>
      <c r="AWT114" s="395"/>
      <c r="AWU114" s="395"/>
      <c r="AWV114" s="396"/>
      <c r="AWW114" s="394"/>
      <c r="AWX114" s="395"/>
      <c r="AWY114" s="395"/>
      <c r="AWZ114" s="395"/>
      <c r="AXA114" s="395"/>
      <c r="AXB114" s="395"/>
      <c r="AXC114" s="395"/>
      <c r="AXD114" s="395"/>
      <c r="AXE114" s="395"/>
      <c r="AXF114" s="395"/>
      <c r="AXG114" s="395"/>
      <c r="AXH114" s="395"/>
      <c r="AXI114" s="395"/>
      <c r="AXJ114" s="395"/>
      <c r="AXK114" s="395"/>
      <c r="AXL114" s="395"/>
      <c r="AXM114" s="395"/>
      <c r="AXN114" s="395"/>
      <c r="AXO114" s="395"/>
      <c r="AXP114" s="395"/>
      <c r="AXQ114" s="395"/>
      <c r="AXR114" s="395"/>
      <c r="AXS114" s="395"/>
      <c r="AXT114" s="395"/>
      <c r="AXU114" s="395"/>
      <c r="AXV114" s="395"/>
      <c r="AXW114" s="396"/>
      <c r="AXX114" s="394"/>
      <c r="AXY114" s="395"/>
      <c r="AXZ114" s="395"/>
      <c r="AYA114" s="395"/>
      <c r="AYB114" s="395"/>
      <c r="AYC114" s="395"/>
      <c r="AYD114" s="395"/>
      <c r="AYE114" s="395"/>
      <c r="AYF114" s="395"/>
      <c r="AYG114" s="395"/>
      <c r="AYH114" s="395"/>
      <c r="AYI114" s="395"/>
      <c r="AYJ114" s="395"/>
      <c r="AYK114" s="395"/>
      <c r="AYL114" s="395"/>
      <c r="AYM114" s="395"/>
      <c r="AYN114" s="395"/>
      <c r="AYO114" s="395"/>
      <c r="AYP114" s="395"/>
      <c r="AYQ114" s="395"/>
      <c r="AYR114" s="395"/>
      <c r="AYS114" s="395"/>
      <c r="AYT114" s="395"/>
      <c r="AYU114" s="395"/>
      <c r="AYV114" s="395"/>
      <c r="AYW114" s="395"/>
      <c r="AYX114" s="396"/>
      <c r="AYY114" s="394"/>
      <c r="AYZ114" s="395"/>
      <c r="AZA114" s="395"/>
      <c r="AZB114" s="395"/>
      <c r="AZC114" s="395"/>
      <c r="AZD114" s="395"/>
      <c r="AZE114" s="395"/>
      <c r="AZF114" s="395"/>
      <c r="AZG114" s="395"/>
      <c r="AZH114" s="395"/>
      <c r="AZI114" s="395"/>
      <c r="AZJ114" s="395"/>
      <c r="AZK114" s="395"/>
      <c r="AZL114" s="395"/>
      <c r="AZM114" s="395"/>
      <c r="AZN114" s="395"/>
      <c r="AZO114" s="395"/>
      <c r="AZP114" s="395"/>
      <c r="AZQ114" s="395"/>
      <c r="AZR114" s="395"/>
      <c r="AZS114" s="395"/>
      <c r="AZT114" s="395"/>
      <c r="AZU114" s="395"/>
      <c r="AZV114" s="395"/>
      <c r="AZW114" s="395"/>
      <c r="AZX114" s="395"/>
      <c r="AZY114" s="396"/>
      <c r="AZZ114" s="394"/>
      <c r="BAA114" s="395"/>
      <c r="BAB114" s="395"/>
      <c r="BAC114" s="395"/>
      <c r="BAD114" s="395"/>
      <c r="BAE114" s="395"/>
      <c r="BAF114" s="395"/>
      <c r="BAG114" s="395"/>
      <c r="BAH114" s="395"/>
      <c r="BAI114" s="395"/>
      <c r="BAJ114" s="395"/>
      <c r="BAK114" s="395"/>
      <c r="BAL114" s="395"/>
      <c r="BAM114" s="395"/>
      <c r="BAN114" s="395"/>
      <c r="BAO114" s="395"/>
      <c r="BAP114" s="395"/>
      <c r="BAQ114" s="395"/>
      <c r="BAR114" s="395"/>
      <c r="BAS114" s="395"/>
      <c r="BAT114" s="395"/>
      <c r="BAU114" s="395"/>
      <c r="BAV114" s="395"/>
      <c r="BAW114" s="395"/>
      <c r="BAX114" s="395"/>
      <c r="BAY114" s="395"/>
      <c r="BAZ114" s="396"/>
      <c r="BBA114" s="394"/>
      <c r="BBB114" s="395"/>
      <c r="BBC114" s="395"/>
      <c r="BBD114" s="395"/>
      <c r="BBE114" s="395"/>
      <c r="BBF114" s="395"/>
      <c r="BBG114" s="395"/>
      <c r="BBH114" s="395"/>
      <c r="BBI114" s="395"/>
      <c r="BBJ114" s="395"/>
      <c r="BBK114" s="395"/>
      <c r="BBL114" s="395"/>
      <c r="BBM114" s="395"/>
      <c r="BBN114" s="395"/>
      <c r="BBO114" s="395"/>
      <c r="BBP114" s="395"/>
      <c r="BBQ114" s="395"/>
      <c r="BBR114" s="395"/>
      <c r="BBS114" s="395"/>
      <c r="BBT114" s="395"/>
      <c r="BBU114" s="395"/>
      <c r="BBV114" s="395"/>
      <c r="BBW114" s="395"/>
      <c r="BBX114" s="395"/>
      <c r="BBY114" s="395"/>
      <c r="BBZ114" s="395"/>
      <c r="BCA114" s="396"/>
      <c r="BCB114" s="394"/>
      <c r="BCC114" s="395"/>
      <c r="BCD114" s="395"/>
      <c r="BCE114" s="395"/>
      <c r="BCF114" s="395"/>
      <c r="BCG114" s="395"/>
      <c r="BCH114" s="395"/>
      <c r="BCI114" s="395"/>
      <c r="BCJ114" s="395"/>
      <c r="BCK114" s="395"/>
      <c r="BCL114" s="395"/>
      <c r="BCM114" s="395"/>
      <c r="BCN114" s="395"/>
      <c r="BCO114" s="395"/>
      <c r="BCP114" s="395"/>
      <c r="BCQ114" s="395"/>
      <c r="BCR114" s="395"/>
      <c r="BCS114" s="395"/>
      <c r="BCT114" s="395"/>
      <c r="BCU114" s="395"/>
      <c r="BCV114" s="395"/>
      <c r="BCW114" s="395"/>
      <c r="BCX114" s="395"/>
      <c r="BCY114" s="395"/>
      <c r="BCZ114" s="395"/>
      <c r="BDA114" s="395"/>
      <c r="BDB114" s="396"/>
      <c r="BDC114" s="394"/>
      <c r="BDD114" s="395"/>
      <c r="BDE114" s="395"/>
      <c r="BDF114" s="395"/>
      <c r="BDG114" s="395"/>
      <c r="BDH114" s="395"/>
      <c r="BDI114" s="395"/>
      <c r="BDJ114" s="395"/>
      <c r="BDK114" s="395"/>
      <c r="BDL114" s="395"/>
      <c r="BDM114" s="395"/>
      <c r="BDN114" s="395"/>
      <c r="BDO114" s="395"/>
      <c r="BDP114" s="395"/>
      <c r="BDQ114" s="395"/>
      <c r="BDR114" s="395"/>
      <c r="BDS114" s="395"/>
      <c r="BDT114" s="395"/>
      <c r="BDU114" s="395"/>
      <c r="BDV114" s="395"/>
      <c r="BDW114" s="395"/>
      <c r="BDX114" s="395"/>
      <c r="BDY114" s="395"/>
      <c r="BDZ114" s="395"/>
      <c r="BEA114" s="395"/>
      <c r="BEB114" s="395"/>
      <c r="BEC114" s="396"/>
      <c r="BED114" s="394"/>
      <c r="BEE114" s="395"/>
      <c r="BEF114" s="395"/>
      <c r="BEG114" s="395"/>
      <c r="BEH114" s="395"/>
      <c r="BEI114" s="395"/>
      <c r="BEJ114" s="395"/>
      <c r="BEK114" s="395"/>
      <c r="BEL114" s="395"/>
      <c r="BEM114" s="395"/>
      <c r="BEN114" s="395"/>
      <c r="BEO114" s="395"/>
      <c r="BEP114" s="395"/>
      <c r="BEQ114" s="395"/>
      <c r="BER114" s="395"/>
      <c r="BES114" s="395"/>
      <c r="BET114" s="395"/>
      <c r="BEU114" s="395"/>
      <c r="BEV114" s="395"/>
      <c r="BEW114" s="395"/>
      <c r="BEX114" s="395"/>
      <c r="BEY114" s="395"/>
      <c r="BEZ114" s="395"/>
      <c r="BFA114" s="395"/>
      <c r="BFB114" s="395"/>
      <c r="BFC114" s="395"/>
      <c r="BFD114" s="396"/>
      <c r="BFE114" s="394"/>
      <c r="BFF114" s="395"/>
      <c r="BFG114" s="395"/>
      <c r="BFH114" s="395"/>
      <c r="BFI114" s="395"/>
      <c r="BFJ114" s="395"/>
      <c r="BFK114" s="395"/>
      <c r="BFL114" s="395"/>
      <c r="BFM114" s="395"/>
      <c r="BFN114" s="395"/>
      <c r="BFO114" s="395"/>
      <c r="BFP114" s="395"/>
      <c r="BFQ114" s="395"/>
      <c r="BFR114" s="395"/>
      <c r="BFS114" s="395"/>
      <c r="BFT114" s="395"/>
      <c r="BFU114" s="395"/>
      <c r="BFV114" s="395"/>
      <c r="BFW114" s="395"/>
      <c r="BFX114" s="395"/>
      <c r="BFY114" s="395"/>
      <c r="BFZ114" s="395"/>
      <c r="BGA114" s="395"/>
      <c r="BGB114" s="395"/>
      <c r="BGC114" s="395"/>
      <c r="BGD114" s="395"/>
      <c r="BGE114" s="396"/>
      <c r="BGF114" s="394"/>
      <c r="BGG114" s="395"/>
      <c r="BGH114" s="395"/>
      <c r="BGI114" s="395"/>
      <c r="BGJ114" s="395"/>
      <c r="BGK114" s="395"/>
      <c r="BGL114" s="395"/>
      <c r="BGM114" s="395"/>
      <c r="BGN114" s="395"/>
      <c r="BGO114" s="395"/>
      <c r="BGP114" s="395"/>
      <c r="BGQ114" s="395"/>
      <c r="BGR114" s="395"/>
      <c r="BGS114" s="395"/>
      <c r="BGT114" s="395"/>
      <c r="BGU114" s="395"/>
      <c r="BGV114" s="395"/>
      <c r="BGW114" s="395"/>
      <c r="BGX114" s="395"/>
      <c r="BGY114" s="395"/>
      <c r="BGZ114" s="395"/>
      <c r="BHA114" s="395"/>
      <c r="BHB114" s="395"/>
      <c r="BHC114" s="395"/>
      <c r="BHD114" s="395"/>
      <c r="BHE114" s="395"/>
      <c r="BHF114" s="396"/>
      <c r="BHG114" s="394"/>
      <c r="BHH114" s="395"/>
      <c r="BHI114" s="395"/>
      <c r="BHJ114" s="395"/>
      <c r="BHK114" s="395"/>
      <c r="BHL114" s="395"/>
      <c r="BHM114" s="395"/>
      <c r="BHN114" s="395"/>
      <c r="BHO114" s="395"/>
      <c r="BHP114" s="395"/>
      <c r="BHQ114" s="395"/>
      <c r="BHR114" s="395"/>
      <c r="BHS114" s="395"/>
      <c r="BHT114" s="395"/>
      <c r="BHU114" s="395"/>
      <c r="BHV114" s="395"/>
      <c r="BHW114" s="395"/>
      <c r="BHX114" s="395"/>
      <c r="BHY114" s="395"/>
      <c r="BHZ114" s="395"/>
      <c r="BIA114" s="395"/>
      <c r="BIB114" s="395"/>
      <c r="BIC114" s="395"/>
      <c r="BID114" s="395"/>
      <c r="BIE114" s="395"/>
      <c r="BIF114" s="395"/>
      <c r="BIG114" s="396"/>
      <c r="BIH114" s="394"/>
      <c r="BII114" s="395"/>
      <c r="BIJ114" s="395"/>
      <c r="BIK114" s="395"/>
      <c r="BIL114" s="395"/>
      <c r="BIM114" s="395"/>
      <c r="BIN114" s="395"/>
      <c r="BIO114" s="395"/>
      <c r="BIP114" s="395"/>
      <c r="BIQ114" s="395"/>
      <c r="BIR114" s="395"/>
      <c r="BIS114" s="395"/>
      <c r="BIT114" s="395"/>
      <c r="BIU114" s="395"/>
      <c r="BIV114" s="395"/>
      <c r="BIW114" s="395"/>
      <c r="BIX114" s="395"/>
      <c r="BIY114" s="395"/>
      <c r="BIZ114" s="395"/>
      <c r="BJA114" s="395"/>
      <c r="BJB114" s="395"/>
      <c r="BJC114" s="395"/>
      <c r="BJD114" s="395"/>
      <c r="BJE114" s="395"/>
      <c r="BJF114" s="395"/>
      <c r="BJG114" s="395"/>
      <c r="BJH114" s="396"/>
      <c r="BJI114" s="394"/>
      <c r="BJJ114" s="395"/>
      <c r="BJK114" s="395"/>
      <c r="BJL114" s="395"/>
      <c r="BJM114" s="395"/>
      <c r="BJN114" s="395"/>
      <c r="BJO114" s="395"/>
      <c r="BJP114" s="395"/>
      <c r="BJQ114" s="395"/>
      <c r="BJR114" s="395"/>
      <c r="BJS114" s="395"/>
      <c r="BJT114" s="395"/>
      <c r="BJU114" s="395"/>
      <c r="BJV114" s="395"/>
      <c r="BJW114" s="395"/>
      <c r="BJX114" s="395"/>
      <c r="BJY114" s="395"/>
      <c r="BJZ114" s="395"/>
      <c r="BKA114" s="395"/>
      <c r="BKB114" s="395"/>
      <c r="BKC114" s="395"/>
      <c r="BKD114" s="395"/>
      <c r="BKE114" s="395"/>
      <c r="BKF114" s="395"/>
      <c r="BKG114" s="395"/>
      <c r="BKH114" s="395"/>
      <c r="BKI114" s="396"/>
      <c r="BKJ114" s="394"/>
      <c r="BKK114" s="395"/>
      <c r="BKL114" s="395"/>
      <c r="BKM114" s="395"/>
      <c r="BKN114" s="395"/>
      <c r="BKO114" s="395"/>
      <c r="BKP114" s="395"/>
      <c r="BKQ114" s="395"/>
      <c r="BKR114" s="395"/>
      <c r="BKS114" s="395"/>
      <c r="BKT114" s="395"/>
      <c r="BKU114" s="395"/>
      <c r="BKV114" s="395"/>
      <c r="BKW114" s="395"/>
      <c r="BKX114" s="395"/>
      <c r="BKY114" s="395"/>
      <c r="BKZ114" s="395"/>
      <c r="BLA114" s="395"/>
      <c r="BLB114" s="395"/>
      <c r="BLC114" s="395"/>
      <c r="BLD114" s="395"/>
      <c r="BLE114" s="395"/>
      <c r="BLF114" s="395"/>
      <c r="BLG114" s="395"/>
      <c r="BLH114" s="395"/>
      <c r="BLI114" s="395"/>
      <c r="BLJ114" s="396"/>
      <c r="BLK114" s="394"/>
      <c r="BLL114" s="395"/>
      <c r="BLM114" s="395"/>
      <c r="BLN114" s="395"/>
      <c r="BLO114" s="395"/>
      <c r="BLP114" s="395"/>
      <c r="BLQ114" s="395"/>
      <c r="BLR114" s="395"/>
      <c r="BLS114" s="395"/>
      <c r="BLT114" s="395"/>
      <c r="BLU114" s="395"/>
      <c r="BLV114" s="395"/>
      <c r="BLW114" s="395"/>
      <c r="BLX114" s="395"/>
      <c r="BLY114" s="395"/>
      <c r="BLZ114" s="395"/>
      <c r="BMA114" s="395"/>
      <c r="BMB114" s="395"/>
      <c r="BMC114" s="395"/>
      <c r="BMD114" s="395"/>
      <c r="BME114" s="395"/>
      <c r="BMF114" s="395"/>
      <c r="BMG114" s="395"/>
      <c r="BMH114" s="395"/>
      <c r="BMI114" s="395"/>
      <c r="BMJ114" s="395"/>
      <c r="BMK114" s="396"/>
      <c r="BML114" s="394"/>
      <c r="BMM114" s="395"/>
      <c r="BMN114" s="395"/>
      <c r="BMO114" s="395"/>
      <c r="BMP114" s="395"/>
      <c r="BMQ114" s="395"/>
      <c r="BMR114" s="395"/>
      <c r="BMS114" s="395"/>
      <c r="BMT114" s="395"/>
      <c r="BMU114" s="395"/>
      <c r="BMV114" s="395"/>
      <c r="BMW114" s="395"/>
      <c r="BMX114" s="395"/>
      <c r="BMY114" s="395"/>
      <c r="BMZ114" s="395"/>
      <c r="BNA114" s="395"/>
      <c r="BNB114" s="395"/>
      <c r="BNC114" s="395"/>
      <c r="BND114" s="395"/>
      <c r="BNE114" s="395"/>
      <c r="BNF114" s="395"/>
      <c r="BNG114" s="395"/>
      <c r="BNH114" s="395"/>
      <c r="BNI114" s="395"/>
      <c r="BNJ114" s="395"/>
      <c r="BNK114" s="395"/>
      <c r="BNL114" s="396"/>
      <c r="BNM114" s="394"/>
      <c r="BNN114" s="395"/>
      <c r="BNO114" s="395"/>
      <c r="BNP114" s="395"/>
      <c r="BNQ114" s="395"/>
      <c r="BNR114" s="395"/>
      <c r="BNS114" s="395"/>
      <c r="BNT114" s="395"/>
      <c r="BNU114" s="395"/>
      <c r="BNV114" s="395"/>
      <c r="BNW114" s="395"/>
      <c r="BNX114" s="395"/>
      <c r="BNY114" s="395"/>
      <c r="BNZ114" s="395"/>
      <c r="BOA114" s="395"/>
      <c r="BOB114" s="395"/>
      <c r="BOC114" s="395"/>
      <c r="BOD114" s="395"/>
      <c r="BOE114" s="395"/>
      <c r="BOF114" s="395"/>
      <c r="BOG114" s="395"/>
      <c r="BOH114" s="395"/>
      <c r="BOI114" s="395"/>
      <c r="BOJ114" s="395"/>
      <c r="BOK114" s="395"/>
      <c r="BOL114" s="395"/>
      <c r="BOM114" s="396"/>
      <c r="BON114" s="394"/>
      <c r="BOO114" s="395"/>
      <c r="BOP114" s="395"/>
      <c r="BOQ114" s="395"/>
      <c r="BOR114" s="395"/>
      <c r="BOS114" s="395"/>
      <c r="BOT114" s="395"/>
      <c r="BOU114" s="395"/>
      <c r="BOV114" s="395"/>
      <c r="BOW114" s="395"/>
      <c r="BOX114" s="395"/>
      <c r="BOY114" s="395"/>
      <c r="BOZ114" s="395"/>
      <c r="BPA114" s="395"/>
      <c r="BPB114" s="395"/>
      <c r="BPC114" s="395"/>
      <c r="BPD114" s="395"/>
      <c r="BPE114" s="395"/>
      <c r="BPF114" s="395"/>
      <c r="BPG114" s="395"/>
      <c r="BPH114" s="395"/>
      <c r="BPI114" s="395"/>
      <c r="BPJ114" s="395"/>
      <c r="BPK114" s="395"/>
      <c r="BPL114" s="395"/>
      <c r="BPM114" s="395"/>
      <c r="BPN114" s="396"/>
      <c r="BPO114" s="394"/>
      <c r="BPP114" s="395"/>
      <c r="BPQ114" s="395"/>
      <c r="BPR114" s="395"/>
      <c r="BPS114" s="395"/>
      <c r="BPT114" s="395"/>
      <c r="BPU114" s="395"/>
      <c r="BPV114" s="395"/>
      <c r="BPW114" s="395"/>
      <c r="BPX114" s="395"/>
      <c r="BPY114" s="395"/>
      <c r="BPZ114" s="395"/>
      <c r="BQA114" s="395"/>
      <c r="BQB114" s="395"/>
      <c r="BQC114" s="395"/>
      <c r="BQD114" s="395"/>
      <c r="BQE114" s="395"/>
      <c r="BQF114" s="395"/>
      <c r="BQG114" s="395"/>
      <c r="BQH114" s="395"/>
      <c r="BQI114" s="395"/>
      <c r="BQJ114" s="395"/>
      <c r="BQK114" s="395"/>
      <c r="BQL114" s="395"/>
      <c r="BQM114" s="395"/>
      <c r="BQN114" s="395"/>
      <c r="BQO114" s="396"/>
      <c r="BQP114" s="394"/>
      <c r="BQQ114" s="395"/>
      <c r="BQR114" s="395"/>
      <c r="BQS114" s="395"/>
      <c r="BQT114" s="395"/>
      <c r="BQU114" s="395"/>
      <c r="BQV114" s="395"/>
      <c r="BQW114" s="395"/>
      <c r="BQX114" s="395"/>
      <c r="BQY114" s="395"/>
      <c r="BQZ114" s="395"/>
      <c r="BRA114" s="395"/>
      <c r="BRB114" s="395"/>
      <c r="BRC114" s="395"/>
      <c r="BRD114" s="395"/>
      <c r="BRE114" s="395"/>
      <c r="BRF114" s="395"/>
      <c r="BRG114" s="395"/>
      <c r="BRH114" s="395"/>
      <c r="BRI114" s="395"/>
      <c r="BRJ114" s="395"/>
      <c r="BRK114" s="395"/>
      <c r="BRL114" s="395"/>
      <c r="BRM114" s="395"/>
      <c r="BRN114" s="395"/>
      <c r="BRO114" s="395"/>
      <c r="BRP114" s="396"/>
      <c r="BRQ114" s="394"/>
      <c r="BRR114" s="395"/>
      <c r="BRS114" s="395"/>
      <c r="BRT114" s="395"/>
      <c r="BRU114" s="395"/>
      <c r="BRV114" s="395"/>
      <c r="BRW114" s="395"/>
      <c r="BRX114" s="395"/>
      <c r="BRY114" s="395"/>
      <c r="BRZ114" s="395"/>
      <c r="BSA114" s="395"/>
      <c r="BSB114" s="395"/>
      <c r="BSC114" s="395"/>
      <c r="BSD114" s="395"/>
      <c r="BSE114" s="395"/>
      <c r="BSF114" s="395"/>
      <c r="BSG114" s="395"/>
      <c r="BSH114" s="395"/>
      <c r="BSI114" s="395"/>
      <c r="BSJ114" s="395"/>
      <c r="BSK114" s="395"/>
      <c r="BSL114" s="395"/>
      <c r="BSM114" s="395"/>
      <c r="BSN114" s="395"/>
      <c r="BSO114" s="395"/>
      <c r="BSP114" s="395"/>
      <c r="BSQ114" s="396"/>
      <c r="BSR114" s="394"/>
      <c r="BSS114" s="395"/>
      <c r="BST114" s="395"/>
      <c r="BSU114" s="395"/>
      <c r="BSV114" s="395"/>
      <c r="BSW114" s="395"/>
      <c r="BSX114" s="395"/>
      <c r="BSY114" s="395"/>
      <c r="BSZ114" s="395"/>
      <c r="BTA114" s="395"/>
      <c r="BTB114" s="395"/>
      <c r="BTC114" s="395"/>
      <c r="BTD114" s="395"/>
      <c r="BTE114" s="395"/>
      <c r="BTF114" s="395"/>
      <c r="BTG114" s="395"/>
      <c r="BTH114" s="395"/>
      <c r="BTI114" s="395"/>
      <c r="BTJ114" s="395"/>
      <c r="BTK114" s="395"/>
      <c r="BTL114" s="395"/>
      <c r="BTM114" s="395"/>
      <c r="BTN114" s="395"/>
      <c r="BTO114" s="395"/>
      <c r="BTP114" s="395"/>
      <c r="BTQ114" s="395"/>
      <c r="BTR114" s="396"/>
      <c r="BTS114" s="394"/>
      <c r="BTT114" s="395"/>
      <c r="BTU114" s="395"/>
      <c r="BTV114" s="395"/>
      <c r="BTW114" s="395"/>
      <c r="BTX114" s="395"/>
      <c r="BTY114" s="395"/>
      <c r="BTZ114" s="395"/>
      <c r="BUA114" s="395"/>
      <c r="BUB114" s="395"/>
      <c r="BUC114" s="395"/>
      <c r="BUD114" s="395"/>
      <c r="BUE114" s="395"/>
      <c r="BUF114" s="395"/>
      <c r="BUG114" s="395"/>
      <c r="BUH114" s="395"/>
      <c r="BUI114" s="395"/>
      <c r="BUJ114" s="395"/>
      <c r="BUK114" s="395"/>
      <c r="BUL114" s="395"/>
      <c r="BUM114" s="395"/>
      <c r="BUN114" s="395"/>
      <c r="BUO114" s="395"/>
      <c r="BUP114" s="395"/>
      <c r="BUQ114" s="395"/>
      <c r="BUR114" s="395"/>
      <c r="BUS114" s="396"/>
      <c r="BUT114" s="394"/>
      <c r="BUU114" s="395"/>
      <c r="BUV114" s="395"/>
      <c r="BUW114" s="395"/>
      <c r="BUX114" s="395"/>
      <c r="BUY114" s="395"/>
      <c r="BUZ114" s="395"/>
      <c r="BVA114" s="395"/>
      <c r="BVB114" s="395"/>
      <c r="BVC114" s="395"/>
      <c r="BVD114" s="395"/>
      <c r="BVE114" s="395"/>
      <c r="BVF114" s="395"/>
      <c r="BVG114" s="395"/>
      <c r="BVH114" s="395"/>
      <c r="BVI114" s="395"/>
      <c r="BVJ114" s="395"/>
      <c r="BVK114" s="395"/>
      <c r="BVL114" s="395"/>
      <c r="BVM114" s="395"/>
      <c r="BVN114" s="395"/>
      <c r="BVO114" s="395"/>
      <c r="BVP114" s="395"/>
      <c r="BVQ114" s="395"/>
      <c r="BVR114" s="395"/>
      <c r="BVS114" s="395"/>
      <c r="BVT114" s="396"/>
      <c r="BVU114" s="394"/>
      <c r="BVV114" s="395"/>
      <c r="BVW114" s="395"/>
      <c r="BVX114" s="395"/>
      <c r="BVY114" s="395"/>
      <c r="BVZ114" s="395"/>
      <c r="BWA114" s="395"/>
      <c r="BWB114" s="395"/>
      <c r="BWC114" s="395"/>
      <c r="BWD114" s="395"/>
      <c r="BWE114" s="395"/>
      <c r="BWF114" s="395"/>
      <c r="BWG114" s="395"/>
      <c r="BWH114" s="395"/>
      <c r="BWI114" s="395"/>
      <c r="BWJ114" s="395"/>
      <c r="BWK114" s="395"/>
      <c r="BWL114" s="395"/>
      <c r="BWM114" s="395"/>
      <c r="BWN114" s="395"/>
      <c r="BWO114" s="395"/>
      <c r="BWP114" s="395"/>
      <c r="BWQ114" s="395"/>
      <c r="BWR114" s="395"/>
      <c r="BWS114" s="395"/>
      <c r="BWT114" s="395"/>
      <c r="BWU114" s="396"/>
      <c r="BWV114" s="394"/>
      <c r="BWW114" s="395"/>
      <c r="BWX114" s="395"/>
      <c r="BWY114" s="395"/>
      <c r="BWZ114" s="395"/>
      <c r="BXA114" s="395"/>
      <c r="BXB114" s="395"/>
      <c r="BXC114" s="395"/>
      <c r="BXD114" s="395"/>
      <c r="BXE114" s="395"/>
      <c r="BXF114" s="395"/>
      <c r="BXG114" s="395"/>
      <c r="BXH114" s="395"/>
      <c r="BXI114" s="395"/>
      <c r="BXJ114" s="395"/>
      <c r="BXK114" s="395"/>
      <c r="BXL114" s="395"/>
      <c r="BXM114" s="395"/>
      <c r="BXN114" s="395"/>
      <c r="BXO114" s="395"/>
      <c r="BXP114" s="395"/>
      <c r="BXQ114" s="395"/>
      <c r="BXR114" s="395"/>
      <c r="BXS114" s="395"/>
      <c r="BXT114" s="395"/>
      <c r="BXU114" s="395"/>
      <c r="BXV114" s="396"/>
      <c r="BXW114" s="394"/>
      <c r="BXX114" s="395"/>
      <c r="BXY114" s="395"/>
      <c r="BXZ114" s="395"/>
      <c r="BYA114" s="395"/>
      <c r="BYB114" s="395"/>
      <c r="BYC114" s="395"/>
      <c r="BYD114" s="395"/>
      <c r="BYE114" s="395"/>
      <c r="BYF114" s="395"/>
      <c r="BYG114" s="395"/>
      <c r="BYH114" s="395"/>
      <c r="BYI114" s="395"/>
      <c r="BYJ114" s="395"/>
      <c r="BYK114" s="395"/>
      <c r="BYL114" s="395"/>
      <c r="BYM114" s="395"/>
      <c r="BYN114" s="395"/>
      <c r="BYO114" s="395"/>
      <c r="BYP114" s="395"/>
      <c r="BYQ114" s="395"/>
      <c r="BYR114" s="395"/>
      <c r="BYS114" s="395"/>
      <c r="BYT114" s="395"/>
      <c r="BYU114" s="395"/>
      <c r="BYV114" s="395"/>
      <c r="BYW114" s="396"/>
      <c r="BYX114" s="394"/>
      <c r="BYY114" s="395"/>
      <c r="BYZ114" s="395"/>
      <c r="BZA114" s="395"/>
      <c r="BZB114" s="395"/>
      <c r="BZC114" s="395"/>
      <c r="BZD114" s="395"/>
      <c r="BZE114" s="395"/>
      <c r="BZF114" s="395"/>
      <c r="BZG114" s="395"/>
      <c r="BZH114" s="395"/>
      <c r="BZI114" s="395"/>
      <c r="BZJ114" s="395"/>
      <c r="BZK114" s="395"/>
      <c r="BZL114" s="395"/>
      <c r="BZM114" s="395"/>
      <c r="BZN114" s="395"/>
      <c r="BZO114" s="395"/>
      <c r="BZP114" s="395"/>
      <c r="BZQ114" s="395"/>
      <c r="BZR114" s="395"/>
      <c r="BZS114" s="395"/>
      <c r="BZT114" s="395"/>
      <c r="BZU114" s="395"/>
      <c r="BZV114" s="395"/>
      <c r="BZW114" s="395"/>
      <c r="BZX114" s="396"/>
      <c r="BZY114" s="394"/>
      <c r="BZZ114" s="395"/>
      <c r="CAA114" s="395"/>
      <c r="CAB114" s="395"/>
      <c r="CAC114" s="395"/>
      <c r="CAD114" s="395"/>
      <c r="CAE114" s="395"/>
      <c r="CAF114" s="395"/>
      <c r="CAG114" s="395"/>
      <c r="CAH114" s="395"/>
      <c r="CAI114" s="395"/>
      <c r="CAJ114" s="395"/>
      <c r="CAK114" s="395"/>
      <c r="CAL114" s="395"/>
      <c r="CAM114" s="395"/>
      <c r="CAN114" s="395"/>
      <c r="CAO114" s="395"/>
      <c r="CAP114" s="395"/>
      <c r="CAQ114" s="395"/>
      <c r="CAR114" s="395"/>
      <c r="CAS114" s="395"/>
      <c r="CAT114" s="395"/>
      <c r="CAU114" s="395"/>
      <c r="CAV114" s="395"/>
      <c r="CAW114" s="395"/>
      <c r="CAX114" s="395"/>
      <c r="CAY114" s="396"/>
      <c r="CAZ114" s="394"/>
      <c r="CBA114" s="395"/>
      <c r="CBB114" s="395"/>
      <c r="CBC114" s="395"/>
      <c r="CBD114" s="395"/>
      <c r="CBE114" s="395"/>
      <c r="CBF114" s="395"/>
      <c r="CBG114" s="395"/>
      <c r="CBH114" s="395"/>
      <c r="CBI114" s="395"/>
      <c r="CBJ114" s="395"/>
      <c r="CBK114" s="395"/>
      <c r="CBL114" s="395"/>
      <c r="CBM114" s="395"/>
      <c r="CBN114" s="395"/>
      <c r="CBO114" s="395"/>
      <c r="CBP114" s="395"/>
      <c r="CBQ114" s="395"/>
      <c r="CBR114" s="395"/>
      <c r="CBS114" s="395"/>
      <c r="CBT114" s="395"/>
      <c r="CBU114" s="395"/>
      <c r="CBV114" s="395"/>
      <c r="CBW114" s="395"/>
      <c r="CBX114" s="395"/>
      <c r="CBY114" s="395"/>
      <c r="CBZ114" s="396"/>
      <c r="CCA114" s="394"/>
      <c r="CCB114" s="395"/>
      <c r="CCC114" s="395"/>
      <c r="CCD114" s="395"/>
      <c r="CCE114" s="395"/>
      <c r="CCF114" s="395"/>
      <c r="CCG114" s="395"/>
      <c r="CCH114" s="395"/>
      <c r="CCI114" s="395"/>
      <c r="CCJ114" s="395"/>
      <c r="CCK114" s="395"/>
      <c r="CCL114" s="395"/>
      <c r="CCM114" s="395"/>
      <c r="CCN114" s="395"/>
      <c r="CCO114" s="395"/>
      <c r="CCP114" s="395"/>
      <c r="CCQ114" s="395"/>
      <c r="CCR114" s="395"/>
      <c r="CCS114" s="395"/>
      <c r="CCT114" s="395"/>
      <c r="CCU114" s="395"/>
      <c r="CCV114" s="395"/>
      <c r="CCW114" s="395"/>
      <c r="CCX114" s="395"/>
      <c r="CCY114" s="395"/>
      <c r="CCZ114" s="395"/>
      <c r="CDA114" s="396"/>
      <c r="CDB114" s="394"/>
      <c r="CDC114" s="395"/>
      <c r="CDD114" s="395"/>
      <c r="CDE114" s="395"/>
      <c r="CDF114" s="395"/>
      <c r="CDG114" s="395"/>
      <c r="CDH114" s="395"/>
      <c r="CDI114" s="395"/>
      <c r="CDJ114" s="395"/>
      <c r="CDK114" s="395"/>
      <c r="CDL114" s="395"/>
      <c r="CDM114" s="395"/>
      <c r="CDN114" s="395"/>
      <c r="CDO114" s="395"/>
      <c r="CDP114" s="395"/>
      <c r="CDQ114" s="395"/>
      <c r="CDR114" s="395"/>
      <c r="CDS114" s="395"/>
      <c r="CDT114" s="395"/>
      <c r="CDU114" s="395"/>
      <c r="CDV114" s="395"/>
      <c r="CDW114" s="395"/>
      <c r="CDX114" s="395"/>
      <c r="CDY114" s="395"/>
      <c r="CDZ114" s="395"/>
      <c r="CEA114" s="395"/>
      <c r="CEB114" s="396"/>
      <c r="CEC114" s="394"/>
      <c r="CED114" s="395"/>
      <c r="CEE114" s="395"/>
      <c r="CEF114" s="395"/>
      <c r="CEG114" s="395"/>
      <c r="CEH114" s="395"/>
      <c r="CEI114" s="395"/>
      <c r="CEJ114" s="395"/>
      <c r="CEK114" s="395"/>
      <c r="CEL114" s="395"/>
      <c r="CEM114" s="395"/>
      <c r="CEN114" s="395"/>
      <c r="CEO114" s="395"/>
      <c r="CEP114" s="395"/>
      <c r="CEQ114" s="395"/>
      <c r="CER114" s="395"/>
      <c r="CES114" s="395"/>
      <c r="CET114" s="395"/>
      <c r="CEU114" s="395"/>
      <c r="CEV114" s="395"/>
      <c r="CEW114" s="395"/>
      <c r="CEX114" s="395"/>
      <c r="CEY114" s="395"/>
      <c r="CEZ114" s="395"/>
      <c r="CFA114" s="395"/>
      <c r="CFB114" s="395"/>
      <c r="CFC114" s="396"/>
      <c r="CFD114" s="394"/>
      <c r="CFE114" s="395"/>
      <c r="CFF114" s="395"/>
      <c r="CFG114" s="395"/>
      <c r="CFH114" s="395"/>
      <c r="CFI114" s="395"/>
      <c r="CFJ114" s="395"/>
      <c r="CFK114" s="395"/>
      <c r="CFL114" s="395"/>
      <c r="CFM114" s="395"/>
      <c r="CFN114" s="395"/>
      <c r="CFO114" s="395"/>
      <c r="CFP114" s="395"/>
      <c r="CFQ114" s="395"/>
      <c r="CFR114" s="395"/>
      <c r="CFS114" s="395"/>
      <c r="CFT114" s="395"/>
      <c r="CFU114" s="395"/>
      <c r="CFV114" s="395"/>
      <c r="CFW114" s="395"/>
      <c r="CFX114" s="395"/>
      <c r="CFY114" s="395"/>
      <c r="CFZ114" s="395"/>
      <c r="CGA114" s="395"/>
      <c r="CGB114" s="395"/>
      <c r="CGC114" s="395"/>
      <c r="CGD114" s="396"/>
      <c r="CGE114" s="394"/>
      <c r="CGF114" s="395"/>
      <c r="CGG114" s="395"/>
      <c r="CGH114" s="395"/>
      <c r="CGI114" s="395"/>
      <c r="CGJ114" s="395"/>
      <c r="CGK114" s="395"/>
      <c r="CGL114" s="395"/>
      <c r="CGM114" s="395"/>
      <c r="CGN114" s="395"/>
      <c r="CGO114" s="395"/>
      <c r="CGP114" s="395"/>
      <c r="CGQ114" s="395"/>
      <c r="CGR114" s="395"/>
      <c r="CGS114" s="395"/>
      <c r="CGT114" s="395"/>
      <c r="CGU114" s="395"/>
      <c r="CGV114" s="395"/>
      <c r="CGW114" s="395"/>
      <c r="CGX114" s="395"/>
      <c r="CGY114" s="395"/>
      <c r="CGZ114" s="395"/>
      <c r="CHA114" s="395"/>
      <c r="CHB114" s="395"/>
      <c r="CHC114" s="395"/>
      <c r="CHD114" s="395"/>
      <c r="CHE114" s="396"/>
      <c r="CHF114" s="394"/>
      <c r="CHG114" s="395"/>
      <c r="CHH114" s="395"/>
      <c r="CHI114" s="395"/>
      <c r="CHJ114" s="395"/>
      <c r="CHK114" s="395"/>
      <c r="CHL114" s="395"/>
      <c r="CHM114" s="395"/>
      <c r="CHN114" s="395"/>
      <c r="CHO114" s="395"/>
      <c r="CHP114" s="395"/>
      <c r="CHQ114" s="395"/>
      <c r="CHR114" s="395"/>
      <c r="CHS114" s="395"/>
      <c r="CHT114" s="395"/>
      <c r="CHU114" s="395"/>
      <c r="CHV114" s="395"/>
      <c r="CHW114" s="395"/>
      <c r="CHX114" s="395"/>
      <c r="CHY114" s="395"/>
      <c r="CHZ114" s="395"/>
      <c r="CIA114" s="395"/>
      <c r="CIB114" s="395"/>
      <c r="CIC114" s="395"/>
      <c r="CID114" s="395"/>
      <c r="CIE114" s="395"/>
      <c r="CIF114" s="396"/>
      <c r="CIG114" s="394"/>
      <c r="CIH114" s="395"/>
      <c r="CII114" s="395"/>
      <c r="CIJ114" s="395"/>
      <c r="CIK114" s="395"/>
      <c r="CIL114" s="395"/>
      <c r="CIM114" s="395"/>
      <c r="CIN114" s="395"/>
      <c r="CIO114" s="395"/>
      <c r="CIP114" s="395"/>
      <c r="CIQ114" s="395"/>
      <c r="CIR114" s="395"/>
      <c r="CIS114" s="395"/>
      <c r="CIT114" s="395"/>
      <c r="CIU114" s="395"/>
      <c r="CIV114" s="395"/>
      <c r="CIW114" s="395"/>
      <c r="CIX114" s="395"/>
      <c r="CIY114" s="395"/>
      <c r="CIZ114" s="395"/>
      <c r="CJA114" s="395"/>
      <c r="CJB114" s="395"/>
      <c r="CJC114" s="395"/>
      <c r="CJD114" s="395"/>
      <c r="CJE114" s="395"/>
      <c r="CJF114" s="395"/>
      <c r="CJG114" s="396"/>
      <c r="CJH114" s="394"/>
      <c r="CJI114" s="395"/>
      <c r="CJJ114" s="395"/>
      <c r="CJK114" s="395"/>
      <c r="CJL114" s="395"/>
      <c r="CJM114" s="395"/>
      <c r="CJN114" s="395"/>
      <c r="CJO114" s="395"/>
      <c r="CJP114" s="395"/>
      <c r="CJQ114" s="395"/>
      <c r="CJR114" s="395"/>
      <c r="CJS114" s="395"/>
      <c r="CJT114" s="395"/>
      <c r="CJU114" s="395"/>
      <c r="CJV114" s="395"/>
      <c r="CJW114" s="395"/>
      <c r="CJX114" s="395"/>
      <c r="CJY114" s="395"/>
      <c r="CJZ114" s="395"/>
      <c r="CKA114" s="395"/>
      <c r="CKB114" s="395"/>
      <c r="CKC114" s="395"/>
      <c r="CKD114" s="395"/>
      <c r="CKE114" s="395"/>
      <c r="CKF114" s="395"/>
      <c r="CKG114" s="395"/>
      <c r="CKH114" s="396"/>
      <c r="CKI114" s="394"/>
      <c r="CKJ114" s="395"/>
      <c r="CKK114" s="395"/>
      <c r="CKL114" s="395"/>
      <c r="CKM114" s="395"/>
      <c r="CKN114" s="395"/>
      <c r="CKO114" s="395"/>
      <c r="CKP114" s="395"/>
      <c r="CKQ114" s="395"/>
      <c r="CKR114" s="395"/>
      <c r="CKS114" s="395"/>
      <c r="CKT114" s="395"/>
      <c r="CKU114" s="395"/>
      <c r="CKV114" s="395"/>
      <c r="CKW114" s="395"/>
      <c r="CKX114" s="395"/>
      <c r="CKY114" s="395"/>
      <c r="CKZ114" s="395"/>
      <c r="CLA114" s="395"/>
      <c r="CLB114" s="395"/>
      <c r="CLC114" s="395"/>
      <c r="CLD114" s="395"/>
      <c r="CLE114" s="395"/>
      <c r="CLF114" s="395"/>
      <c r="CLG114" s="395"/>
      <c r="CLH114" s="395"/>
      <c r="CLI114" s="396"/>
      <c r="CLJ114" s="394"/>
      <c r="CLK114" s="395"/>
      <c r="CLL114" s="395"/>
      <c r="CLM114" s="395"/>
      <c r="CLN114" s="395"/>
      <c r="CLO114" s="395"/>
      <c r="CLP114" s="395"/>
      <c r="CLQ114" s="395"/>
      <c r="CLR114" s="395"/>
      <c r="CLS114" s="395"/>
      <c r="CLT114" s="395"/>
      <c r="CLU114" s="395"/>
      <c r="CLV114" s="395"/>
      <c r="CLW114" s="395"/>
      <c r="CLX114" s="395"/>
      <c r="CLY114" s="395"/>
      <c r="CLZ114" s="395"/>
      <c r="CMA114" s="395"/>
      <c r="CMB114" s="395"/>
      <c r="CMC114" s="395"/>
      <c r="CMD114" s="395"/>
      <c r="CME114" s="395"/>
      <c r="CMF114" s="395"/>
      <c r="CMG114" s="395"/>
      <c r="CMH114" s="395"/>
      <c r="CMI114" s="395"/>
      <c r="CMJ114" s="396"/>
      <c r="CMK114" s="394"/>
      <c r="CML114" s="395"/>
      <c r="CMM114" s="395"/>
      <c r="CMN114" s="395"/>
      <c r="CMO114" s="395"/>
      <c r="CMP114" s="395"/>
      <c r="CMQ114" s="395"/>
      <c r="CMR114" s="395"/>
      <c r="CMS114" s="395"/>
      <c r="CMT114" s="395"/>
      <c r="CMU114" s="395"/>
      <c r="CMV114" s="395"/>
      <c r="CMW114" s="395"/>
      <c r="CMX114" s="395"/>
      <c r="CMY114" s="395"/>
      <c r="CMZ114" s="395"/>
      <c r="CNA114" s="395"/>
      <c r="CNB114" s="395"/>
      <c r="CNC114" s="395"/>
      <c r="CND114" s="395"/>
      <c r="CNE114" s="395"/>
      <c r="CNF114" s="395"/>
      <c r="CNG114" s="395"/>
      <c r="CNH114" s="395"/>
      <c r="CNI114" s="395"/>
      <c r="CNJ114" s="395"/>
      <c r="CNK114" s="396"/>
      <c r="CNL114" s="394"/>
      <c r="CNM114" s="395"/>
      <c r="CNN114" s="395"/>
      <c r="CNO114" s="395"/>
      <c r="CNP114" s="395"/>
      <c r="CNQ114" s="395"/>
      <c r="CNR114" s="395"/>
      <c r="CNS114" s="395"/>
      <c r="CNT114" s="395"/>
      <c r="CNU114" s="395"/>
      <c r="CNV114" s="395"/>
      <c r="CNW114" s="395"/>
      <c r="CNX114" s="395"/>
      <c r="CNY114" s="395"/>
      <c r="CNZ114" s="395"/>
      <c r="COA114" s="395"/>
      <c r="COB114" s="395"/>
      <c r="COC114" s="395"/>
      <c r="COD114" s="395"/>
      <c r="COE114" s="395"/>
      <c r="COF114" s="395"/>
      <c r="COG114" s="395"/>
      <c r="COH114" s="395"/>
      <c r="COI114" s="395"/>
      <c r="COJ114" s="395"/>
      <c r="COK114" s="395"/>
      <c r="COL114" s="396"/>
      <c r="COM114" s="394"/>
      <c r="CON114" s="395"/>
      <c r="COO114" s="395"/>
      <c r="COP114" s="395"/>
      <c r="COQ114" s="395"/>
      <c r="COR114" s="395"/>
      <c r="COS114" s="395"/>
      <c r="COT114" s="395"/>
      <c r="COU114" s="395"/>
      <c r="COV114" s="395"/>
      <c r="COW114" s="395"/>
      <c r="COX114" s="395"/>
      <c r="COY114" s="395"/>
      <c r="COZ114" s="395"/>
      <c r="CPA114" s="395"/>
      <c r="CPB114" s="395"/>
      <c r="CPC114" s="395"/>
      <c r="CPD114" s="395"/>
      <c r="CPE114" s="395"/>
      <c r="CPF114" s="395"/>
      <c r="CPG114" s="395"/>
      <c r="CPH114" s="395"/>
      <c r="CPI114" s="395"/>
      <c r="CPJ114" s="395"/>
      <c r="CPK114" s="395"/>
      <c r="CPL114" s="395"/>
      <c r="CPM114" s="396"/>
      <c r="CPN114" s="394"/>
      <c r="CPO114" s="395"/>
      <c r="CPP114" s="395"/>
      <c r="CPQ114" s="395"/>
      <c r="CPR114" s="395"/>
      <c r="CPS114" s="395"/>
      <c r="CPT114" s="395"/>
      <c r="CPU114" s="395"/>
      <c r="CPV114" s="395"/>
      <c r="CPW114" s="395"/>
      <c r="CPX114" s="395"/>
      <c r="CPY114" s="395"/>
      <c r="CPZ114" s="395"/>
      <c r="CQA114" s="395"/>
      <c r="CQB114" s="395"/>
      <c r="CQC114" s="395"/>
      <c r="CQD114" s="395"/>
      <c r="CQE114" s="395"/>
      <c r="CQF114" s="395"/>
      <c r="CQG114" s="395"/>
      <c r="CQH114" s="395"/>
      <c r="CQI114" s="395"/>
      <c r="CQJ114" s="395"/>
      <c r="CQK114" s="395"/>
      <c r="CQL114" s="395"/>
      <c r="CQM114" s="395"/>
      <c r="CQN114" s="396"/>
      <c r="CQO114" s="394"/>
      <c r="CQP114" s="395"/>
      <c r="CQQ114" s="395"/>
      <c r="CQR114" s="395"/>
      <c r="CQS114" s="395"/>
      <c r="CQT114" s="395"/>
      <c r="CQU114" s="395"/>
      <c r="CQV114" s="395"/>
      <c r="CQW114" s="395"/>
      <c r="CQX114" s="395"/>
      <c r="CQY114" s="395"/>
      <c r="CQZ114" s="395"/>
      <c r="CRA114" s="395"/>
      <c r="CRB114" s="395"/>
      <c r="CRC114" s="395"/>
      <c r="CRD114" s="395"/>
      <c r="CRE114" s="395"/>
      <c r="CRF114" s="395"/>
      <c r="CRG114" s="395"/>
      <c r="CRH114" s="395"/>
      <c r="CRI114" s="395"/>
      <c r="CRJ114" s="395"/>
      <c r="CRK114" s="395"/>
      <c r="CRL114" s="395"/>
      <c r="CRM114" s="395"/>
      <c r="CRN114" s="395"/>
      <c r="CRO114" s="396"/>
      <c r="CRP114" s="394"/>
      <c r="CRQ114" s="395"/>
      <c r="CRR114" s="395"/>
      <c r="CRS114" s="395"/>
      <c r="CRT114" s="395"/>
      <c r="CRU114" s="395"/>
      <c r="CRV114" s="395"/>
      <c r="CRW114" s="395"/>
      <c r="CRX114" s="395"/>
      <c r="CRY114" s="395"/>
      <c r="CRZ114" s="395"/>
      <c r="CSA114" s="395"/>
      <c r="CSB114" s="395"/>
      <c r="CSC114" s="395"/>
      <c r="CSD114" s="395"/>
      <c r="CSE114" s="395"/>
      <c r="CSF114" s="395"/>
      <c r="CSG114" s="395"/>
      <c r="CSH114" s="395"/>
      <c r="CSI114" s="395"/>
      <c r="CSJ114" s="395"/>
      <c r="CSK114" s="395"/>
      <c r="CSL114" s="395"/>
      <c r="CSM114" s="395"/>
      <c r="CSN114" s="395"/>
      <c r="CSO114" s="395"/>
      <c r="CSP114" s="396"/>
      <c r="CSQ114" s="394"/>
      <c r="CSR114" s="395"/>
      <c r="CSS114" s="395"/>
      <c r="CST114" s="395"/>
      <c r="CSU114" s="395"/>
      <c r="CSV114" s="395"/>
      <c r="CSW114" s="395"/>
      <c r="CSX114" s="395"/>
      <c r="CSY114" s="395"/>
      <c r="CSZ114" s="395"/>
      <c r="CTA114" s="395"/>
      <c r="CTB114" s="395"/>
      <c r="CTC114" s="395"/>
      <c r="CTD114" s="395"/>
      <c r="CTE114" s="395"/>
      <c r="CTF114" s="395"/>
      <c r="CTG114" s="395"/>
      <c r="CTH114" s="395"/>
      <c r="CTI114" s="395"/>
      <c r="CTJ114" s="395"/>
      <c r="CTK114" s="395"/>
      <c r="CTL114" s="395"/>
      <c r="CTM114" s="395"/>
      <c r="CTN114" s="395"/>
      <c r="CTO114" s="395"/>
      <c r="CTP114" s="395"/>
      <c r="CTQ114" s="396"/>
      <c r="CTR114" s="394"/>
      <c r="CTS114" s="395"/>
      <c r="CTT114" s="395"/>
      <c r="CTU114" s="395"/>
      <c r="CTV114" s="395"/>
      <c r="CTW114" s="395"/>
      <c r="CTX114" s="395"/>
      <c r="CTY114" s="395"/>
      <c r="CTZ114" s="395"/>
      <c r="CUA114" s="395"/>
      <c r="CUB114" s="395"/>
      <c r="CUC114" s="395"/>
      <c r="CUD114" s="395"/>
      <c r="CUE114" s="395"/>
      <c r="CUF114" s="395"/>
      <c r="CUG114" s="395"/>
      <c r="CUH114" s="395"/>
      <c r="CUI114" s="395"/>
      <c r="CUJ114" s="395"/>
      <c r="CUK114" s="395"/>
      <c r="CUL114" s="395"/>
      <c r="CUM114" s="395"/>
      <c r="CUN114" s="395"/>
      <c r="CUO114" s="395"/>
      <c r="CUP114" s="395"/>
      <c r="CUQ114" s="395"/>
      <c r="CUR114" s="396"/>
      <c r="CUS114" s="394"/>
      <c r="CUT114" s="395"/>
      <c r="CUU114" s="395"/>
      <c r="CUV114" s="395"/>
      <c r="CUW114" s="395"/>
      <c r="CUX114" s="395"/>
      <c r="CUY114" s="395"/>
      <c r="CUZ114" s="395"/>
      <c r="CVA114" s="395"/>
      <c r="CVB114" s="395"/>
      <c r="CVC114" s="395"/>
      <c r="CVD114" s="395"/>
      <c r="CVE114" s="395"/>
      <c r="CVF114" s="395"/>
      <c r="CVG114" s="395"/>
      <c r="CVH114" s="395"/>
      <c r="CVI114" s="395"/>
      <c r="CVJ114" s="395"/>
      <c r="CVK114" s="395"/>
      <c r="CVL114" s="395"/>
      <c r="CVM114" s="395"/>
      <c r="CVN114" s="395"/>
      <c r="CVO114" s="395"/>
      <c r="CVP114" s="395"/>
      <c r="CVQ114" s="395"/>
      <c r="CVR114" s="395"/>
      <c r="CVS114" s="396"/>
      <c r="CVT114" s="394"/>
      <c r="CVU114" s="395"/>
      <c r="CVV114" s="395"/>
      <c r="CVW114" s="395"/>
      <c r="CVX114" s="395"/>
      <c r="CVY114" s="395"/>
      <c r="CVZ114" s="395"/>
      <c r="CWA114" s="395"/>
      <c r="CWB114" s="395"/>
      <c r="CWC114" s="395"/>
      <c r="CWD114" s="395"/>
      <c r="CWE114" s="395"/>
      <c r="CWF114" s="395"/>
      <c r="CWG114" s="395"/>
      <c r="CWH114" s="395"/>
      <c r="CWI114" s="395"/>
      <c r="CWJ114" s="395"/>
      <c r="CWK114" s="395"/>
      <c r="CWL114" s="395"/>
      <c r="CWM114" s="395"/>
      <c r="CWN114" s="395"/>
      <c r="CWO114" s="395"/>
      <c r="CWP114" s="395"/>
      <c r="CWQ114" s="395"/>
      <c r="CWR114" s="395"/>
      <c r="CWS114" s="395"/>
      <c r="CWT114" s="396"/>
      <c r="CWU114" s="394"/>
      <c r="CWV114" s="395"/>
      <c r="CWW114" s="395"/>
      <c r="CWX114" s="395"/>
      <c r="CWY114" s="395"/>
      <c r="CWZ114" s="395"/>
      <c r="CXA114" s="395"/>
      <c r="CXB114" s="395"/>
      <c r="CXC114" s="395"/>
      <c r="CXD114" s="395"/>
      <c r="CXE114" s="395"/>
      <c r="CXF114" s="395"/>
      <c r="CXG114" s="395"/>
      <c r="CXH114" s="395"/>
      <c r="CXI114" s="395"/>
      <c r="CXJ114" s="395"/>
      <c r="CXK114" s="395"/>
      <c r="CXL114" s="395"/>
      <c r="CXM114" s="395"/>
      <c r="CXN114" s="395"/>
      <c r="CXO114" s="395"/>
      <c r="CXP114" s="395"/>
      <c r="CXQ114" s="395"/>
      <c r="CXR114" s="395"/>
      <c r="CXS114" s="395"/>
      <c r="CXT114" s="395"/>
      <c r="CXU114" s="396"/>
      <c r="CXV114" s="394"/>
      <c r="CXW114" s="395"/>
      <c r="CXX114" s="395"/>
      <c r="CXY114" s="395"/>
      <c r="CXZ114" s="395"/>
      <c r="CYA114" s="395"/>
      <c r="CYB114" s="395"/>
      <c r="CYC114" s="395"/>
      <c r="CYD114" s="395"/>
      <c r="CYE114" s="395"/>
      <c r="CYF114" s="395"/>
      <c r="CYG114" s="395"/>
      <c r="CYH114" s="395"/>
      <c r="CYI114" s="395"/>
      <c r="CYJ114" s="395"/>
      <c r="CYK114" s="395"/>
      <c r="CYL114" s="395"/>
      <c r="CYM114" s="395"/>
      <c r="CYN114" s="395"/>
      <c r="CYO114" s="395"/>
      <c r="CYP114" s="395"/>
      <c r="CYQ114" s="395"/>
      <c r="CYR114" s="395"/>
      <c r="CYS114" s="395"/>
      <c r="CYT114" s="395"/>
      <c r="CYU114" s="395"/>
      <c r="CYV114" s="396"/>
      <c r="CYW114" s="394"/>
      <c r="CYX114" s="395"/>
      <c r="CYY114" s="395"/>
      <c r="CYZ114" s="395"/>
      <c r="CZA114" s="395"/>
      <c r="CZB114" s="395"/>
      <c r="CZC114" s="395"/>
      <c r="CZD114" s="395"/>
      <c r="CZE114" s="395"/>
      <c r="CZF114" s="395"/>
      <c r="CZG114" s="395"/>
      <c r="CZH114" s="395"/>
      <c r="CZI114" s="395"/>
      <c r="CZJ114" s="395"/>
      <c r="CZK114" s="395"/>
      <c r="CZL114" s="395"/>
      <c r="CZM114" s="395"/>
      <c r="CZN114" s="395"/>
      <c r="CZO114" s="395"/>
      <c r="CZP114" s="395"/>
      <c r="CZQ114" s="395"/>
      <c r="CZR114" s="395"/>
      <c r="CZS114" s="395"/>
      <c r="CZT114" s="395"/>
      <c r="CZU114" s="395"/>
      <c r="CZV114" s="395"/>
      <c r="CZW114" s="396"/>
      <c r="CZX114" s="394"/>
      <c r="CZY114" s="395"/>
      <c r="CZZ114" s="395"/>
      <c r="DAA114" s="395"/>
      <c r="DAB114" s="395"/>
      <c r="DAC114" s="395"/>
      <c r="DAD114" s="395"/>
      <c r="DAE114" s="395"/>
      <c r="DAF114" s="395"/>
      <c r="DAG114" s="395"/>
      <c r="DAH114" s="395"/>
      <c r="DAI114" s="395"/>
      <c r="DAJ114" s="395"/>
      <c r="DAK114" s="395"/>
      <c r="DAL114" s="395"/>
      <c r="DAM114" s="395"/>
      <c r="DAN114" s="395"/>
      <c r="DAO114" s="395"/>
      <c r="DAP114" s="395"/>
      <c r="DAQ114" s="395"/>
      <c r="DAR114" s="395"/>
      <c r="DAS114" s="395"/>
      <c r="DAT114" s="395"/>
      <c r="DAU114" s="395"/>
      <c r="DAV114" s="395"/>
      <c r="DAW114" s="395"/>
      <c r="DAX114" s="396"/>
      <c r="DAY114" s="394"/>
      <c r="DAZ114" s="395"/>
      <c r="DBA114" s="395"/>
      <c r="DBB114" s="395"/>
      <c r="DBC114" s="395"/>
      <c r="DBD114" s="395"/>
      <c r="DBE114" s="395"/>
      <c r="DBF114" s="395"/>
      <c r="DBG114" s="395"/>
      <c r="DBH114" s="395"/>
      <c r="DBI114" s="395"/>
      <c r="DBJ114" s="395"/>
      <c r="DBK114" s="395"/>
      <c r="DBL114" s="395"/>
      <c r="DBM114" s="395"/>
      <c r="DBN114" s="395"/>
      <c r="DBO114" s="395"/>
      <c r="DBP114" s="395"/>
      <c r="DBQ114" s="395"/>
      <c r="DBR114" s="395"/>
      <c r="DBS114" s="395"/>
      <c r="DBT114" s="395"/>
      <c r="DBU114" s="395"/>
      <c r="DBV114" s="395"/>
      <c r="DBW114" s="395"/>
      <c r="DBX114" s="395"/>
      <c r="DBY114" s="396"/>
      <c r="DBZ114" s="394"/>
      <c r="DCA114" s="395"/>
      <c r="DCB114" s="395"/>
      <c r="DCC114" s="395"/>
      <c r="DCD114" s="395"/>
      <c r="DCE114" s="395"/>
      <c r="DCF114" s="395"/>
      <c r="DCG114" s="395"/>
      <c r="DCH114" s="395"/>
      <c r="DCI114" s="395"/>
      <c r="DCJ114" s="395"/>
      <c r="DCK114" s="395"/>
      <c r="DCL114" s="395"/>
      <c r="DCM114" s="395"/>
      <c r="DCN114" s="395"/>
      <c r="DCO114" s="395"/>
      <c r="DCP114" s="395"/>
      <c r="DCQ114" s="395"/>
      <c r="DCR114" s="395"/>
      <c r="DCS114" s="395"/>
      <c r="DCT114" s="395"/>
      <c r="DCU114" s="395"/>
      <c r="DCV114" s="395"/>
      <c r="DCW114" s="395"/>
      <c r="DCX114" s="395"/>
      <c r="DCY114" s="395"/>
      <c r="DCZ114" s="396"/>
      <c r="DDA114" s="394"/>
      <c r="DDB114" s="395"/>
      <c r="DDC114" s="395"/>
      <c r="DDD114" s="395"/>
      <c r="DDE114" s="395"/>
      <c r="DDF114" s="395"/>
      <c r="DDG114" s="395"/>
      <c r="DDH114" s="395"/>
      <c r="DDI114" s="395"/>
      <c r="DDJ114" s="395"/>
      <c r="DDK114" s="395"/>
      <c r="DDL114" s="395"/>
      <c r="DDM114" s="395"/>
      <c r="DDN114" s="395"/>
      <c r="DDO114" s="395"/>
      <c r="DDP114" s="395"/>
      <c r="DDQ114" s="395"/>
      <c r="DDR114" s="395"/>
      <c r="DDS114" s="395"/>
      <c r="DDT114" s="395"/>
      <c r="DDU114" s="395"/>
      <c r="DDV114" s="395"/>
      <c r="DDW114" s="395"/>
      <c r="DDX114" s="395"/>
      <c r="DDY114" s="395"/>
      <c r="DDZ114" s="395"/>
      <c r="DEA114" s="396"/>
      <c r="DEB114" s="394"/>
      <c r="DEC114" s="395"/>
      <c r="DED114" s="395"/>
      <c r="DEE114" s="395"/>
      <c r="DEF114" s="395"/>
      <c r="DEG114" s="395"/>
      <c r="DEH114" s="395"/>
      <c r="DEI114" s="395"/>
      <c r="DEJ114" s="395"/>
      <c r="DEK114" s="395"/>
      <c r="DEL114" s="395"/>
      <c r="DEM114" s="395"/>
      <c r="DEN114" s="395"/>
      <c r="DEO114" s="395"/>
      <c r="DEP114" s="395"/>
      <c r="DEQ114" s="395"/>
      <c r="DER114" s="395"/>
      <c r="DES114" s="395"/>
      <c r="DET114" s="395"/>
      <c r="DEU114" s="395"/>
      <c r="DEV114" s="395"/>
      <c r="DEW114" s="395"/>
      <c r="DEX114" s="395"/>
      <c r="DEY114" s="395"/>
      <c r="DEZ114" s="395"/>
      <c r="DFA114" s="395"/>
      <c r="DFB114" s="396"/>
      <c r="DFC114" s="394"/>
      <c r="DFD114" s="395"/>
      <c r="DFE114" s="395"/>
      <c r="DFF114" s="395"/>
      <c r="DFG114" s="395"/>
      <c r="DFH114" s="395"/>
      <c r="DFI114" s="395"/>
      <c r="DFJ114" s="395"/>
      <c r="DFK114" s="395"/>
      <c r="DFL114" s="395"/>
      <c r="DFM114" s="395"/>
      <c r="DFN114" s="395"/>
      <c r="DFO114" s="395"/>
      <c r="DFP114" s="395"/>
      <c r="DFQ114" s="395"/>
      <c r="DFR114" s="395"/>
      <c r="DFS114" s="395"/>
      <c r="DFT114" s="395"/>
      <c r="DFU114" s="395"/>
      <c r="DFV114" s="395"/>
      <c r="DFW114" s="395"/>
      <c r="DFX114" s="395"/>
      <c r="DFY114" s="395"/>
      <c r="DFZ114" s="395"/>
      <c r="DGA114" s="395"/>
      <c r="DGB114" s="395"/>
      <c r="DGC114" s="396"/>
      <c r="DGD114" s="394"/>
      <c r="DGE114" s="395"/>
      <c r="DGF114" s="395"/>
      <c r="DGG114" s="395"/>
      <c r="DGH114" s="395"/>
      <c r="DGI114" s="395"/>
      <c r="DGJ114" s="395"/>
      <c r="DGK114" s="395"/>
      <c r="DGL114" s="395"/>
      <c r="DGM114" s="395"/>
      <c r="DGN114" s="395"/>
      <c r="DGO114" s="395"/>
      <c r="DGP114" s="395"/>
      <c r="DGQ114" s="395"/>
      <c r="DGR114" s="395"/>
      <c r="DGS114" s="395"/>
      <c r="DGT114" s="395"/>
      <c r="DGU114" s="395"/>
      <c r="DGV114" s="395"/>
      <c r="DGW114" s="395"/>
      <c r="DGX114" s="395"/>
      <c r="DGY114" s="395"/>
      <c r="DGZ114" s="395"/>
      <c r="DHA114" s="395"/>
      <c r="DHB114" s="395"/>
      <c r="DHC114" s="395"/>
      <c r="DHD114" s="396"/>
      <c r="DHE114" s="394"/>
      <c r="DHF114" s="395"/>
      <c r="DHG114" s="395"/>
      <c r="DHH114" s="395"/>
      <c r="DHI114" s="395"/>
      <c r="DHJ114" s="395"/>
      <c r="DHK114" s="395"/>
      <c r="DHL114" s="395"/>
      <c r="DHM114" s="395"/>
      <c r="DHN114" s="395"/>
      <c r="DHO114" s="395"/>
      <c r="DHP114" s="395"/>
      <c r="DHQ114" s="395"/>
      <c r="DHR114" s="395"/>
      <c r="DHS114" s="395"/>
      <c r="DHT114" s="395"/>
      <c r="DHU114" s="395"/>
      <c r="DHV114" s="395"/>
      <c r="DHW114" s="395"/>
      <c r="DHX114" s="395"/>
      <c r="DHY114" s="395"/>
      <c r="DHZ114" s="395"/>
      <c r="DIA114" s="395"/>
      <c r="DIB114" s="395"/>
      <c r="DIC114" s="395"/>
      <c r="DID114" s="395"/>
      <c r="DIE114" s="396"/>
      <c r="DIF114" s="394"/>
      <c r="DIG114" s="395"/>
      <c r="DIH114" s="395"/>
      <c r="DII114" s="395"/>
      <c r="DIJ114" s="395"/>
      <c r="DIK114" s="395"/>
      <c r="DIL114" s="395"/>
      <c r="DIM114" s="395"/>
      <c r="DIN114" s="395"/>
      <c r="DIO114" s="395"/>
      <c r="DIP114" s="395"/>
      <c r="DIQ114" s="395"/>
      <c r="DIR114" s="395"/>
      <c r="DIS114" s="395"/>
      <c r="DIT114" s="395"/>
      <c r="DIU114" s="395"/>
      <c r="DIV114" s="395"/>
      <c r="DIW114" s="395"/>
      <c r="DIX114" s="395"/>
      <c r="DIY114" s="395"/>
      <c r="DIZ114" s="395"/>
      <c r="DJA114" s="395"/>
      <c r="DJB114" s="395"/>
      <c r="DJC114" s="395"/>
      <c r="DJD114" s="395"/>
      <c r="DJE114" s="395"/>
      <c r="DJF114" s="396"/>
      <c r="DJG114" s="394"/>
      <c r="DJH114" s="395"/>
      <c r="DJI114" s="395"/>
      <c r="DJJ114" s="395"/>
      <c r="DJK114" s="395"/>
      <c r="DJL114" s="395"/>
      <c r="DJM114" s="395"/>
      <c r="DJN114" s="395"/>
      <c r="DJO114" s="395"/>
      <c r="DJP114" s="395"/>
      <c r="DJQ114" s="395"/>
      <c r="DJR114" s="395"/>
      <c r="DJS114" s="395"/>
      <c r="DJT114" s="395"/>
      <c r="DJU114" s="395"/>
      <c r="DJV114" s="395"/>
      <c r="DJW114" s="395"/>
      <c r="DJX114" s="395"/>
      <c r="DJY114" s="395"/>
      <c r="DJZ114" s="395"/>
      <c r="DKA114" s="395"/>
      <c r="DKB114" s="395"/>
      <c r="DKC114" s="395"/>
      <c r="DKD114" s="395"/>
      <c r="DKE114" s="395"/>
      <c r="DKF114" s="395"/>
      <c r="DKG114" s="396"/>
      <c r="DKH114" s="394"/>
      <c r="DKI114" s="395"/>
      <c r="DKJ114" s="395"/>
      <c r="DKK114" s="395"/>
      <c r="DKL114" s="395"/>
      <c r="DKM114" s="395"/>
      <c r="DKN114" s="395"/>
      <c r="DKO114" s="395"/>
      <c r="DKP114" s="395"/>
      <c r="DKQ114" s="395"/>
      <c r="DKR114" s="395"/>
      <c r="DKS114" s="395"/>
      <c r="DKT114" s="395"/>
      <c r="DKU114" s="395"/>
      <c r="DKV114" s="395"/>
      <c r="DKW114" s="395"/>
      <c r="DKX114" s="395"/>
      <c r="DKY114" s="395"/>
      <c r="DKZ114" s="395"/>
      <c r="DLA114" s="395"/>
      <c r="DLB114" s="395"/>
      <c r="DLC114" s="395"/>
      <c r="DLD114" s="395"/>
      <c r="DLE114" s="395"/>
      <c r="DLF114" s="395"/>
      <c r="DLG114" s="395"/>
      <c r="DLH114" s="396"/>
      <c r="DLI114" s="394"/>
      <c r="DLJ114" s="395"/>
      <c r="DLK114" s="395"/>
      <c r="DLL114" s="395"/>
      <c r="DLM114" s="395"/>
      <c r="DLN114" s="395"/>
      <c r="DLO114" s="395"/>
      <c r="DLP114" s="395"/>
      <c r="DLQ114" s="395"/>
      <c r="DLR114" s="395"/>
      <c r="DLS114" s="395"/>
      <c r="DLT114" s="395"/>
      <c r="DLU114" s="395"/>
      <c r="DLV114" s="395"/>
      <c r="DLW114" s="395"/>
      <c r="DLX114" s="395"/>
      <c r="DLY114" s="395"/>
      <c r="DLZ114" s="395"/>
      <c r="DMA114" s="395"/>
      <c r="DMB114" s="395"/>
      <c r="DMC114" s="395"/>
      <c r="DMD114" s="395"/>
      <c r="DME114" s="395"/>
      <c r="DMF114" s="395"/>
      <c r="DMG114" s="395"/>
      <c r="DMH114" s="395"/>
      <c r="DMI114" s="396"/>
      <c r="DMJ114" s="394"/>
      <c r="DMK114" s="395"/>
      <c r="DML114" s="395"/>
      <c r="DMM114" s="395"/>
      <c r="DMN114" s="395"/>
      <c r="DMO114" s="395"/>
      <c r="DMP114" s="395"/>
      <c r="DMQ114" s="395"/>
      <c r="DMR114" s="395"/>
      <c r="DMS114" s="395"/>
      <c r="DMT114" s="395"/>
      <c r="DMU114" s="395"/>
      <c r="DMV114" s="395"/>
      <c r="DMW114" s="395"/>
      <c r="DMX114" s="395"/>
      <c r="DMY114" s="395"/>
      <c r="DMZ114" s="395"/>
      <c r="DNA114" s="395"/>
      <c r="DNB114" s="395"/>
      <c r="DNC114" s="395"/>
      <c r="DND114" s="395"/>
      <c r="DNE114" s="395"/>
      <c r="DNF114" s="395"/>
      <c r="DNG114" s="395"/>
      <c r="DNH114" s="395"/>
      <c r="DNI114" s="395"/>
      <c r="DNJ114" s="396"/>
      <c r="DNK114" s="394"/>
      <c r="DNL114" s="395"/>
      <c r="DNM114" s="395"/>
      <c r="DNN114" s="395"/>
      <c r="DNO114" s="395"/>
      <c r="DNP114" s="395"/>
      <c r="DNQ114" s="395"/>
      <c r="DNR114" s="395"/>
      <c r="DNS114" s="395"/>
      <c r="DNT114" s="395"/>
      <c r="DNU114" s="395"/>
      <c r="DNV114" s="395"/>
      <c r="DNW114" s="395"/>
      <c r="DNX114" s="395"/>
      <c r="DNY114" s="395"/>
      <c r="DNZ114" s="395"/>
      <c r="DOA114" s="395"/>
      <c r="DOB114" s="395"/>
      <c r="DOC114" s="395"/>
      <c r="DOD114" s="395"/>
      <c r="DOE114" s="395"/>
      <c r="DOF114" s="395"/>
      <c r="DOG114" s="395"/>
      <c r="DOH114" s="395"/>
      <c r="DOI114" s="395"/>
      <c r="DOJ114" s="395"/>
      <c r="DOK114" s="396"/>
      <c r="DOL114" s="394"/>
      <c r="DOM114" s="395"/>
      <c r="DON114" s="395"/>
      <c r="DOO114" s="395"/>
      <c r="DOP114" s="395"/>
      <c r="DOQ114" s="395"/>
      <c r="DOR114" s="395"/>
      <c r="DOS114" s="395"/>
      <c r="DOT114" s="395"/>
      <c r="DOU114" s="395"/>
      <c r="DOV114" s="395"/>
      <c r="DOW114" s="395"/>
      <c r="DOX114" s="395"/>
      <c r="DOY114" s="395"/>
      <c r="DOZ114" s="395"/>
      <c r="DPA114" s="395"/>
      <c r="DPB114" s="395"/>
      <c r="DPC114" s="395"/>
      <c r="DPD114" s="395"/>
      <c r="DPE114" s="395"/>
      <c r="DPF114" s="395"/>
      <c r="DPG114" s="395"/>
      <c r="DPH114" s="395"/>
      <c r="DPI114" s="395"/>
      <c r="DPJ114" s="395"/>
      <c r="DPK114" s="395"/>
      <c r="DPL114" s="396"/>
      <c r="DPM114" s="394"/>
      <c r="DPN114" s="395"/>
      <c r="DPO114" s="395"/>
      <c r="DPP114" s="395"/>
      <c r="DPQ114" s="395"/>
      <c r="DPR114" s="395"/>
      <c r="DPS114" s="395"/>
      <c r="DPT114" s="395"/>
      <c r="DPU114" s="395"/>
      <c r="DPV114" s="395"/>
      <c r="DPW114" s="395"/>
      <c r="DPX114" s="395"/>
      <c r="DPY114" s="395"/>
      <c r="DPZ114" s="395"/>
      <c r="DQA114" s="395"/>
      <c r="DQB114" s="395"/>
      <c r="DQC114" s="395"/>
      <c r="DQD114" s="395"/>
      <c r="DQE114" s="395"/>
      <c r="DQF114" s="395"/>
      <c r="DQG114" s="395"/>
      <c r="DQH114" s="395"/>
      <c r="DQI114" s="395"/>
      <c r="DQJ114" s="395"/>
      <c r="DQK114" s="395"/>
      <c r="DQL114" s="395"/>
      <c r="DQM114" s="396"/>
      <c r="DQN114" s="394"/>
      <c r="DQO114" s="395"/>
      <c r="DQP114" s="395"/>
      <c r="DQQ114" s="395"/>
      <c r="DQR114" s="395"/>
      <c r="DQS114" s="395"/>
      <c r="DQT114" s="395"/>
      <c r="DQU114" s="395"/>
      <c r="DQV114" s="395"/>
      <c r="DQW114" s="395"/>
      <c r="DQX114" s="395"/>
      <c r="DQY114" s="395"/>
      <c r="DQZ114" s="395"/>
      <c r="DRA114" s="395"/>
      <c r="DRB114" s="395"/>
      <c r="DRC114" s="395"/>
      <c r="DRD114" s="395"/>
      <c r="DRE114" s="395"/>
      <c r="DRF114" s="395"/>
      <c r="DRG114" s="395"/>
      <c r="DRH114" s="395"/>
      <c r="DRI114" s="395"/>
      <c r="DRJ114" s="395"/>
      <c r="DRK114" s="395"/>
      <c r="DRL114" s="395"/>
      <c r="DRM114" s="395"/>
      <c r="DRN114" s="396"/>
      <c r="DRO114" s="394"/>
      <c r="DRP114" s="395"/>
      <c r="DRQ114" s="395"/>
      <c r="DRR114" s="395"/>
      <c r="DRS114" s="395"/>
      <c r="DRT114" s="395"/>
      <c r="DRU114" s="395"/>
      <c r="DRV114" s="395"/>
      <c r="DRW114" s="395"/>
      <c r="DRX114" s="395"/>
      <c r="DRY114" s="395"/>
      <c r="DRZ114" s="395"/>
      <c r="DSA114" s="395"/>
      <c r="DSB114" s="395"/>
      <c r="DSC114" s="395"/>
      <c r="DSD114" s="395"/>
      <c r="DSE114" s="395"/>
      <c r="DSF114" s="395"/>
      <c r="DSG114" s="395"/>
      <c r="DSH114" s="395"/>
      <c r="DSI114" s="395"/>
      <c r="DSJ114" s="395"/>
      <c r="DSK114" s="395"/>
      <c r="DSL114" s="395"/>
      <c r="DSM114" s="395"/>
      <c r="DSN114" s="395"/>
      <c r="DSO114" s="396"/>
      <c r="DSP114" s="394"/>
      <c r="DSQ114" s="395"/>
      <c r="DSR114" s="395"/>
      <c r="DSS114" s="395"/>
      <c r="DST114" s="395"/>
      <c r="DSU114" s="395"/>
      <c r="DSV114" s="395"/>
      <c r="DSW114" s="395"/>
      <c r="DSX114" s="395"/>
      <c r="DSY114" s="395"/>
      <c r="DSZ114" s="395"/>
      <c r="DTA114" s="395"/>
      <c r="DTB114" s="395"/>
      <c r="DTC114" s="395"/>
      <c r="DTD114" s="395"/>
      <c r="DTE114" s="395"/>
      <c r="DTF114" s="395"/>
      <c r="DTG114" s="395"/>
      <c r="DTH114" s="395"/>
      <c r="DTI114" s="395"/>
      <c r="DTJ114" s="395"/>
      <c r="DTK114" s="395"/>
      <c r="DTL114" s="395"/>
      <c r="DTM114" s="395"/>
      <c r="DTN114" s="395"/>
      <c r="DTO114" s="395"/>
      <c r="DTP114" s="396"/>
      <c r="DTQ114" s="394"/>
      <c r="DTR114" s="395"/>
      <c r="DTS114" s="395"/>
      <c r="DTT114" s="395"/>
      <c r="DTU114" s="395"/>
      <c r="DTV114" s="395"/>
      <c r="DTW114" s="395"/>
      <c r="DTX114" s="395"/>
      <c r="DTY114" s="395"/>
      <c r="DTZ114" s="395"/>
      <c r="DUA114" s="395"/>
      <c r="DUB114" s="395"/>
      <c r="DUC114" s="395"/>
      <c r="DUD114" s="395"/>
      <c r="DUE114" s="395"/>
      <c r="DUF114" s="395"/>
      <c r="DUG114" s="395"/>
      <c r="DUH114" s="395"/>
      <c r="DUI114" s="395"/>
      <c r="DUJ114" s="395"/>
      <c r="DUK114" s="395"/>
      <c r="DUL114" s="395"/>
      <c r="DUM114" s="395"/>
      <c r="DUN114" s="395"/>
      <c r="DUO114" s="395"/>
      <c r="DUP114" s="395"/>
      <c r="DUQ114" s="396"/>
      <c r="DUR114" s="394"/>
      <c r="DUS114" s="395"/>
      <c r="DUT114" s="395"/>
      <c r="DUU114" s="395"/>
      <c r="DUV114" s="395"/>
      <c r="DUW114" s="395"/>
      <c r="DUX114" s="395"/>
      <c r="DUY114" s="395"/>
      <c r="DUZ114" s="395"/>
      <c r="DVA114" s="395"/>
      <c r="DVB114" s="395"/>
      <c r="DVC114" s="395"/>
      <c r="DVD114" s="395"/>
      <c r="DVE114" s="395"/>
      <c r="DVF114" s="395"/>
      <c r="DVG114" s="395"/>
      <c r="DVH114" s="395"/>
      <c r="DVI114" s="395"/>
      <c r="DVJ114" s="395"/>
      <c r="DVK114" s="395"/>
      <c r="DVL114" s="395"/>
      <c r="DVM114" s="395"/>
      <c r="DVN114" s="395"/>
      <c r="DVO114" s="395"/>
      <c r="DVP114" s="395"/>
      <c r="DVQ114" s="395"/>
      <c r="DVR114" s="396"/>
      <c r="DVS114" s="394"/>
      <c r="DVT114" s="395"/>
      <c r="DVU114" s="395"/>
      <c r="DVV114" s="395"/>
      <c r="DVW114" s="395"/>
      <c r="DVX114" s="395"/>
      <c r="DVY114" s="395"/>
      <c r="DVZ114" s="395"/>
      <c r="DWA114" s="395"/>
      <c r="DWB114" s="395"/>
      <c r="DWC114" s="395"/>
      <c r="DWD114" s="395"/>
      <c r="DWE114" s="395"/>
      <c r="DWF114" s="395"/>
      <c r="DWG114" s="395"/>
      <c r="DWH114" s="395"/>
      <c r="DWI114" s="395"/>
      <c r="DWJ114" s="395"/>
      <c r="DWK114" s="395"/>
      <c r="DWL114" s="395"/>
      <c r="DWM114" s="395"/>
      <c r="DWN114" s="395"/>
      <c r="DWO114" s="395"/>
      <c r="DWP114" s="395"/>
      <c r="DWQ114" s="395"/>
      <c r="DWR114" s="395"/>
      <c r="DWS114" s="396"/>
      <c r="DWT114" s="394"/>
      <c r="DWU114" s="395"/>
      <c r="DWV114" s="395"/>
      <c r="DWW114" s="395"/>
      <c r="DWX114" s="395"/>
      <c r="DWY114" s="395"/>
      <c r="DWZ114" s="395"/>
      <c r="DXA114" s="395"/>
      <c r="DXB114" s="395"/>
      <c r="DXC114" s="395"/>
      <c r="DXD114" s="395"/>
      <c r="DXE114" s="395"/>
      <c r="DXF114" s="395"/>
      <c r="DXG114" s="395"/>
      <c r="DXH114" s="395"/>
      <c r="DXI114" s="395"/>
      <c r="DXJ114" s="395"/>
      <c r="DXK114" s="395"/>
      <c r="DXL114" s="395"/>
      <c r="DXM114" s="395"/>
      <c r="DXN114" s="395"/>
      <c r="DXO114" s="395"/>
      <c r="DXP114" s="395"/>
      <c r="DXQ114" s="395"/>
      <c r="DXR114" s="395"/>
      <c r="DXS114" s="395"/>
      <c r="DXT114" s="396"/>
      <c r="DXU114" s="394"/>
      <c r="DXV114" s="395"/>
      <c r="DXW114" s="395"/>
      <c r="DXX114" s="395"/>
      <c r="DXY114" s="395"/>
      <c r="DXZ114" s="395"/>
      <c r="DYA114" s="395"/>
      <c r="DYB114" s="395"/>
      <c r="DYC114" s="395"/>
      <c r="DYD114" s="395"/>
      <c r="DYE114" s="395"/>
      <c r="DYF114" s="395"/>
      <c r="DYG114" s="395"/>
      <c r="DYH114" s="395"/>
      <c r="DYI114" s="395"/>
      <c r="DYJ114" s="395"/>
      <c r="DYK114" s="395"/>
      <c r="DYL114" s="395"/>
      <c r="DYM114" s="395"/>
      <c r="DYN114" s="395"/>
      <c r="DYO114" s="395"/>
      <c r="DYP114" s="395"/>
      <c r="DYQ114" s="395"/>
      <c r="DYR114" s="395"/>
      <c r="DYS114" s="395"/>
      <c r="DYT114" s="395"/>
      <c r="DYU114" s="396"/>
      <c r="DYV114" s="394"/>
      <c r="DYW114" s="395"/>
      <c r="DYX114" s="395"/>
      <c r="DYY114" s="395"/>
      <c r="DYZ114" s="395"/>
      <c r="DZA114" s="395"/>
      <c r="DZB114" s="395"/>
      <c r="DZC114" s="395"/>
      <c r="DZD114" s="395"/>
      <c r="DZE114" s="395"/>
      <c r="DZF114" s="395"/>
      <c r="DZG114" s="395"/>
      <c r="DZH114" s="395"/>
      <c r="DZI114" s="395"/>
      <c r="DZJ114" s="395"/>
      <c r="DZK114" s="395"/>
      <c r="DZL114" s="395"/>
      <c r="DZM114" s="395"/>
      <c r="DZN114" s="395"/>
      <c r="DZO114" s="395"/>
      <c r="DZP114" s="395"/>
      <c r="DZQ114" s="395"/>
      <c r="DZR114" s="395"/>
      <c r="DZS114" s="395"/>
      <c r="DZT114" s="395"/>
      <c r="DZU114" s="395"/>
      <c r="DZV114" s="396"/>
      <c r="DZW114" s="394"/>
      <c r="DZX114" s="395"/>
      <c r="DZY114" s="395"/>
      <c r="DZZ114" s="395"/>
      <c r="EAA114" s="395"/>
      <c r="EAB114" s="395"/>
      <c r="EAC114" s="395"/>
      <c r="EAD114" s="395"/>
      <c r="EAE114" s="395"/>
      <c r="EAF114" s="395"/>
      <c r="EAG114" s="395"/>
      <c r="EAH114" s="395"/>
      <c r="EAI114" s="395"/>
      <c r="EAJ114" s="395"/>
      <c r="EAK114" s="395"/>
      <c r="EAL114" s="395"/>
      <c r="EAM114" s="395"/>
      <c r="EAN114" s="395"/>
      <c r="EAO114" s="395"/>
      <c r="EAP114" s="395"/>
      <c r="EAQ114" s="395"/>
      <c r="EAR114" s="395"/>
      <c r="EAS114" s="395"/>
      <c r="EAT114" s="395"/>
      <c r="EAU114" s="395"/>
      <c r="EAV114" s="395"/>
      <c r="EAW114" s="396"/>
      <c r="EAX114" s="394"/>
      <c r="EAY114" s="395"/>
      <c r="EAZ114" s="395"/>
      <c r="EBA114" s="395"/>
      <c r="EBB114" s="395"/>
      <c r="EBC114" s="395"/>
      <c r="EBD114" s="395"/>
      <c r="EBE114" s="395"/>
      <c r="EBF114" s="395"/>
      <c r="EBG114" s="395"/>
      <c r="EBH114" s="395"/>
      <c r="EBI114" s="395"/>
      <c r="EBJ114" s="395"/>
      <c r="EBK114" s="395"/>
      <c r="EBL114" s="395"/>
      <c r="EBM114" s="395"/>
      <c r="EBN114" s="395"/>
      <c r="EBO114" s="395"/>
      <c r="EBP114" s="395"/>
      <c r="EBQ114" s="395"/>
      <c r="EBR114" s="395"/>
      <c r="EBS114" s="395"/>
      <c r="EBT114" s="395"/>
      <c r="EBU114" s="395"/>
      <c r="EBV114" s="395"/>
      <c r="EBW114" s="395"/>
      <c r="EBX114" s="396"/>
      <c r="EBY114" s="394"/>
      <c r="EBZ114" s="395"/>
      <c r="ECA114" s="395"/>
      <c r="ECB114" s="395"/>
      <c r="ECC114" s="395"/>
      <c r="ECD114" s="395"/>
      <c r="ECE114" s="395"/>
      <c r="ECF114" s="395"/>
      <c r="ECG114" s="395"/>
      <c r="ECH114" s="395"/>
      <c r="ECI114" s="395"/>
      <c r="ECJ114" s="395"/>
      <c r="ECK114" s="395"/>
      <c r="ECL114" s="395"/>
      <c r="ECM114" s="395"/>
      <c r="ECN114" s="395"/>
      <c r="ECO114" s="395"/>
      <c r="ECP114" s="395"/>
      <c r="ECQ114" s="395"/>
      <c r="ECR114" s="395"/>
      <c r="ECS114" s="395"/>
      <c r="ECT114" s="395"/>
      <c r="ECU114" s="395"/>
      <c r="ECV114" s="395"/>
      <c r="ECW114" s="395"/>
      <c r="ECX114" s="395"/>
      <c r="ECY114" s="396"/>
      <c r="ECZ114" s="394"/>
      <c r="EDA114" s="395"/>
      <c r="EDB114" s="395"/>
      <c r="EDC114" s="395"/>
      <c r="EDD114" s="395"/>
      <c r="EDE114" s="395"/>
      <c r="EDF114" s="395"/>
      <c r="EDG114" s="395"/>
      <c r="EDH114" s="395"/>
      <c r="EDI114" s="395"/>
      <c r="EDJ114" s="395"/>
      <c r="EDK114" s="395"/>
      <c r="EDL114" s="395"/>
      <c r="EDM114" s="395"/>
      <c r="EDN114" s="395"/>
      <c r="EDO114" s="395"/>
      <c r="EDP114" s="395"/>
      <c r="EDQ114" s="395"/>
      <c r="EDR114" s="395"/>
      <c r="EDS114" s="395"/>
      <c r="EDT114" s="395"/>
      <c r="EDU114" s="395"/>
      <c r="EDV114" s="395"/>
      <c r="EDW114" s="395"/>
      <c r="EDX114" s="395"/>
      <c r="EDY114" s="395"/>
      <c r="EDZ114" s="396"/>
      <c r="EEA114" s="394"/>
      <c r="EEB114" s="395"/>
      <c r="EEC114" s="395"/>
      <c r="EED114" s="395"/>
      <c r="EEE114" s="395"/>
      <c r="EEF114" s="395"/>
      <c r="EEG114" s="395"/>
      <c r="EEH114" s="395"/>
      <c r="EEI114" s="395"/>
      <c r="EEJ114" s="395"/>
      <c r="EEK114" s="395"/>
      <c r="EEL114" s="395"/>
      <c r="EEM114" s="395"/>
      <c r="EEN114" s="395"/>
      <c r="EEO114" s="395"/>
      <c r="EEP114" s="395"/>
      <c r="EEQ114" s="395"/>
      <c r="EER114" s="395"/>
      <c r="EES114" s="395"/>
      <c r="EET114" s="395"/>
      <c r="EEU114" s="395"/>
      <c r="EEV114" s="395"/>
      <c r="EEW114" s="395"/>
      <c r="EEX114" s="395"/>
      <c r="EEY114" s="395"/>
      <c r="EEZ114" s="395"/>
      <c r="EFA114" s="396"/>
      <c r="EFB114" s="394"/>
      <c r="EFC114" s="395"/>
      <c r="EFD114" s="395"/>
      <c r="EFE114" s="395"/>
      <c r="EFF114" s="395"/>
      <c r="EFG114" s="395"/>
      <c r="EFH114" s="395"/>
      <c r="EFI114" s="395"/>
      <c r="EFJ114" s="395"/>
      <c r="EFK114" s="395"/>
      <c r="EFL114" s="395"/>
      <c r="EFM114" s="395"/>
      <c r="EFN114" s="395"/>
      <c r="EFO114" s="395"/>
      <c r="EFP114" s="395"/>
      <c r="EFQ114" s="395"/>
      <c r="EFR114" s="395"/>
      <c r="EFS114" s="395"/>
      <c r="EFT114" s="395"/>
      <c r="EFU114" s="395"/>
      <c r="EFV114" s="395"/>
      <c r="EFW114" s="395"/>
      <c r="EFX114" s="395"/>
      <c r="EFY114" s="395"/>
      <c r="EFZ114" s="395"/>
      <c r="EGA114" s="395"/>
      <c r="EGB114" s="396"/>
      <c r="EGC114" s="394"/>
      <c r="EGD114" s="395"/>
      <c r="EGE114" s="395"/>
      <c r="EGF114" s="395"/>
      <c r="EGG114" s="395"/>
      <c r="EGH114" s="395"/>
      <c r="EGI114" s="395"/>
      <c r="EGJ114" s="395"/>
      <c r="EGK114" s="395"/>
      <c r="EGL114" s="395"/>
      <c r="EGM114" s="395"/>
      <c r="EGN114" s="395"/>
      <c r="EGO114" s="395"/>
      <c r="EGP114" s="395"/>
      <c r="EGQ114" s="395"/>
      <c r="EGR114" s="395"/>
      <c r="EGS114" s="395"/>
      <c r="EGT114" s="395"/>
      <c r="EGU114" s="395"/>
      <c r="EGV114" s="395"/>
      <c r="EGW114" s="395"/>
      <c r="EGX114" s="395"/>
      <c r="EGY114" s="395"/>
      <c r="EGZ114" s="395"/>
      <c r="EHA114" s="395"/>
      <c r="EHB114" s="395"/>
      <c r="EHC114" s="396"/>
      <c r="EHD114" s="394"/>
      <c r="EHE114" s="395"/>
      <c r="EHF114" s="395"/>
      <c r="EHG114" s="395"/>
      <c r="EHH114" s="395"/>
      <c r="EHI114" s="395"/>
      <c r="EHJ114" s="395"/>
      <c r="EHK114" s="395"/>
      <c r="EHL114" s="395"/>
      <c r="EHM114" s="395"/>
      <c r="EHN114" s="395"/>
      <c r="EHO114" s="395"/>
      <c r="EHP114" s="395"/>
      <c r="EHQ114" s="395"/>
      <c r="EHR114" s="395"/>
      <c r="EHS114" s="395"/>
      <c r="EHT114" s="395"/>
      <c r="EHU114" s="395"/>
      <c r="EHV114" s="395"/>
      <c r="EHW114" s="395"/>
      <c r="EHX114" s="395"/>
      <c r="EHY114" s="395"/>
      <c r="EHZ114" s="395"/>
      <c r="EIA114" s="395"/>
      <c r="EIB114" s="395"/>
      <c r="EIC114" s="395"/>
      <c r="EID114" s="396"/>
      <c r="EIE114" s="394"/>
      <c r="EIF114" s="395"/>
      <c r="EIG114" s="395"/>
      <c r="EIH114" s="395"/>
      <c r="EII114" s="395"/>
      <c r="EIJ114" s="395"/>
      <c r="EIK114" s="395"/>
      <c r="EIL114" s="395"/>
      <c r="EIM114" s="395"/>
      <c r="EIN114" s="395"/>
      <c r="EIO114" s="395"/>
      <c r="EIP114" s="395"/>
      <c r="EIQ114" s="395"/>
      <c r="EIR114" s="395"/>
      <c r="EIS114" s="395"/>
      <c r="EIT114" s="395"/>
      <c r="EIU114" s="395"/>
      <c r="EIV114" s="395"/>
      <c r="EIW114" s="395"/>
      <c r="EIX114" s="395"/>
      <c r="EIY114" s="395"/>
      <c r="EIZ114" s="395"/>
      <c r="EJA114" s="395"/>
      <c r="EJB114" s="395"/>
      <c r="EJC114" s="395"/>
      <c r="EJD114" s="395"/>
      <c r="EJE114" s="396"/>
      <c r="EJF114" s="394"/>
      <c r="EJG114" s="395"/>
      <c r="EJH114" s="395"/>
      <c r="EJI114" s="395"/>
      <c r="EJJ114" s="395"/>
      <c r="EJK114" s="395"/>
      <c r="EJL114" s="395"/>
      <c r="EJM114" s="395"/>
      <c r="EJN114" s="395"/>
      <c r="EJO114" s="395"/>
      <c r="EJP114" s="395"/>
      <c r="EJQ114" s="395"/>
      <c r="EJR114" s="395"/>
      <c r="EJS114" s="395"/>
      <c r="EJT114" s="395"/>
      <c r="EJU114" s="395"/>
      <c r="EJV114" s="395"/>
      <c r="EJW114" s="395"/>
      <c r="EJX114" s="395"/>
      <c r="EJY114" s="395"/>
      <c r="EJZ114" s="395"/>
      <c r="EKA114" s="395"/>
      <c r="EKB114" s="395"/>
      <c r="EKC114" s="395"/>
      <c r="EKD114" s="395"/>
      <c r="EKE114" s="395"/>
      <c r="EKF114" s="396"/>
      <c r="EKG114" s="394"/>
      <c r="EKH114" s="395"/>
      <c r="EKI114" s="395"/>
      <c r="EKJ114" s="395"/>
      <c r="EKK114" s="395"/>
      <c r="EKL114" s="395"/>
      <c r="EKM114" s="395"/>
      <c r="EKN114" s="395"/>
      <c r="EKO114" s="395"/>
      <c r="EKP114" s="395"/>
      <c r="EKQ114" s="395"/>
      <c r="EKR114" s="395"/>
      <c r="EKS114" s="395"/>
      <c r="EKT114" s="395"/>
      <c r="EKU114" s="395"/>
      <c r="EKV114" s="395"/>
      <c r="EKW114" s="395"/>
      <c r="EKX114" s="395"/>
      <c r="EKY114" s="395"/>
      <c r="EKZ114" s="395"/>
      <c r="ELA114" s="395"/>
      <c r="ELB114" s="395"/>
      <c r="ELC114" s="395"/>
      <c r="ELD114" s="395"/>
      <c r="ELE114" s="395"/>
      <c r="ELF114" s="395"/>
      <c r="ELG114" s="396"/>
      <c r="ELH114" s="394"/>
      <c r="ELI114" s="395"/>
      <c r="ELJ114" s="395"/>
      <c r="ELK114" s="395"/>
      <c r="ELL114" s="395"/>
      <c r="ELM114" s="395"/>
      <c r="ELN114" s="395"/>
      <c r="ELO114" s="395"/>
      <c r="ELP114" s="395"/>
      <c r="ELQ114" s="395"/>
      <c r="ELR114" s="395"/>
      <c r="ELS114" s="395"/>
      <c r="ELT114" s="395"/>
      <c r="ELU114" s="395"/>
      <c r="ELV114" s="395"/>
      <c r="ELW114" s="395"/>
      <c r="ELX114" s="395"/>
      <c r="ELY114" s="395"/>
      <c r="ELZ114" s="395"/>
      <c r="EMA114" s="395"/>
      <c r="EMB114" s="395"/>
      <c r="EMC114" s="395"/>
      <c r="EMD114" s="395"/>
      <c r="EME114" s="395"/>
      <c r="EMF114" s="395"/>
      <c r="EMG114" s="395"/>
      <c r="EMH114" s="396"/>
      <c r="EMI114" s="394"/>
      <c r="EMJ114" s="395"/>
      <c r="EMK114" s="395"/>
      <c r="EML114" s="395"/>
      <c r="EMM114" s="395"/>
      <c r="EMN114" s="395"/>
      <c r="EMO114" s="395"/>
      <c r="EMP114" s="395"/>
      <c r="EMQ114" s="395"/>
      <c r="EMR114" s="395"/>
      <c r="EMS114" s="395"/>
      <c r="EMT114" s="395"/>
      <c r="EMU114" s="395"/>
      <c r="EMV114" s="395"/>
      <c r="EMW114" s="395"/>
      <c r="EMX114" s="395"/>
      <c r="EMY114" s="395"/>
      <c r="EMZ114" s="395"/>
      <c r="ENA114" s="395"/>
      <c r="ENB114" s="395"/>
      <c r="ENC114" s="395"/>
      <c r="END114" s="395"/>
      <c r="ENE114" s="395"/>
      <c r="ENF114" s="395"/>
      <c r="ENG114" s="395"/>
      <c r="ENH114" s="395"/>
      <c r="ENI114" s="396"/>
      <c r="ENJ114" s="394"/>
      <c r="ENK114" s="395"/>
      <c r="ENL114" s="395"/>
      <c r="ENM114" s="395"/>
      <c r="ENN114" s="395"/>
      <c r="ENO114" s="395"/>
      <c r="ENP114" s="395"/>
      <c r="ENQ114" s="395"/>
      <c r="ENR114" s="395"/>
      <c r="ENS114" s="395"/>
      <c r="ENT114" s="395"/>
      <c r="ENU114" s="395"/>
      <c r="ENV114" s="395"/>
      <c r="ENW114" s="395"/>
      <c r="ENX114" s="395"/>
      <c r="ENY114" s="395"/>
      <c r="ENZ114" s="395"/>
      <c r="EOA114" s="395"/>
      <c r="EOB114" s="395"/>
      <c r="EOC114" s="395"/>
      <c r="EOD114" s="395"/>
      <c r="EOE114" s="395"/>
      <c r="EOF114" s="395"/>
      <c r="EOG114" s="395"/>
      <c r="EOH114" s="395"/>
      <c r="EOI114" s="395"/>
      <c r="EOJ114" s="396"/>
      <c r="EOK114" s="394"/>
      <c r="EOL114" s="395"/>
      <c r="EOM114" s="395"/>
      <c r="EON114" s="395"/>
      <c r="EOO114" s="395"/>
      <c r="EOP114" s="395"/>
      <c r="EOQ114" s="395"/>
      <c r="EOR114" s="395"/>
      <c r="EOS114" s="395"/>
      <c r="EOT114" s="395"/>
      <c r="EOU114" s="395"/>
      <c r="EOV114" s="395"/>
      <c r="EOW114" s="395"/>
      <c r="EOX114" s="395"/>
      <c r="EOY114" s="395"/>
      <c r="EOZ114" s="395"/>
      <c r="EPA114" s="395"/>
      <c r="EPB114" s="395"/>
      <c r="EPC114" s="395"/>
      <c r="EPD114" s="395"/>
      <c r="EPE114" s="395"/>
      <c r="EPF114" s="395"/>
      <c r="EPG114" s="395"/>
      <c r="EPH114" s="395"/>
      <c r="EPI114" s="395"/>
      <c r="EPJ114" s="395"/>
      <c r="EPK114" s="396"/>
      <c r="EPL114" s="394"/>
      <c r="EPM114" s="395"/>
      <c r="EPN114" s="395"/>
      <c r="EPO114" s="395"/>
      <c r="EPP114" s="395"/>
      <c r="EPQ114" s="395"/>
      <c r="EPR114" s="395"/>
      <c r="EPS114" s="395"/>
      <c r="EPT114" s="395"/>
      <c r="EPU114" s="395"/>
      <c r="EPV114" s="395"/>
      <c r="EPW114" s="395"/>
      <c r="EPX114" s="395"/>
      <c r="EPY114" s="395"/>
      <c r="EPZ114" s="395"/>
      <c r="EQA114" s="395"/>
      <c r="EQB114" s="395"/>
      <c r="EQC114" s="395"/>
      <c r="EQD114" s="395"/>
      <c r="EQE114" s="395"/>
      <c r="EQF114" s="395"/>
      <c r="EQG114" s="395"/>
      <c r="EQH114" s="395"/>
      <c r="EQI114" s="395"/>
      <c r="EQJ114" s="395"/>
      <c r="EQK114" s="395"/>
      <c r="EQL114" s="396"/>
      <c r="EQM114" s="394"/>
      <c r="EQN114" s="395"/>
      <c r="EQO114" s="395"/>
      <c r="EQP114" s="395"/>
      <c r="EQQ114" s="395"/>
      <c r="EQR114" s="395"/>
      <c r="EQS114" s="395"/>
      <c r="EQT114" s="395"/>
      <c r="EQU114" s="395"/>
      <c r="EQV114" s="395"/>
      <c r="EQW114" s="395"/>
      <c r="EQX114" s="395"/>
      <c r="EQY114" s="395"/>
      <c r="EQZ114" s="395"/>
      <c r="ERA114" s="395"/>
      <c r="ERB114" s="395"/>
      <c r="ERC114" s="395"/>
      <c r="ERD114" s="395"/>
      <c r="ERE114" s="395"/>
      <c r="ERF114" s="395"/>
      <c r="ERG114" s="395"/>
      <c r="ERH114" s="395"/>
      <c r="ERI114" s="395"/>
      <c r="ERJ114" s="395"/>
      <c r="ERK114" s="395"/>
      <c r="ERL114" s="395"/>
      <c r="ERM114" s="396"/>
      <c r="ERN114" s="394"/>
      <c r="ERO114" s="395"/>
      <c r="ERP114" s="395"/>
      <c r="ERQ114" s="395"/>
      <c r="ERR114" s="395"/>
      <c r="ERS114" s="395"/>
      <c r="ERT114" s="395"/>
      <c r="ERU114" s="395"/>
      <c r="ERV114" s="395"/>
      <c r="ERW114" s="395"/>
      <c r="ERX114" s="395"/>
      <c r="ERY114" s="395"/>
      <c r="ERZ114" s="395"/>
      <c r="ESA114" s="395"/>
      <c r="ESB114" s="395"/>
      <c r="ESC114" s="395"/>
      <c r="ESD114" s="395"/>
      <c r="ESE114" s="395"/>
      <c r="ESF114" s="395"/>
      <c r="ESG114" s="395"/>
      <c r="ESH114" s="395"/>
      <c r="ESI114" s="395"/>
      <c r="ESJ114" s="395"/>
      <c r="ESK114" s="395"/>
      <c r="ESL114" s="395"/>
      <c r="ESM114" s="395"/>
      <c r="ESN114" s="396"/>
      <c r="ESO114" s="394"/>
      <c r="ESP114" s="395"/>
      <c r="ESQ114" s="395"/>
      <c r="ESR114" s="395"/>
      <c r="ESS114" s="395"/>
      <c r="EST114" s="395"/>
      <c r="ESU114" s="395"/>
      <c r="ESV114" s="395"/>
      <c r="ESW114" s="395"/>
      <c r="ESX114" s="395"/>
      <c r="ESY114" s="395"/>
      <c r="ESZ114" s="395"/>
      <c r="ETA114" s="395"/>
      <c r="ETB114" s="395"/>
      <c r="ETC114" s="395"/>
      <c r="ETD114" s="395"/>
      <c r="ETE114" s="395"/>
      <c r="ETF114" s="395"/>
      <c r="ETG114" s="395"/>
      <c r="ETH114" s="395"/>
      <c r="ETI114" s="395"/>
      <c r="ETJ114" s="395"/>
      <c r="ETK114" s="395"/>
      <c r="ETL114" s="395"/>
      <c r="ETM114" s="395"/>
      <c r="ETN114" s="395"/>
      <c r="ETO114" s="396"/>
      <c r="ETP114" s="394"/>
      <c r="ETQ114" s="395"/>
      <c r="ETR114" s="395"/>
      <c r="ETS114" s="395"/>
      <c r="ETT114" s="395"/>
      <c r="ETU114" s="395"/>
      <c r="ETV114" s="395"/>
      <c r="ETW114" s="395"/>
      <c r="ETX114" s="395"/>
      <c r="ETY114" s="395"/>
      <c r="ETZ114" s="395"/>
      <c r="EUA114" s="395"/>
      <c r="EUB114" s="395"/>
      <c r="EUC114" s="395"/>
      <c r="EUD114" s="395"/>
      <c r="EUE114" s="395"/>
      <c r="EUF114" s="395"/>
      <c r="EUG114" s="395"/>
      <c r="EUH114" s="395"/>
      <c r="EUI114" s="395"/>
      <c r="EUJ114" s="395"/>
      <c r="EUK114" s="395"/>
      <c r="EUL114" s="395"/>
      <c r="EUM114" s="395"/>
      <c r="EUN114" s="395"/>
      <c r="EUO114" s="395"/>
      <c r="EUP114" s="396"/>
      <c r="EUQ114" s="394"/>
      <c r="EUR114" s="395"/>
      <c r="EUS114" s="395"/>
      <c r="EUT114" s="395"/>
      <c r="EUU114" s="395"/>
      <c r="EUV114" s="395"/>
      <c r="EUW114" s="395"/>
      <c r="EUX114" s="395"/>
      <c r="EUY114" s="395"/>
      <c r="EUZ114" s="395"/>
      <c r="EVA114" s="395"/>
      <c r="EVB114" s="395"/>
      <c r="EVC114" s="395"/>
      <c r="EVD114" s="395"/>
      <c r="EVE114" s="395"/>
      <c r="EVF114" s="395"/>
      <c r="EVG114" s="395"/>
      <c r="EVH114" s="395"/>
      <c r="EVI114" s="395"/>
      <c r="EVJ114" s="395"/>
      <c r="EVK114" s="395"/>
      <c r="EVL114" s="395"/>
      <c r="EVM114" s="395"/>
      <c r="EVN114" s="395"/>
      <c r="EVO114" s="395"/>
      <c r="EVP114" s="395"/>
      <c r="EVQ114" s="396"/>
      <c r="EVR114" s="394"/>
      <c r="EVS114" s="395"/>
      <c r="EVT114" s="395"/>
      <c r="EVU114" s="395"/>
      <c r="EVV114" s="395"/>
      <c r="EVW114" s="395"/>
      <c r="EVX114" s="395"/>
      <c r="EVY114" s="395"/>
      <c r="EVZ114" s="395"/>
      <c r="EWA114" s="395"/>
      <c r="EWB114" s="395"/>
      <c r="EWC114" s="395"/>
      <c r="EWD114" s="395"/>
      <c r="EWE114" s="395"/>
      <c r="EWF114" s="395"/>
      <c r="EWG114" s="395"/>
      <c r="EWH114" s="395"/>
      <c r="EWI114" s="395"/>
      <c r="EWJ114" s="395"/>
      <c r="EWK114" s="395"/>
      <c r="EWL114" s="395"/>
      <c r="EWM114" s="395"/>
      <c r="EWN114" s="395"/>
      <c r="EWO114" s="395"/>
      <c r="EWP114" s="395"/>
      <c r="EWQ114" s="395"/>
      <c r="EWR114" s="396"/>
      <c r="EWS114" s="394"/>
      <c r="EWT114" s="395"/>
      <c r="EWU114" s="395"/>
      <c r="EWV114" s="395"/>
      <c r="EWW114" s="395"/>
      <c r="EWX114" s="395"/>
      <c r="EWY114" s="395"/>
      <c r="EWZ114" s="395"/>
      <c r="EXA114" s="395"/>
      <c r="EXB114" s="395"/>
      <c r="EXC114" s="395"/>
      <c r="EXD114" s="395"/>
      <c r="EXE114" s="395"/>
      <c r="EXF114" s="395"/>
      <c r="EXG114" s="395"/>
      <c r="EXH114" s="395"/>
      <c r="EXI114" s="395"/>
      <c r="EXJ114" s="395"/>
      <c r="EXK114" s="395"/>
      <c r="EXL114" s="395"/>
      <c r="EXM114" s="395"/>
      <c r="EXN114" s="395"/>
      <c r="EXO114" s="395"/>
      <c r="EXP114" s="395"/>
      <c r="EXQ114" s="395"/>
      <c r="EXR114" s="395"/>
      <c r="EXS114" s="396"/>
      <c r="EXT114" s="394"/>
      <c r="EXU114" s="395"/>
      <c r="EXV114" s="395"/>
      <c r="EXW114" s="395"/>
      <c r="EXX114" s="395"/>
      <c r="EXY114" s="395"/>
      <c r="EXZ114" s="395"/>
      <c r="EYA114" s="395"/>
      <c r="EYB114" s="395"/>
      <c r="EYC114" s="395"/>
      <c r="EYD114" s="395"/>
      <c r="EYE114" s="395"/>
      <c r="EYF114" s="395"/>
      <c r="EYG114" s="395"/>
      <c r="EYH114" s="395"/>
      <c r="EYI114" s="395"/>
      <c r="EYJ114" s="395"/>
      <c r="EYK114" s="395"/>
      <c r="EYL114" s="395"/>
      <c r="EYM114" s="395"/>
      <c r="EYN114" s="395"/>
      <c r="EYO114" s="395"/>
      <c r="EYP114" s="395"/>
      <c r="EYQ114" s="395"/>
      <c r="EYR114" s="395"/>
      <c r="EYS114" s="395"/>
      <c r="EYT114" s="396"/>
      <c r="EYU114" s="394"/>
      <c r="EYV114" s="395"/>
      <c r="EYW114" s="395"/>
      <c r="EYX114" s="395"/>
      <c r="EYY114" s="395"/>
      <c r="EYZ114" s="395"/>
      <c r="EZA114" s="395"/>
      <c r="EZB114" s="395"/>
      <c r="EZC114" s="395"/>
      <c r="EZD114" s="395"/>
      <c r="EZE114" s="395"/>
      <c r="EZF114" s="395"/>
      <c r="EZG114" s="395"/>
      <c r="EZH114" s="395"/>
      <c r="EZI114" s="395"/>
      <c r="EZJ114" s="395"/>
      <c r="EZK114" s="395"/>
      <c r="EZL114" s="395"/>
      <c r="EZM114" s="395"/>
      <c r="EZN114" s="395"/>
      <c r="EZO114" s="395"/>
      <c r="EZP114" s="395"/>
      <c r="EZQ114" s="395"/>
      <c r="EZR114" s="395"/>
      <c r="EZS114" s="395"/>
      <c r="EZT114" s="395"/>
      <c r="EZU114" s="396"/>
      <c r="EZV114" s="394"/>
      <c r="EZW114" s="395"/>
      <c r="EZX114" s="395"/>
      <c r="EZY114" s="395"/>
      <c r="EZZ114" s="395"/>
      <c r="FAA114" s="395"/>
      <c r="FAB114" s="395"/>
      <c r="FAC114" s="395"/>
      <c r="FAD114" s="395"/>
      <c r="FAE114" s="395"/>
      <c r="FAF114" s="395"/>
      <c r="FAG114" s="395"/>
      <c r="FAH114" s="395"/>
      <c r="FAI114" s="395"/>
      <c r="FAJ114" s="395"/>
      <c r="FAK114" s="395"/>
      <c r="FAL114" s="395"/>
      <c r="FAM114" s="395"/>
      <c r="FAN114" s="395"/>
      <c r="FAO114" s="395"/>
      <c r="FAP114" s="395"/>
      <c r="FAQ114" s="395"/>
      <c r="FAR114" s="395"/>
      <c r="FAS114" s="395"/>
      <c r="FAT114" s="395"/>
      <c r="FAU114" s="395"/>
      <c r="FAV114" s="396"/>
      <c r="FAW114" s="394"/>
      <c r="FAX114" s="395"/>
      <c r="FAY114" s="395"/>
      <c r="FAZ114" s="395"/>
      <c r="FBA114" s="395"/>
      <c r="FBB114" s="395"/>
      <c r="FBC114" s="395"/>
      <c r="FBD114" s="395"/>
      <c r="FBE114" s="395"/>
      <c r="FBF114" s="395"/>
      <c r="FBG114" s="395"/>
      <c r="FBH114" s="395"/>
      <c r="FBI114" s="395"/>
      <c r="FBJ114" s="395"/>
      <c r="FBK114" s="395"/>
      <c r="FBL114" s="395"/>
      <c r="FBM114" s="395"/>
      <c r="FBN114" s="395"/>
      <c r="FBO114" s="395"/>
      <c r="FBP114" s="395"/>
      <c r="FBQ114" s="395"/>
      <c r="FBR114" s="395"/>
      <c r="FBS114" s="395"/>
      <c r="FBT114" s="395"/>
      <c r="FBU114" s="395"/>
      <c r="FBV114" s="395"/>
      <c r="FBW114" s="396"/>
      <c r="FBX114" s="394"/>
      <c r="FBY114" s="395"/>
      <c r="FBZ114" s="395"/>
      <c r="FCA114" s="395"/>
      <c r="FCB114" s="395"/>
      <c r="FCC114" s="395"/>
      <c r="FCD114" s="395"/>
      <c r="FCE114" s="395"/>
      <c r="FCF114" s="395"/>
      <c r="FCG114" s="395"/>
      <c r="FCH114" s="395"/>
      <c r="FCI114" s="395"/>
      <c r="FCJ114" s="395"/>
      <c r="FCK114" s="395"/>
      <c r="FCL114" s="395"/>
      <c r="FCM114" s="395"/>
      <c r="FCN114" s="395"/>
      <c r="FCO114" s="395"/>
      <c r="FCP114" s="395"/>
      <c r="FCQ114" s="395"/>
      <c r="FCR114" s="395"/>
      <c r="FCS114" s="395"/>
      <c r="FCT114" s="395"/>
      <c r="FCU114" s="395"/>
      <c r="FCV114" s="395"/>
      <c r="FCW114" s="395"/>
      <c r="FCX114" s="396"/>
      <c r="FCY114" s="394"/>
      <c r="FCZ114" s="395"/>
      <c r="FDA114" s="395"/>
      <c r="FDB114" s="395"/>
      <c r="FDC114" s="395"/>
      <c r="FDD114" s="395"/>
      <c r="FDE114" s="395"/>
      <c r="FDF114" s="395"/>
      <c r="FDG114" s="395"/>
      <c r="FDH114" s="395"/>
      <c r="FDI114" s="395"/>
      <c r="FDJ114" s="395"/>
      <c r="FDK114" s="395"/>
      <c r="FDL114" s="395"/>
      <c r="FDM114" s="395"/>
      <c r="FDN114" s="395"/>
      <c r="FDO114" s="395"/>
      <c r="FDP114" s="395"/>
      <c r="FDQ114" s="395"/>
      <c r="FDR114" s="395"/>
      <c r="FDS114" s="395"/>
      <c r="FDT114" s="395"/>
      <c r="FDU114" s="395"/>
      <c r="FDV114" s="395"/>
      <c r="FDW114" s="395"/>
      <c r="FDX114" s="395"/>
      <c r="FDY114" s="396"/>
      <c r="FDZ114" s="394"/>
      <c r="FEA114" s="395"/>
      <c r="FEB114" s="395"/>
      <c r="FEC114" s="395"/>
      <c r="FED114" s="395"/>
      <c r="FEE114" s="395"/>
      <c r="FEF114" s="395"/>
      <c r="FEG114" s="395"/>
      <c r="FEH114" s="395"/>
      <c r="FEI114" s="395"/>
      <c r="FEJ114" s="395"/>
      <c r="FEK114" s="395"/>
      <c r="FEL114" s="395"/>
      <c r="FEM114" s="395"/>
      <c r="FEN114" s="395"/>
      <c r="FEO114" s="395"/>
      <c r="FEP114" s="395"/>
      <c r="FEQ114" s="395"/>
      <c r="FER114" s="395"/>
      <c r="FES114" s="395"/>
      <c r="FET114" s="395"/>
      <c r="FEU114" s="395"/>
      <c r="FEV114" s="395"/>
      <c r="FEW114" s="395"/>
      <c r="FEX114" s="395"/>
      <c r="FEY114" s="395"/>
      <c r="FEZ114" s="396"/>
      <c r="FFA114" s="394"/>
      <c r="FFB114" s="395"/>
      <c r="FFC114" s="395"/>
      <c r="FFD114" s="395"/>
      <c r="FFE114" s="395"/>
      <c r="FFF114" s="395"/>
      <c r="FFG114" s="395"/>
      <c r="FFH114" s="395"/>
      <c r="FFI114" s="395"/>
      <c r="FFJ114" s="395"/>
      <c r="FFK114" s="395"/>
      <c r="FFL114" s="395"/>
      <c r="FFM114" s="395"/>
      <c r="FFN114" s="395"/>
      <c r="FFO114" s="395"/>
      <c r="FFP114" s="395"/>
      <c r="FFQ114" s="395"/>
      <c r="FFR114" s="395"/>
      <c r="FFS114" s="395"/>
      <c r="FFT114" s="395"/>
      <c r="FFU114" s="395"/>
      <c r="FFV114" s="395"/>
      <c r="FFW114" s="395"/>
      <c r="FFX114" s="395"/>
      <c r="FFY114" s="395"/>
      <c r="FFZ114" s="395"/>
      <c r="FGA114" s="396"/>
      <c r="FGB114" s="394"/>
      <c r="FGC114" s="395"/>
      <c r="FGD114" s="395"/>
      <c r="FGE114" s="395"/>
      <c r="FGF114" s="395"/>
      <c r="FGG114" s="395"/>
      <c r="FGH114" s="395"/>
      <c r="FGI114" s="395"/>
      <c r="FGJ114" s="395"/>
      <c r="FGK114" s="395"/>
      <c r="FGL114" s="395"/>
      <c r="FGM114" s="395"/>
      <c r="FGN114" s="395"/>
      <c r="FGO114" s="395"/>
      <c r="FGP114" s="395"/>
      <c r="FGQ114" s="395"/>
      <c r="FGR114" s="395"/>
      <c r="FGS114" s="395"/>
      <c r="FGT114" s="395"/>
      <c r="FGU114" s="395"/>
      <c r="FGV114" s="395"/>
      <c r="FGW114" s="395"/>
      <c r="FGX114" s="395"/>
      <c r="FGY114" s="395"/>
      <c r="FGZ114" s="395"/>
      <c r="FHA114" s="395"/>
      <c r="FHB114" s="396"/>
      <c r="FHC114" s="394"/>
      <c r="FHD114" s="395"/>
      <c r="FHE114" s="395"/>
      <c r="FHF114" s="395"/>
      <c r="FHG114" s="395"/>
      <c r="FHH114" s="395"/>
      <c r="FHI114" s="395"/>
      <c r="FHJ114" s="395"/>
      <c r="FHK114" s="395"/>
      <c r="FHL114" s="395"/>
      <c r="FHM114" s="395"/>
      <c r="FHN114" s="395"/>
      <c r="FHO114" s="395"/>
      <c r="FHP114" s="395"/>
      <c r="FHQ114" s="395"/>
      <c r="FHR114" s="395"/>
      <c r="FHS114" s="395"/>
      <c r="FHT114" s="395"/>
      <c r="FHU114" s="395"/>
      <c r="FHV114" s="395"/>
      <c r="FHW114" s="395"/>
      <c r="FHX114" s="395"/>
      <c r="FHY114" s="395"/>
      <c r="FHZ114" s="395"/>
      <c r="FIA114" s="395"/>
      <c r="FIB114" s="395"/>
      <c r="FIC114" s="396"/>
      <c r="FID114" s="394"/>
      <c r="FIE114" s="395"/>
      <c r="FIF114" s="395"/>
      <c r="FIG114" s="395"/>
      <c r="FIH114" s="395"/>
      <c r="FII114" s="395"/>
      <c r="FIJ114" s="395"/>
      <c r="FIK114" s="395"/>
      <c r="FIL114" s="395"/>
      <c r="FIM114" s="395"/>
      <c r="FIN114" s="395"/>
      <c r="FIO114" s="395"/>
      <c r="FIP114" s="395"/>
      <c r="FIQ114" s="395"/>
      <c r="FIR114" s="395"/>
      <c r="FIS114" s="395"/>
      <c r="FIT114" s="395"/>
      <c r="FIU114" s="395"/>
      <c r="FIV114" s="395"/>
      <c r="FIW114" s="395"/>
      <c r="FIX114" s="395"/>
      <c r="FIY114" s="395"/>
      <c r="FIZ114" s="395"/>
      <c r="FJA114" s="395"/>
      <c r="FJB114" s="395"/>
      <c r="FJC114" s="395"/>
      <c r="FJD114" s="396"/>
      <c r="FJE114" s="394"/>
      <c r="FJF114" s="395"/>
      <c r="FJG114" s="395"/>
      <c r="FJH114" s="395"/>
      <c r="FJI114" s="395"/>
      <c r="FJJ114" s="395"/>
      <c r="FJK114" s="395"/>
      <c r="FJL114" s="395"/>
      <c r="FJM114" s="395"/>
      <c r="FJN114" s="395"/>
      <c r="FJO114" s="395"/>
      <c r="FJP114" s="395"/>
      <c r="FJQ114" s="395"/>
      <c r="FJR114" s="395"/>
      <c r="FJS114" s="395"/>
      <c r="FJT114" s="395"/>
      <c r="FJU114" s="395"/>
      <c r="FJV114" s="395"/>
      <c r="FJW114" s="395"/>
      <c r="FJX114" s="395"/>
      <c r="FJY114" s="395"/>
      <c r="FJZ114" s="395"/>
      <c r="FKA114" s="395"/>
      <c r="FKB114" s="395"/>
      <c r="FKC114" s="395"/>
      <c r="FKD114" s="395"/>
      <c r="FKE114" s="396"/>
      <c r="FKF114" s="394"/>
      <c r="FKG114" s="395"/>
      <c r="FKH114" s="395"/>
      <c r="FKI114" s="395"/>
      <c r="FKJ114" s="395"/>
      <c r="FKK114" s="395"/>
      <c r="FKL114" s="395"/>
      <c r="FKM114" s="395"/>
      <c r="FKN114" s="395"/>
      <c r="FKO114" s="395"/>
      <c r="FKP114" s="395"/>
      <c r="FKQ114" s="395"/>
      <c r="FKR114" s="395"/>
      <c r="FKS114" s="395"/>
      <c r="FKT114" s="395"/>
      <c r="FKU114" s="395"/>
      <c r="FKV114" s="395"/>
      <c r="FKW114" s="395"/>
      <c r="FKX114" s="395"/>
      <c r="FKY114" s="395"/>
      <c r="FKZ114" s="395"/>
      <c r="FLA114" s="395"/>
      <c r="FLB114" s="395"/>
      <c r="FLC114" s="395"/>
      <c r="FLD114" s="395"/>
      <c r="FLE114" s="395"/>
      <c r="FLF114" s="396"/>
      <c r="FLG114" s="394"/>
      <c r="FLH114" s="395"/>
      <c r="FLI114" s="395"/>
      <c r="FLJ114" s="395"/>
      <c r="FLK114" s="395"/>
      <c r="FLL114" s="395"/>
      <c r="FLM114" s="395"/>
      <c r="FLN114" s="395"/>
      <c r="FLO114" s="395"/>
      <c r="FLP114" s="395"/>
      <c r="FLQ114" s="395"/>
      <c r="FLR114" s="395"/>
      <c r="FLS114" s="395"/>
      <c r="FLT114" s="395"/>
      <c r="FLU114" s="395"/>
      <c r="FLV114" s="395"/>
      <c r="FLW114" s="395"/>
      <c r="FLX114" s="395"/>
      <c r="FLY114" s="395"/>
      <c r="FLZ114" s="395"/>
      <c r="FMA114" s="395"/>
      <c r="FMB114" s="395"/>
      <c r="FMC114" s="395"/>
      <c r="FMD114" s="395"/>
      <c r="FME114" s="395"/>
      <c r="FMF114" s="395"/>
      <c r="FMG114" s="396"/>
      <c r="FMH114" s="394"/>
      <c r="FMI114" s="395"/>
      <c r="FMJ114" s="395"/>
      <c r="FMK114" s="395"/>
      <c r="FML114" s="395"/>
      <c r="FMM114" s="395"/>
      <c r="FMN114" s="395"/>
      <c r="FMO114" s="395"/>
      <c r="FMP114" s="395"/>
      <c r="FMQ114" s="395"/>
      <c r="FMR114" s="395"/>
      <c r="FMS114" s="395"/>
      <c r="FMT114" s="395"/>
      <c r="FMU114" s="395"/>
      <c r="FMV114" s="395"/>
      <c r="FMW114" s="395"/>
      <c r="FMX114" s="395"/>
      <c r="FMY114" s="395"/>
      <c r="FMZ114" s="395"/>
      <c r="FNA114" s="395"/>
      <c r="FNB114" s="395"/>
      <c r="FNC114" s="395"/>
      <c r="FND114" s="395"/>
      <c r="FNE114" s="395"/>
      <c r="FNF114" s="395"/>
      <c r="FNG114" s="395"/>
      <c r="FNH114" s="396"/>
      <c r="FNI114" s="394"/>
      <c r="FNJ114" s="395"/>
      <c r="FNK114" s="395"/>
      <c r="FNL114" s="395"/>
      <c r="FNM114" s="395"/>
      <c r="FNN114" s="395"/>
      <c r="FNO114" s="395"/>
      <c r="FNP114" s="395"/>
      <c r="FNQ114" s="395"/>
      <c r="FNR114" s="395"/>
      <c r="FNS114" s="395"/>
      <c r="FNT114" s="395"/>
      <c r="FNU114" s="395"/>
      <c r="FNV114" s="395"/>
      <c r="FNW114" s="395"/>
      <c r="FNX114" s="395"/>
      <c r="FNY114" s="395"/>
      <c r="FNZ114" s="395"/>
      <c r="FOA114" s="395"/>
      <c r="FOB114" s="395"/>
      <c r="FOC114" s="395"/>
      <c r="FOD114" s="395"/>
      <c r="FOE114" s="395"/>
      <c r="FOF114" s="395"/>
      <c r="FOG114" s="395"/>
      <c r="FOH114" s="395"/>
      <c r="FOI114" s="396"/>
      <c r="FOJ114" s="394"/>
      <c r="FOK114" s="395"/>
      <c r="FOL114" s="395"/>
      <c r="FOM114" s="395"/>
      <c r="FON114" s="395"/>
      <c r="FOO114" s="395"/>
      <c r="FOP114" s="395"/>
      <c r="FOQ114" s="395"/>
      <c r="FOR114" s="395"/>
      <c r="FOS114" s="395"/>
      <c r="FOT114" s="395"/>
      <c r="FOU114" s="395"/>
      <c r="FOV114" s="395"/>
      <c r="FOW114" s="395"/>
      <c r="FOX114" s="395"/>
      <c r="FOY114" s="395"/>
      <c r="FOZ114" s="395"/>
      <c r="FPA114" s="395"/>
      <c r="FPB114" s="395"/>
      <c r="FPC114" s="395"/>
      <c r="FPD114" s="395"/>
      <c r="FPE114" s="395"/>
      <c r="FPF114" s="395"/>
      <c r="FPG114" s="395"/>
      <c r="FPH114" s="395"/>
      <c r="FPI114" s="395"/>
      <c r="FPJ114" s="396"/>
      <c r="FPK114" s="394"/>
      <c r="FPL114" s="395"/>
      <c r="FPM114" s="395"/>
      <c r="FPN114" s="395"/>
      <c r="FPO114" s="395"/>
      <c r="FPP114" s="395"/>
      <c r="FPQ114" s="395"/>
      <c r="FPR114" s="395"/>
      <c r="FPS114" s="395"/>
      <c r="FPT114" s="395"/>
      <c r="FPU114" s="395"/>
      <c r="FPV114" s="395"/>
      <c r="FPW114" s="395"/>
      <c r="FPX114" s="395"/>
      <c r="FPY114" s="395"/>
      <c r="FPZ114" s="395"/>
      <c r="FQA114" s="395"/>
      <c r="FQB114" s="395"/>
      <c r="FQC114" s="395"/>
      <c r="FQD114" s="395"/>
      <c r="FQE114" s="395"/>
      <c r="FQF114" s="395"/>
      <c r="FQG114" s="395"/>
      <c r="FQH114" s="395"/>
      <c r="FQI114" s="395"/>
      <c r="FQJ114" s="395"/>
      <c r="FQK114" s="396"/>
      <c r="FQL114" s="394"/>
      <c r="FQM114" s="395"/>
      <c r="FQN114" s="395"/>
      <c r="FQO114" s="395"/>
      <c r="FQP114" s="395"/>
      <c r="FQQ114" s="395"/>
      <c r="FQR114" s="395"/>
      <c r="FQS114" s="395"/>
      <c r="FQT114" s="395"/>
      <c r="FQU114" s="395"/>
      <c r="FQV114" s="395"/>
      <c r="FQW114" s="395"/>
      <c r="FQX114" s="395"/>
      <c r="FQY114" s="395"/>
      <c r="FQZ114" s="395"/>
      <c r="FRA114" s="395"/>
      <c r="FRB114" s="395"/>
      <c r="FRC114" s="395"/>
      <c r="FRD114" s="395"/>
      <c r="FRE114" s="395"/>
      <c r="FRF114" s="395"/>
      <c r="FRG114" s="395"/>
      <c r="FRH114" s="395"/>
      <c r="FRI114" s="395"/>
      <c r="FRJ114" s="395"/>
      <c r="FRK114" s="395"/>
      <c r="FRL114" s="396"/>
      <c r="FRM114" s="394"/>
      <c r="FRN114" s="395"/>
      <c r="FRO114" s="395"/>
      <c r="FRP114" s="395"/>
      <c r="FRQ114" s="395"/>
      <c r="FRR114" s="395"/>
      <c r="FRS114" s="395"/>
      <c r="FRT114" s="395"/>
      <c r="FRU114" s="395"/>
      <c r="FRV114" s="395"/>
      <c r="FRW114" s="395"/>
      <c r="FRX114" s="395"/>
      <c r="FRY114" s="395"/>
      <c r="FRZ114" s="395"/>
      <c r="FSA114" s="395"/>
      <c r="FSB114" s="395"/>
      <c r="FSC114" s="395"/>
      <c r="FSD114" s="395"/>
      <c r="FSE114" s="395"/>
      <c r="FSF114" s="395"/>
      <c r="FSG114" s="395"/>
      <c r="FSH114" s="395"/>
      <c r="FSI114" s="395"/>
      <c r="FSJ114" s="395"/>
      <c r="FSK114" s="395"/>
      <c r="FSL114" s="395"/>
      <c r="FSM114" s="396"/>
      <c r="FSN114" s="394"/>
      <c r="FSO114" s="395"/>
      <c r="FSP114" s="395"/>
      <c r="FSQ114" s="395"/>
      <c r="FSR114" s="395"/>
      <c r="FSS114" s="395"/>
      <c r="FST114" s="395"/>
      <c r="FSU114" s="395"/>
      <c r="FSV114" s="395"/>
      <c r="FSW114" s="395"/>
      <c r="FSX114" s="395"/>
      <c r="FSY114" s="395"/>
      <c r="FSZ114" s="395"/>
      <c r="FTA114" s="395"/>
      <c r="FTB114" s="395"/>
      <c r="FTC114" s="395"/>
      <c r="FTD114" s="395"/>
      <c r="FTE114" s="395"/>
      <c r="FTF114" s="395"/>
      <c r="FTG114" s="395"/>
      <c r="FTH114" s="395"/>
      <c r="FTI114" s="395"/>
      <c r="FTJ114" s="395"/>
      <c r="FTK114" s="395"/>
      <c r="FTL114" s="395"/>
      <c r="FTM114" s="395"/>
      <c r="FTN114" s="396"/>
      <c r="FTO114" s="394"/>
      <c r="FTP114" s="395"/>
      <c r="FTQ114" s="395"/>
      <c r="FTR114" s="395"/>
      <c r="FTS114" s="395"/>
      <c r="FTT114" s="395"/>
      <c r="FTU114" s="395"/>
      <c r="FTV114" s="395"/>
      <c r="FTW114" s="395"/>
      <c r="FTX114" s="395"/>
      <c r="FTY114" s="395"/>
      <c r="FTZ114" s="395"/>
      <c r="FUA114" s="395"/>
      <c r="FUB114" s="395"/>
      <c r="FUC114" s="395"/>
      <c r="FUD114" s="395"/>
      <c r="FUE114" s="395"/>
      <c r="FUF114" s="395"/>
      <c r="FUG114" s="395"/>
      <c r="FUH114" s="395"/>
      <c r="FUI114" s="395"/>
      <c r="FUJ114" s="395"/>
      <c r="FUK114" s="395"/>
      <c r="FUL114" s="395"/>
      <c r="FUM114" s="395"/>
      <c r="FUN114" s="395"/>
      <c r="FUO114" s="396"/>
      <c r="FUP114" s="394"/>
      <c r="FUQ114" s="395"/>
      <c r="FUR114" s="395"/>
      <c r="FUS114" s="395"/>
      <c r="FUT114" s="395"/>
      <c r="FUU114" s="395"/>
      <c r="FUV114" s="395"/>
      <c r="FUW114" s="395"/>
      <c r="FUX114" s="395"/>
      <c r="FUY114" s="395"/>
      <c r="FUZ114" s="395"/>
      <c r="FVA114" s="395"/>
      <c r="FVB114" s="395"/>
      <c r="FVC114" s="395"/>
      <c r="FVD114" s="395"/>
      <c r="FVE114" s="395"/>
      <c r="FVF114" s="395"/>
      <c r="FVG114" s="395"/>
      <c r="FVH114" s="395"/>
      <c r="FVI114" s="395"/>
      <c r="FVJ114" s="395"/>
      <c r="FVK114" s="395"/>
      <c r="FVL114" s="395"/>
      <c r="FVM114" s="395"/>
      <c r="FVN114" s="395"/>
      <c r="FVO114" s="395"/>
      <c r="FVP114" s="396"/>
      <c r="FVQ114" s="394"/>
      <c r="FVR114" s="395"/>
      <c r="FVS114" s="395"/>
      <c r="FVT114" s="395"/>
      <c r="FVU114" s="395"/>
      <c r="FVV114" s="395"/>
      <c r="FVW114" s="395"/>
      <c r="FVX114" s="395"/>
      <c r="FVY114" s="395"/>
      <c r="FVZ114" s="395"/>
      <c r="FWA114" s="395"/>
      <c r="FWB114" s="395"/>
      <c r="FWC114" s="395"/>
      <c r="FWD114" s="395"/>
      <c r="FWE114" s="395"/>
      <c r="FWF114" s="395"/>
      <c r="FWG114" s="395"/>
      <c r="FWH114" s="395"/>
      <c r="FWI114" s="395"/>
      <c r="FWJ114" s="395"/>
      <c r="FWK114" s="395"/>
      <c r="FWL114" s="395"/>
      <c r="FWM114" s="395"/>
      <c r="FWN114" s="395"/>
      <c r="FWO114" s="395"/>
      <c r="FWP114" s="395"/>
      <c r="FWQ114" s="396"/>
      <c r="FWR114" s="394"/>
      <c r="FWS114" s="395"/>
      <c r="FWT114" s="395"/>
      <c r="FWU114" s="395"/>
      <c r="FWV114" s="395"/>
      <c r="FWW114" s="395"/>
      <c r="FWX114" s="395"/>
      <c r="FWY114" s="395"/>
      <c r="FWZ114" s="395"/>
      <c r="FXA114" s="395"/>
      <c r="FXB114" s="395"/>
      <c r="FXC114" s="395"/>
      <c r="FXD114" s="395"/>
      <c r="FXE114" s="395"/>
      <c r="FXF114" s="395"/>
      <c r="FXG114" s="395"/>
      <c r="FXH114" s="395"/>
      <c r="FXI114" s="395"/>
      <c r="FXJ114" s="395"/>
      <c r="FXK114" s="395"/>
      <c r="FXL114" s="395"/>
      <c r="FXM114" s="395"/>
      <c r="FXN114" s="395"/>
      <c r="FXO114" s="395"/>
      <c r="FXP114" s="395"/>
      <c r="FXQ114" s="395"/>
      <c r="FXR114" s="396"/>
      <c r="FXS114" s="394"/>
      <c r="FXT114" s="395"/>
      <c r="FXU114" s="395"/>
      <c r="FXV114" s="395"/>
      <c r="FXW114" s="395"/>
      <c r="FXX114" s="395"/>
      <c r="FXY114" s="395"/>
      <c r="FXZ114" s="395"/>
      <c r="FYA114" s="395"/>
      <c r="FYB114" s="395"/>
      <c r="FYC114" s="395"/>
      <c r="FYD114" s="395"/>
      <c r="FYE114" s="395"/>
      <c r="FYF114" s="395"/>
      <c r="FYG114" s="395"/>
      <c r="FYH114" s="395"/>
      <c r="FYI114" s="395"/>
      <c r="FYJ114" s="395"/>
      <c r="FYK114" s="395"/>
      <c r="FYL114" s="395"/>
      <c r="FYM114" s="395"/>
      <c r="FYN114" s="395"/>
      <c r="FYO114" s="395"/>
      <c r="FYP114" s="395"/>
      <c r="FYQ114" s="395"/>
      <c r="FYR114" s="395"/>
      <c r="FYS114" s="396"/>
      <c r="FYT114" s="394"/>
      <c r="FYU114" s="395"/>
      <c r="FYV114" s="395"/>
      <c r="FYW114" s="395"/>
      <c r="FYX114" s="395"/>
      <c r="FYY114" s="395"/>
      <c r="FYZ114" s="395"/>
      <c r="FZA114" s="395"/>
      <c r="FZB114" s="395"/>
      <c r="FZC114" s="395"/>
      <c r="FZD114" s="395"/>
      <c r="FZE114" s="395"/>
      <c r="FZF114" s="395"/>
      <c r="FZG114" s="395"/>
      <c r="FZH114" s="395"/>
      <c r="FZI114" s="395"/>
      <c r="FZJ114" s="395"/>
      <c r="FZK114" s="395"/>
      <c r="FZL114" s="395"/>
      <c r="FZM114" s="395"/>
      <c r="FZN114" s="395"/>
      <c r="FZO114" s="395"/>
      <c r="FZP114" s="395"/>
      <c r="FZQ114" s="395"/>
      <c r="FZR114" s="395"/>
      <c r="FZS114" s="395"/>
      <c r="FZT114" s="396"/>
      <c r="FZU114" s="394"/>
      <c r="FZV114" s="395"/>
      <c r="FZW114" s="395"/>
      <c r="FZX114" s="395"/>
      <c r="FZY114" s="395"/>
      <c r="FZZ114" s="395"/>
      <c r="GAA114" s="395"/>
      <c r="GAB114" s="395"/>
      <c r="GAC114" s="395"/>
      <c r="GAD114" s="395"/>
      <c r="GAE114" s="395"/>
      <c r="GAF114" s="395"/>
      <c r="GAG114" s="395"/>
      <c r="GAH114" s="395"/>
      <c r="GAI114" s="395"/>
      <c r="GAJ114" s="395"/>
      <c r="GAK114" s="395"/>
      <c r="GAL114" s="395"/>
      <c r="GAM114" s="395"/>
      <c r="GAN114" s="395"/>
      <c r="GAO114" s="395"/>
      <c r="GAP114" s="395"/>
      <c r="GAQ114" s="395"/>
      <c r="GAR114" s="395"/>
      <c r="GAS114" s="395"/>
      <c r="GAT114" s="395"/>
      <c r="GAU114" s="396"/>
      <c r="GAV114" s="394"/>
      <c r="GAW114" s="395"/>
      <c r="GAX114" s="395"/>
      <c r="GAY114" s="395"/>
      <c r="GAZ114" s="395"/>
      <c r="GBA114" s="395"/>
      <c r="GBB114" s="395"/>
      <c r="GBC114" s="395"/>
      <c r="GBD114" s="395"/>
      <c r="GBE114" s="395"/>
      <c r="GBF114" s="395"/>
      <c r="GBG114" s="395"/>
      <c r="GBH114" s="395"/>
      <c r="GBI114" s="395"/>
      <c r="GBJ114" s="395"/>
      <c r="GBK114" s="395"/>
      <c r="GBL114" s="395"/>
      <c r="GBM114" s="395"/>
      <c r="GBN114" s="395"/>
      <c r="GBO114" s="395"/>
      <c r="GBP114" s="395"/>
      <c r="GBQ114" s="395"/>
      <c r="GBR114" s="395"/>
      <c r="GBS114" s="395"/>
      <c r="GBT114" s="395"/>
      <c r="GBU114" s="395"/>
      <c r="GBV114" s="396"/>
      <c r="GBW114" s="394"/>
      <c r="GBX114" s="395"/>
      <c r="GBY114" s="395"/>
      <c r="GBZ114" s="395"/>
      <c r="GCA114" s="395"/>
      <c r="GCB114" s="395"/>
      <c r="GCC114" s="395"/>
      <c r="GCD114" s="395"/>
      <c r="GCE114" s="395"/>
      <c r="GCF114" s="395"/>
      <c r="GCG114" s="395"/>
      <c r="GCH114" s="395"/>
      <c r="GCI114" s="395"/>
      <c r="GCJ114" s="395"/>
      <c r="GCK114" s="395"/>
      <c r="GCL114" s="395"/>
      <c r="GCM114" s="395"/>
      <c r="GCN114" s="395"/>
      <c r="GCO114" s="395"/>
      <c r="GCP114" s="395"/>
      <c r="GCQ114" s="395"/>
      <c r="GCR114" s="395"/>
      <c r="GCS114" s="395"/>
      <c r="GCT114" s="395"/>
      <c r="GCU114" s="395"/>
      <c r="GCV114" s="395"/>
      <c r="GCW114" s="396"/>
      <c r="GCX114" s="394"/>
      <c r="GCY114" s="395"/>
      <c r="GCZ114" s="395"/>
      <c r="GDA114" s="395"/>
      <c r="GDB114" s="395"/>
      <c r="GDC114" s="395"/>
      <c r="GDD114" s="395"/>
      <c r="GDE114" s="395"/>
      <c r="GDF114" s="395"/>
      <c r="GDG114" s="395"/>
      <c r="GDH114" s="395"/>
      <c r="GDI114" s="395"/>
      <c r="GDJ114" s="395"/>
      <c r="GDK114" s="395"/>
      <c r="GDL114" s="395"/>
      <c r="GDM114" s="395"/>
      <c r="GDN114" s="395"/>
      <c r="GDO114" s="395"/>
      <c r="GDP114" s="395"/>
      <c r="GDQ114" s="395"/>
      <c r="GDR114" s="395"/>
      <c r="GDS114" s="395"/>
      <c r="GDT114" s="395"/>
      <c r="GDU114" s="395"/>
      <c r="GDV114" s="395"/>
      <c r="GDW114" s="395"/>
      <c r="GDX114" s="396"/>
      <c r="GDY114" s="394"/>
      <c r="GDZ114" s="395"/>
      <c r="GEA114" s="395"/>
      <c r="GEB114" s="395"/>
      <c r="GEC114" s="395"/>
      <c r="GED114" s="395"/>
      <c r="GEE114" s="395"/>
      <c r="GEF114" s="395"/>
      <c r="GEG114" s="395"/>
      <c r="GEH114" s="395"/>
      <c r="GEI114" s="395"/>
      <c r="GEJ114" s="395"/>
      <c r="GEK114" s="395"/>
      <c r="GEL114" s="395"/>
      <c r="GEM114" s="395"/>
      <c r="GEN114" s="395"/>
      <c r="GEO114" s="395"/>
      <c r="GEP114" s="395"/>
      <c r="GEQ114" s="395"/>
      <c r="GER114" s="395"/>
      <c r="GES114" s="395"/>
      <c r="GET114" s="395"/>
      <c r="GEU114" s="395"/>
      <c r="GEV114" s="395"/>
      <c r="GEW114" s="395"/>
      <c r="GEX114" s="395"/>
      <c r="GEY114" s="396"/>
      <c r="GEZ114" s="394"/>
      <c r="GFA114" s="395"/>
      <c r="GFB114" s="395"/>
      <c r="GFC114" s="395"/>
      <c r="GFD114" s="395"/>
      <c r="GFE114" s="395"/>
      <c r="GFF114" s="395"/>
      <c r="GFG114" s="395"/>
      <c r="GFH114" s="395"/>
      <c r="GFI114" s="395"/>
      <c r="GFJ114" s="395"/>
      <c r="GFK114" s="395"/>
      <c r="GFL114" s="395"/>
      <c r="GFM114" s="395"/>
      <c r="GFN114" s="395"/>
      <c r="GFO114" s="395"/>
      <c r="GFP114" s="395"/>
      <c r="GFQ114" s="395"/>
      <c r="GFR114" s="395"/>
      <c r="GFS114" s="395"/>
      <c r="GFT114" s="395"/>
      <c r="GFU114" s="395"/>
      <c r="GFV114" s="395"/>
      <c r="GFW114" s="395"/>
      <c r="GFX114" s="395"/>
      <c r="GFY114" s="395"/>
      <c r="GFZ114" s="396"/>
      <c r="GGA114" s="394"/>
      <c r="GGB114" s="395"/>
      <c r="GGC114" s="395"/>
      <c r="GGD114" s="395"/>
      <c r="GGE114" s="395"/>
      <c r="GGF114" s="395"/>
      <c r="GGG114" s="395"/>
      <c r="GGH114" s="395"/>
      <c r="GGI114" s="395"/>
      <c r="GGJ114" s="395"/>
      <c r="GGK114" s="395"/>
      <c r="GGL114" s="395"/>
      <c r="GGM114" s="395"/>
      <c r="GGN114" s="395"/>
      <c r="GGO114" s="395"/>
      <c r="GGP114" s="395"/>
      <c r="GGQ114" s="395"/>
      <c r="GGR114" s="395"/>
      <c r="GGS114" s="395"/>
      <c r="GGT114" s="395"/>
      <c r="GGU114" s="395"/>
      <c r="GGV114" s="395"/>
      <c r="GGW114" s="395"/>
      <c r="GGX114" s="395"/>
      <c r="GGY114" s="395"/>
      <c r="GGZ114" s="395"/>
      <c r="GHA114" s="396"/>
      <c r="GHB114" s="394"/>
      <c r="GHC114" s="395"/>
      <c r="GHD114" s="395"/>
      <c r="GHE114" s="395"/>
      <c r="GHF114" s="395"/>
      <c r="GHG114" s="395"/>
      <c r="GHH114" s="395"/>
      <c r="GHI114" s="395"/>
      <c r="GHJ114" s="395"/>
      <c r="GHK114" s="395"/>
      <c r="GHL114" s="395"/>
      <c r="GHM114" s="395"/>
      <c r="GHN114" s="395"/>
      <c r="GHO114" s="395"/>
      <c r="GHP114" s="395"/>
      <c r="GHQ114" s="395"/>
      <c r="GHR114" s="395"/>
      <c r="GHS114" s="395"/>
      <c r="GHT114" s="395"/>
      <c r="GHU114" s="395"/>
      <c r="GHV114" s="395"/>
      <c r="GHW114" s="395"/>
      <c r="GHX114" s="395"/>
      <c r="GHY114" s="395"/>
      <c r="GHZ114" s="395"/>
      <c r="GIA114" s="395"/>
      <c r="GIB114" s="396"/>
      <c r="GIC114" s="394"/>
      <c r="GID114" s="395"/>
      <c r="GIE114" s="395"/>
      <c r="GIF114" s="395"/>
      <c r="GIG114" s="395"/>
      <c r="GIH114" s="395"/>
      <c r="GII114" s="395"/>
      <c r="GIJ114" s="395"/>
      <c r="GIK114" s="395"/>
      <c r="GIL114" s="395"/>
      <c r="GIM114" s="395"/>
      <c r="GIN114" s="395"/>
      <c r="GIO114" s="395"/>
      <c r="GIP114" s="395"/>
      <c r="GIQ114" s="395"/>
      <c r="GIR114" s="395"/>
      <c r="GIS114" s="395"/>
      <c r="GIT114" s="395"/>
      <c r="GIU114" s="395"/>
      <c r="GIV114" s="395"/>
      <c r="GIW114" s="395"/>
      <c r="GIX114" s="395"/>
      <c r="GIY114" s="395"/>
      <c r="GIZ114" s="395"/>
      <c r="GJA114" s="395"/>
      <c r="GJB114" s="395"/>
      <c r="GJC114" s="396"/>
      <c r="GJD114" s="394"/>
      <c r="GJE114" s="395"/>
      <c r="GJF114" s="395"/>
      <c r="GJG114" s="395"/>
      <c r="GJH114" s="395"/>
      <c r="GJI114" s="395"/>
      <c r="GJJ114" s="395"/>
      <c r="GJK114" s="395"/>
      <c r="GJL114" s="395"/>
      <c r="GJM114" s="395"/>
      <c r="GJN114" s="395"/>
      <c r="GJO114" s="395"/>
      <c r="GJP114" s="395"/>
      <c r="GJQ114" s="395"/>
      <c r="GJR114" s="395"/>
      <c r="GJS114" s="395"/>
      <c r="GJT114" s="395"/>
      <c r="GJU114" s="395"/>
      <c r="GJV114" s="395"/>
      <c r="GJW114" s="395"/>
      <c r="GJX114" s="395"/>
      <c r="GJY114" s="395"/>
      <c r="GJZ114" s="395"/>
      <c r="GKA114" s="395"/>
      <c r="GKB114" s="395"/>
      <c r="GKC114" s="395"/>
      <c r="GKD114" s="396"/>
      <c r="GKE114" s="394"/>
      <c r="GKF114" s="395"/>
      <c r="GKG114" s="395"/>
      <c r="GKH114" s="395"/>
      <c r="GKI114" s="395"/>
      <c r="GKJ114" s="395"/>
      <c r="GKK114" s="395"/>
      <c r="GKL114" s="395"/>
      <c r="GKM114" s="395"/>
      <c r="GKN114" s="395"/>
      <c r="GKO114" s="395"/>
      <c r="GKP114" s="395"/>
      <c r="GKQ114" s="395"/>
      <c r="GKR114" s="395"/>
      <c r="GKS114" s="395"/>
      <c r="GKT114" s="395"/>
      <c r="GKU114" s="395"/>
      <c r="GKV114" s="395"/>
      <c r="GKW114" s="395"/>
      <c r="GKX114" s="395"/>
      <c r="GKY114" s="395"/>
      <c r="GKZ114" s="395"/>
      <c r="GLA114" s="395"/>
      <c r="GLB114" s="395"/>
      <c r="GLC114" s="395"/>
      <c r="GLD114" s="395"/>
      <c r="GLE114" s="396"/>
      <c r="GLF114" s="394"/>
      <c r="GLG114" s="395"/>
      <c r="GLH114" s="395"/>
      <c r="GLI114" s="395"/>
      <c r="GLJ114" s="395"/>
      <c r="GLK114" s="395"/>
      <c r="GLL114" s="395"/>
      <c r="GLM114" s="395"/>
      <c r="GLN114" s="395"/>
      <c r="GLO114" s="395"/>
      <c r="GLP114" s="395"/>
      <c r="GLQ114" s="395"/>
      <c r="GLR114" s="395"/>
      <c r="GLS114" s="395"/>
      <c r="GLT114" s="395"/>
      <c r="GLU114" s="395"/>
      <c r="GLV114" s="395"/>
      <c r="GLW114" s="395"/>
      <c r="GLX114" s="395"/>
      <c r="GLY114" s="395"/>
      <c r="GLZ114" s="395"/>
      <c r="GMA114" s="395"/>
      <c r="GMB114" s="395"/>
      <c r="GMC114" s="395"/>
      <c r="GMD114" s="395"/>
      <c r="GME114" s="395"/>
      <c r="GMF114" s="396"/>
      <c r="GMG114" s="394"/>
      <c r="GMH114" s="395"/>
      <c r="GMI114" s="395"/>
      <c r="GMJ114" s="395"/>
      <c r="GMK114" s="395"/>
      <c r="GML114" s="395"/>
      <c r="GMM114" s="395"/>
      <c r="GMN114" s="395"/>
      <c r="GMO114" s="395"/>
      <c r="GMP114" s="395"/>
      <c r="GMQ114" s="395"/>
      <c r="GMR114" s="395"/>
      <c r="GMS114" s="395"/>
      <c r="GMT114" s="395"/>
      <c r="GMU114" s="395"/>
      <c r="GMV114" s="395"/>
      <c r="GMW114" s="395"/>
      <c r="GMX114" s="395"/>
      <c r="GMY114" s="395"/>
      <c r="GMZ114" s="395"/>
      <c r="GNA114" s="395"/>
      <c r="GNB114" s="395"/>
      <c r="GNC114" s="395"/>
      <c r="GND114" s="395"/>
      <c r="GNE114" s="395"/>
      <c r="GNF114" s="395"/>
      <c r="GNG114" s="396"/>
      <c r="GNH114" s="394"/>
      <c r="GNI114" s="395"/>
      <c r="GNJ114" s="395"/>
      <c r="GNK114" s="395"/>
      <c r="GNL114" s="395"/>
      <c r="GNM114" s="395"/>
      <c r="GNN114" s="395"/>
      <c r="GNO114" s="395"/>
      <c r="GNP114" s="395"/>
      <c r="GNQ114" s="395"/>
      <c r="GNR114" s="395"/>
      <c r="GNS114" s="395"/>
      <c r="GNT114" s="395"/>
      <c r="GNU114" s="395"/>
      <c r="GNV114" s="395"/>
      <c r="GNW114" s="395"/>
      <c r="GNX114" s="395"/>
      <c r="GNY114" s="395"/>
      <c r="GNZ114" s="395"/>
      <c r="GOA114" s="395"/>
      <c r="GOB114" s="395"/>
      <c r="GOC114" s="395"/>
      <c r="GOD114" s="395"/>
      <c r="GOE114" s="395"/>
      <c r="GOF114" s="395"/>
      <c r="GOG114" s="395"/>
      <c r="GOH114" s="396"/>
      <c r="GOI114" s="394"/>
      <c r="GOJ114" s="395"/>
      <c r="GOK114" s="395"/>
      <c r="GOL114" s="395"/>
      <c r="GOM114" s="395"/>
      <c r="GON114" s="395"/>
      <c r="GOO114" s="395"/>
      <c r="GOP114" s="395"/>
      <c r="GOQ114" s="395"/>
      <c r="GOR114" s="395"/>
      <c r="GOS114" s="395"/>
      <c r="GOT114" s="395"/>
      <c r="GOU114" s="395"/>
      <c r="GOV114" s="395"/>
      <c r="GOW114" s="395"/>
      <c r="GOX114" s="395"/>
      <c r="GOY114" s="395"/>
      <c r="GOZ114" s="395"/>
      <c r="GPA114" s="395"/>
      <c r="GPB114" s="395"/>
      <c r="GPC114" s="395"/>
      <c r="GPD114" s="395"/>
      <c r="GPE114" s="395"/>
      <c r="GPF114" s="395"/>
      <c r="GPG114" s="395"/>
      <c r="GPH114" s="395"/>
      <c r="GPI114" s="396"/>
      <c r="GPJ114" s="394"/>
      <c r="GPK114" s="395"/>
      <c r="GPL114" s="395"/>
      <c r="GPM114" s="395"/>
      <c r="GPN114" s="395"/>
      <c r="GPO114" s="395"/>
      <c r="GPP114" s="395"/>
      <c r="GPQ114" s="395"/>
      <c r="GPR114" s="395"/>
      <c r="GPS114" s="395"/>
      <c r="GPT114" s="395"/>
      <c r="GPU114" s="395"/>
      <c r="GPV114" s="395"/>
      <c r="GPW114" s="395"/>
      <c r="GPX114" s="395"/>
      <c r="GPY114" s="395"/>
      <c r="GPZ114" s="395"/>
      <c r="GQA114" s="395"/>
      <c r="GQB114" s="395"/>
      <c r="GQC114" s="395"/>
      <c r="GQD114" s="395"/>
      <c r="GQE114" s="395"/>
      <c r="GQF114" s="395"/>
      <c r="GQG114" s="395"/>
      <c r="GQH114" s="395"/>
      <c r="GQI114" s="395"/>
      <c r="GQJ114" s="396"/>
      <c r="GQK114" s="394"/>
      <c r="GQL114" s="395"/>
      <c r="GQM114" s="395"/>
      <c r="GQN114" s="395"/>
      <c r="GQO114" s="395"/>
      <c r="GQP114" s="395"/>
      <c r="GQQ114" s="395"/>
      <c r="GQR114" s="395"/>
      <c r="GQS114" s="395"/>
      <c r="GQT114" s="395"/>
      <c r="GQU114" s="395"/>
      <c r="GQV114" s="395"/>
      <c r="GQW114" s="395"/>
      <c r="GQX114" s="395"/>
      <c r="GQY114" s="395"/>
      <c r="GQZ114" s="395"/>
      <c r="GRA114" s="395"/>
      <c r="GRB114" s="395"/>
      <c r="GRC114" s="395"/>
      <c r="GRD114" s="395"/>
      <c r="GRE114" s="395"/>
      <c r="GRF114" s="395"/>
      <c r="GRG114" s="395"/>
      <c r="GRH114" s="395"/>
      <c r="GRI114" s="395"/>
      <c r="GRJ114" s="395"/>
      <c r="GRK114" s="396"/>
      <c r="GRL114" s="394"/>
      <c r="GRM114" s="395"/>
      <c r="GRN114" s="395"/>
      <c r="GRO114" s="395"/>
      <c r="GRP114" s="395"/>
      <c r="GRQ114" s="395"/>
      <c r="GRR114" s="395"/>
      <c r="GRS114" s="395"/>
      <c r="GRT114" s="395"/>
      <c r="GRU114" s="395"/>
      <c r="GRV114" s="395"/>
      <c r="GRW114" s="395"/>
      <c r="GRX114" s="395"/>
      <c r="GRY114" s="395"/>
      <c r="GRZ114" s="395"/>
      <c r="GSA114" s="395"/>
      <c r="GSB114" s="395"/>
      <c r="GSC114" s="395"/>
      <c r="GSD114" s="395"/>
      <c r="GSE114" s="395"/>
      <c r="GSF114" s="395"/>
      <c r="GSG114" s="395"/>
      <c r="GSH114" s="395"/>
      <c r="GSI114" s="395"/>
      <c r="GSJ114" s="395"/>
      <c r="GSK114" s="395"/>
      <c r="GSL114" s="396"/>
      <c r="GSM114" s="394"/>
      <c r="GSN114" s="395"/>
      <c r="GSO114" s="395"/>
      <c r="GSP114" s="395"/>
      <c r="GSQ114" s="395"/>
      <c r="GSR114" s="395"/>
      <c r="GSS114" s="395"/>
      <c r="GST114" s="395"/>
      <c r="GSU114" s="395"/>
      <c r="GSV114" s="395"/>
      <c r="GSW114" s="395"/>
      <c r="GSX114" s="395"/>
      <c r="GSY114" s="395"/>
      <c r="GSZ114" s="395"/>
      <c r="GTA114" s="395"/>
      <c r="GTB114" s="395"/>
      <c r="GTC114" s="395"/>
      <c r="GTD114" s="395"/>
      <c r="GTE114" s="395"/>
      <c r="GTF114" s="395"/>
      <c r="GTG114" s="395"/>
      <c r="GTH114" s="395"/>
      <c r="GTI114" s="395"/>
      <c r="GTJ114" s="395"/>
      <c r="GTK114" s="395"/>
      <c r="GTL114" s="395"/>
      <c r="GTM114" s="396"/>
      <c r="GTN114" s="394"/>
      <c r="GTO114" s="395"/>
      <c r="GTP114" s="395"/>
      <c r="GTQ114" s="395"/>
      <c r="GTR114" s="395"/>
      <c r="GTS114" s="395"/>
      <c r="GTT114" s="395"/>
      <c r="GTU114" s="395"/>
      <c r="GTV114" s="395"/>
      <c r="GTW114" s="395"/>
      <c r="GTX114" s="395"/>
      <c r="GTY114" s="395"/>
      <c r="GTZ114" s="395"/>
      <c r="GUA114" s="395"/>
      <c r="GUB114" s="395"/>
      <c r="GUC114" s="395"/>
      <c r="GUD114" s="395"/>
      <c r="GUE114" s="395"/>
      <c r="GUF114" s="395"/>
      <c r="GUG114" s="395"/>
      <c r="GUH114" s="395"/>
      <c r="GUI114" s="395"/>
      <c r="GUJ114" s="395"/>
      <c r="GUK114" s="395"/>
      <c r="GUL114" s="395"/>
      <c r="GUM114" s="395"/>
      <c r="GUN114" s="396"/>
      <c r="GUO114" s="394"/>
      <c r="GUP114" s="395"/>
      <c r="GUQ114" s="395"/>
      <c r="GUR114" s="395"/>
      <c r="GUS114" s="395"/>
      <c r="GUT114" s="395"/>
      <c r="GUU114" s="395"/>
      <c r="GUV114" s="395"/>
      <c r="GUW114" s="395"/>
      <c r="GUX114" s="395"/>
      <c r="GUY114" s="395"/>
      <c r="GUZ114" s="395"/>
      <c r="GVA114" s="395"/>
      <c r="GVB114" s="395"/>
      <c r="GVC114" s="395"/>
      <c r="GVD114" s="395"/>
      <c r="GVE114" s="395"/>
      <c r="GVF114" s="395"/>
      <c r="GVG114" s="395"/>
      <c r="GVH114" s="395"/>
      <c r="GVI114" s="395"/>
      <c r="GVJ114" s="395"/>
      <c r="GVK114" s="395"/>
      <c r="GVL114" s="395"/>
      <c r="GVM114" s="395"/>
      <c r="GVN114" s="395"/>
      <c r="GVO114" s="396"/>
      <c r="GVP114" s="394"/>
      <c r="GVQ114" s="395"/>
      <c r="GVR114" s="395"/>
      <c r="GVS114" s="395"/>
      <c r="GVT114" s="395"/>
      <c r="GVU114" s="395"/>
      <c r="GVV114" s="395"/>
      <c r="GVW114" s="395"/>
      <c r="GVX114" s="395"/>
      <c r="GVY114" s="395"/>
      <c r="GVZ114" s="395"/>
      <c r="GWA114" s="395"/>
      <c r="GWB114" s="395"/>
      <c r="GWC114" s="395"/>
      <c r="GWD114" s="395"/>
      <c r="GWE114" s="395"/>
      <c r="GWF114" s="395"/>
      <c r="GWG114" s="395"/>
      <c r="GWH114" s="395"/>
      <c r="GWI114" s="395"/>
      <c r="GWJ114" s="395"/>
      <c r="GWK114" s="395"/>
      <c r="GWL114" s="395"/>
      <c r="GWM114" s="395"/>
      <c r="GWN114" s="395"/>
      <c r="GWO114" s="395"/>
      <c r="GWP114" s="396"/>
      <c r="GWQ114" s="394"/>
      <c r="GWR114" s="395"/>
      <c r="GWS114" s="395"/>
      <c r="GWT114" s="395"/>
      <c r="GWU114" s="395"/>
      <c r="GWV114" s="395"/>
      <c r="GWW114" s="395"/>
      <c r="GWX114" s="395"/>
      <c r="GWY114" s="395"/>
      <c r="GWZ114" s="395"/>
      <c r="GXA114" s="395"/>
      <c r="GXB114" s="395"/>
      <c r="GXC114" s="395"/>
      <c r="GXD114" s="395"/>
      <c r="GXE114" s="395"/>
      <c r="GXF114" s="395"/>
      <c r="GXG114" s="395"/>
      <c r="GXH114" s="395"/>
      <c r="GXI114" s="395"/>
      <c r="GXJ114" s="395"/>
      <c r="GXK114" s="395"/>
      <c r="GXL114" s="395"/>
      <c r="GXM114" s="395"/>
      <c r="GXN114" s="395"/>
      <c r="GXO114" s="395"/>
      <c r="GXP114" s="395"/>
      <c r="GXQ114" s="396"/>
      <c r="GXR114" s="394"/>
      <c r="GXS114" s="395"/>
      <c r="GXT114" s="395"/>
      <c r="GXU114" s="395"/>
      <c r="GXV114" s="395"/>
      <c r="GXW114" s="395"/>
      <c r="GXX114" s="395"/>
      <c r="GXY114" s="395"/>
      <c r="GXZ114" s="395"/>
      <c r="GYA114" s="395"/>
      <c r="GYB114" s="395"/>
      <c r="GYC114" s="395"/>
      <c r="GYD114" s="395"/>
      <c r="GYE114" s="395"/>
      <c r="GYF114" s="395"/>
      <c r="GYG114" s="395"/>
      <c r="GYH114" s="395"/>
      <c r="GYI114" s="395"/>
      <c r="GYJ114" s="395"/>
      <c r="GYK114" s="395"/>
      <c r="GYL114" s="395"/>
      <c r="GYM114" s="395"/>
      <c r="GYN114" s="395"/>
      <c r="GYO114" s="395"/>
      <c r="GYP114" s="395"/>
      <c r="GYQ114" s="395"/>
      <c r="GYR114" s="396"/>
      <c r="GYS114" s="394"/>
      <c r="GYT114" s="395"/>
      <c r="GYU114" s="395"/>
      <c r="GYV114" s="395"/>
      <c r="GYW114" s="395"/>
      <c r="GYX114" s="395"/>
      <c r="GYY114" s="395"/>
      <c r="GYZ114" s="395"/>
      <c r="GZA114" s="395"/>
      <c r="GZB114" s="395"/>
      <c r="GZC114" s="395"/>
      <c r="GZD114" s="395"/>
      <c r="GZE114" s="395"/>
      <c r="GZF114" s="395"/>
      <c r="GZG114" s="395"/>
      <c r="GZH114" s="395"/>
      <c r="GZI114" s="395"/>
      <c r="GZJ114" s="395"/>
      <c r="GZK114" s="395"/>
      <c r="GZL114" s="395"/>
      <c r="GZM114" s="395"/>
      <c r="GZN114" s="395"/>
      <c r="GZO114" s="395"/>
      <c r="GZP114" s="395"/>
      <c r="GZQ114" s="395"/>
      <c r="GZR114" s="395"/>
      <c r="GZS114" s="396"/>
      <c r="GZT114" s="394"/>
      <c r="GZU114" s="395"/>
      <c r="GZV114" s="395"/>
      <c r="GZW114" s="395"/>
      <c r="GZX114" s="395"/>
      <c r="GZY114" s="395"/>
      <c r="GZZ114" s="395"/>
      <c r="HAA114" s="395"/>
      <c r="HAB114" s="395"/>
      <c r="HAC114" s="395"/>
      <c r="HAD114" s="395"/>
      <c r="HAE114" s="395"/>
      <c r="HAF114" s="395"/>
      <c r="HAG114" s="395"/>
      <c r="HAH114" s="395"/>
      <c r="HAI114" s="395"/>
      <c r="HAJ114" s="395"/>
      <c r="HAK114" s="395"/>
      <c r="HAL114" s="395"/>
      <c r="HAM114" s="395"/>
      <c r="HAN114" s="395"/>
      <c r="HAO114" s="395"/>
      <c r="HAP114" s="395"/>
      <c r="HAQ114" s="395"/>
      <c r="HAR114" s="395"/>
      <c r="HAS114" s="395"/>
      <c r="HAT114" s="396"/>
      <c r="HAU114" s="394"/>
      <c r="HAV114" s="395"/>
      <c r="HAW114" s="395"/>
      <c r="HAX114" s="395"/>
      <c r="HAY114" s="395"/>
      <c r="HAZ114" s="395"/>
      <c r="HBA114" s="395"/>
      <c r="HBB114" s="395"/>
      <c r="HBC114" s="395"/>
      <c r="HBD114" s="395"/>
      <c r="HBE114" s="395"/>
      <c r="HBF114" s="395"/>
      <c r="HBG114" s="395"/>
      <c r="HBH114" s="395"/>
      <c r="HBI114" s="395"/>
      <c r="HBJ114" s="395"/>
      <c r="HBK114" s="395"/>
      <c r="HBL114" s="395"/>
      <c r="HBM114" s="395"/>
      <c r="HBN114" s="395"/>
      <c r="HBO114" s="395"/>
      <c r="HBP114" s="395"/>
      <c r="HBQ114" s="395"/>
      <c r="HBR114" s="395"/>
      <c r="HBS114" s="395"/>
      <c r="HBT114" s="395"/>
      <c r="HBU114" s="396"/>
      <c r="HBV114" s="394"/>
      <c r="HBW114" s="395"/>
      <c r="HBX114" s="395"/>
      <c r="HBY114" s="395"/>
      <c r="HBZ114" s="395"/>
      <c r="HCA114" s="395"/>
      <c r="HCB114" s="395"/>
      <c r="HCC114" s="395"/>
      <c r="HCD114" s="395"/>
      <c r="HCE114" s="395"/>
      <c r="HCF114" s="395"/>
      <c r="HCG114" s="395"/>
      <c r="HCH114" s="395"/>
      <c r="HCI114" s="395"/>
      <c r="HCJ114" s="395"/>
      <c r="HCK114" s="395"/>
      <c r="HCL114" s="395"/>
      <c r="HCM114" s="395"/>
      <c r="HCN114" s="395"/>
      <c r="HCO114" s="395"/>
      <c r="HCP114" s="395"/>
      <c r="HCQ114" s="395"/>
      <c r="HCR114" s="395"/>
      <c r="HCS114" s="395"/>
      <c r="HCT114" s="395"/>
      <c r="HCU114" s="395"/>
      <c r="HCV114" s="396"/>
      <c r="HCW114" s="394"/>
      <c r="HCX114" s="395"/>
      <c r="HCY114" s="395"/>
      <c r="HCZ114" s="395"/>
      <c r="HDA114" s="395"/>
      <c r="HDB114" s="395"/>
      <c r="HDC114" s="395"/>
      <c r="HDD114" s="395"/>
      <c r="HDE114" s="395"/>
      <c r="HDF114" s="395"/>
      <c r="HDG114" s="395"/>
      <c r="HDH114" s="395"/>
      <c r="HDI114" s="395"/>
      <c r="HDJ114" s="395"/>
      <c r="HDK114" s="395"/>
      <c r="HDL114" s="395"/>
      <c r="HDM114" s="395"/>
      <c r="HDN114" s="395"/>
      <c r="HDO114" s="395"/>
      <c r="HDP114" s="395"/>
      <c r="HDQ114" s="395"/>
      <c r="HDR114" s="395"/>
      <c r="HDS114" s="395"/>
      <c r="HDT114" s="395"/>
      <c r="HDU114" s="395"/>
      <c r="HDV114" s="395"/>
      <c r="HDW114" s="396"/>
      <c r="HDX114" s="394"/>
      <c r="HDY114" s="395"/>
      <c r="HDZ114" s="395"/>
      <c r="HEA114" s="395"/>
      <c r="HEB114" s="395"/>
      <c r="HEC114" s="395"/>
      <c r="HED114" s="395"/>
      <c r="HEE114" s="395"/>
      <c r="HEF114" s="395"/>
      <c r="HEG114" s="395"/>
      <c r="HEH114" s="395"/>
      <c r="HEI114" s="395"/>
      <c r="HEJ114" s="395"/>
      <c r="HEK114" s="395"/>
      <c r="HEL114" s="395"/>
      <c r="HEM114" s="395"/>
      <c r="HEN114" s="395"/>
      <c r="HEO114" s="395"/>
      <c r="HEP114" s="395"/>
      <c r="HEQ114" s="395"/>
      <c r="HER114" s="395"/>
      <c r="HES114" s="395"/>
      <c r="HET114" s="395"/>
      <c r="HEU114" s="395"/>
      <c r="HEV114" s="395"/>
      <c r="HEW114" s="395"/>
      <c r="HEX114" s="396"/>
      <c r="HEY114" s="394"/>
      <c r="HEZ114" s="395"/>
      <c r="HFA114" s="395"/>
      <c r="HFB114" s="395"/>
      <c r="HFC114" s="395"/>
      <c r="HFD114" s="395"/>
      <c r="HFE114" s="395"/>
      <c r="HFF114" s="395"/>
      <c r="HFG114" s="395"/>
      <c r="HFH114" s="395"/>
      <c r="HFI114" s="395"/>
      <c r="HFJ114" s="395"/>
      <c r="HFK114" s="395"/>
      <c r="HFL114" s="395"/>
      <c r="HFM114" s="395"/>
      <c r="HFN114" s="395"/>
      <c r="HFO114" s="395"/>
      <c r="HFP114" s="395"/>
      <c r="HFQ114" s="395"/>
      <c r="HFR114" s="395"/>
      <c r="HFS114" s="395"/>
      <c r="HFT114" s="395"/>
      <c r="HFU114" s="395"/>
      <c r="HFV114" s="395"/>
      <c r="HFW114" s="395"/>
      <c r="HFX114" s="395"/>
      <c r="HFY114" s="396"/>
      <c r="HFZ114" s="394"/>
      <c r="HGA114" s="395"/>
      <c r="HGB114" s="395"/>
      <c r="HGC114" s="395"/>
      <c r="HGD114" s="395"/>
      <c r="HGE114" s="395"/>
      <c r="HGF114" s="395"/>
      <c r="HGG114" s="395"/>
      <c r="HGH114" s="395"/>
      <c r="HGI114" s="395"/>
      <c r="HGJ114" s="395"/>
      <c r="HGK114" s="395"/>
      <c r="HGL114" s="395"/>
      <c r="HGM114" s="395"/>
      <c r="HGN114" s="395"/>
      <c r="HGO114" s="395"/>
      <c r="HGP114" s="395"/>
      <c r="HGQ114" s="395"/>
      <c r="HGR114" s="395"/>
      <c r="HGS114" s="395"/>
      <c r="HGT114" s="395"/>
      <c r="HGU114" s="395"/>
      <c r="HGV114" s="395"/>
      <c r="HGW114" s="395"/>
      <c r="HGX114" s="395"/>
      <c r="HGY114" s="395"/>
      <c r="HGZ114" s="396"/>
      <c r="HHA114" s="394"/>
      <c r="HHB114" s="395"/>
      <c r="HHC114" s="395"/>
      <c r="HHD114" s="395"/>
      <c r="HHE114" s="395"/>
      <c r="HHF114" s="395"/>
      <c r="HHG114" s="395"/>
      <c r="HHH114" s="395"/>
      <c r="HHI114" s="395"/>
      <c r="HHJ114" s="395"/>
      <c r="HHK114" s="395"/>
      <c r="HHL114" s="395"/>
      <c r="HHM114" s="395"/>
      <c r="HHN114" s="395"/>
      <c r="HHO114" s="395"/>
      <c r="HHP114" s="395"/>
      <c r="HHQ114" s="395"/>
      <c r="HHR114" s="395"/>
      <c r="HHS114" s="395"/>
      <c r="HHT114" s="395"/>
      <c r="HHU114" s="395"/>
      <c r="HHV114" s="395"/>
      <c r="HHW114" s="395"/>
      <c r="HHX114" s="395"/>
      <c r="HHY114" s="395"/>
      <c r="HHZ114" s="395"/>
      <c r="HIA114" s="396"/>
      <c r="HIB114" s="394"/>
      <c r="HIC114" s="395"/>
      <c r="HID114" s="395"/>
      <c r="HIE114" s="395"/>
      <c r="HIF114" s="395"/>
      <c r="HIG114" s="395"/>
      <c r="HIH114" s="395"/>
      <c r="HII114" s="395"/>
      <c r="HIJ114" s="395"/>
      <c r="HIK114" s="395"/>
      <c r="HIL114" s="395"/>
      <c r="HIM114" s="395"/>
      <c r="HIN114" s="395"/>
      <c r="HIO114" s="395"/>
      <c r="HIP114" s="395"/>
      <c r="HIQ114" s="395"/>
      <c r="HIR114" s="395"/>
      <c r="HIS114" s="395"/>
      <c r="HIT114" s="395"/>
      <c r="HIU114" s="395"/>
      <c r="HIV114" s="395"/>
      <c r="HIW114" s="395"/>
      <c r="HIX114" s="395"/>
      <c r="HIY114" s="395"/>
      <c r="HIZ114" s="395"/>
      <c r="HJA114" s="395"/>
      <c r="HJB114" s="396"/>
      <c r="HJC114" s="394"/>
      <c r="HJD114" s="395"/>
      <c r="HJE114" s="395"/>
      <c r="HJF114" s="395"/>
      <c r="HJG114" s="395"/>
      <c r="HJH114" s="395"/>
      <c r="HJI114" s="395"/>
      <c r="HJJ114" s="395"/>
      <c r="HJK114" s="395"/>
      <c r="HJL114" s="395"/>
      <c r="HJM114" s="395"/>
      <c r="HJN114" s="395"/>
      <c r="HJO114" s="395"/>
      <c r="HJP114" s="395"/>
      <c r="HJQ114" s="395"/>
      <c r="HJR114" s="395"/>
      <c r="HJS114" s="395"/>
      <c r="HJT114" s="395"/>
      <c r="HJU114" s="395"/>
      <c r="HJV114" s="395"/>
      <c r="HJW114" s="395"/>
      <c r="HJX114" s="395"/>
      <c r="HJY114" s="395"/>
      <c r="HJZ114" s="395"/>
      <c r="HKA114" s="395"/>
      <c r="HKB114" s="395"/>
      <c r="HKC114" s="396"/>
      <c r="HKD114" s="394"/>
      <c r="HKE114" s="395"/>
      <c r="HKF114" s="395"/>
      <c r="HKG114" s="395"/>
      <c r="HKH114" s="395"/>
      <c r="HKI114" s="395"/>
      <c r="HKJ114" s="395"/>
      <c r="HKK114" s="395"/>
      <c r="HKL114" s="395"/>
      <c r="HKM114" s="395"/>
      <c r="HKN114" s="395"/>
      <c r="HKO114" s="395"/>
      <c r="HKP114" s="395"/>
      <c r="HKQ114" s="395"/>
      <c r="HKR114" s="395"/>
      <c r="HKS114" s="395"/>
      <c r="HKT114" s="395"/>
      <c r="HKU114" s="395"/>
      <c r="HKV114" s="395"/>
      <c r="HKW114" s="395"/>
      <c r="HKX114" s="395"/>
      <c r="HKY114" s="395"/>
      <c r="HKZ114" s="395"/>
      <c r="HLA114" s="395"/>
      <c r="HLB114" s="395"/>
      <c r="HLC114" s="395"/>
      <c r="HLD114" s="396"/>
      <c r="HLE114" s="394"/>
      <c r="HLF114" s="395"/>
      <c r="HLG114" s="395"/>
      <c r="HLH114" s="395"/>
      <c r="HLI114" s="395"/>
      <c r="HLJ114" s="395"/>
      <c r="HLK114" s="395"/>
      <c r="HLL114" s="395"/>
      <c r="HLM114" s="395"/>
      <c r="HLN114" s="395"/>
      <c r="HLO114" s="395"/>
      <c r="HLP114" s="395"/>
      <c r="HLQ114" s="395"/>
      <c r="HLR114" s="395"/>
      <c r="HLS114" s="395"/>
      <c r="HLT114" s="395"/>
      <c r="HLU114" s="395"/>
      <c r="HLV114" s="395"/>
      <c r="HLW114" s="395"/>
      <c r="HLX114" s="395"/>
      <c r="HLY114" s="395"/>
      <c r="HLZ114" s="395"/>
      <c r="HMA114" s="395"/>
      <c r="HMB114" s="395"/>
      <c r="HMC114" s="395"/>
      <c r="HMD114" s="395"/>
      <c r="HME114" s="396"/>
      <c r="HMF114" s="394"/>
      <c r="HMG114" s="395"/>
      <c r="HMH114" s="395"/>
      <c r="HMI114" s="395"/>
      <c r="HMJ114" s="395"/>
      <c r="HMK114" s="395"/>
      <c r="HML114" s="395"/>
      <c r="HMM114" s="395"/>
      <c r="HMN114" s="395"/>
      <c r="HMO114" s="395"/>
      <c r="HMP114" s="395"/>
      <c r="HMQ114" s="395"/>
      <c r="HMR114" s="395"/>
      <c r="HMS114" s="395"/>
      <c r="HMT114" s="395"/>
      <c r="HMU114" s="395"/>
      <c r="HMV114" s="395"/>
      <c r="HMW114" s="395"/>
      <c r="HMX114" s="395"/>
      <c r="HMY114" s="395"/>
      <c r="HMZ114" s="395"/>
      <c r="HNA114" s="395"/>
      <c r="HNB114" s="395"/>
      <c r="HNC114" s="395"/>
      <c r="HND114" s="395"/>
      <c r="HNE114" s="395"/>
      <c r="HNF114" s="396"/>
      <c r="HNG114" s="394"/>
      <c r="HNH114" s="395"/>
      <c r="HNI114" s="395"/>
      <c r="HNJ114" s="395"/>
      <c r="HNK114" s="395"/>
      <c r="HNL114" s="395"/>
      <c r="HNM114" s="395"/>
      <c r="HNN114" s="395"/>
      <c r="HNO114" s="395"/>
      <c r="HNP114" s="395"/>
      <c r="HNQ114" s="395"/>
      <c r="HNR114" s="395"/>
      <c r="HNS114" s="395"/>
      <c r="HNT114" s="395"/>
      <c r="HNU114" s="395"/>
      <c r="HNV114" s="395"/>
      <c r="HNW114" s="395"/>
      <c r="HNX114" s="395"/>
      <c r="HNY114" s="395"/>
      <c r="HNZ114" s="395"/>
      <c r="HOA114" s="395"/>
      <c r="HOB114" s="395"/>
      <c r="HOC114" s="395"/>
      <c r="HOD114" s="395"/>
      <c r="HOE114" s="395"/>
      <c r="HOF114" s="395"/>
      <c r="HOG114" s="396"/>
      <c r="HOH114" s="394"/>
      <c r="HOI114" s="395"/>
      <c r="HOJ114" s="395"/>
      <c r="HOK114" s="395"/>
      <c r="HOL114" s="395"/>
      <c r="HOM114" s="395"/>
      <c r="HON114" s="395"/>
      <c r="HOO114" s="395"/>
      <c r="HOP114" s="395"/>
      <c r="HOQ114" s="395"/>
      <c r="HOR114" s="395"/>
      <c r="HOS114" s="395"/>
      <c r="HOT114" s="395"/>
      <c r="HOU114" s="395"/>
      <c r="HOV114" s="395"/>
      <c r="HOW114" s="395"/>
      <c r="HOX114" s="395"/>
      <c r="HOY114" s="395"/>
      <c r="HOZ114" s="395"/>
      <c r="HPA114" s="395"/>
      <c r="HPB114" s="395"/>
      <c r="HPC114" s="395"/>
      <c r="HPD114" s="395"/>
      <c r="HPE114" s="395"/>
      <c r="HPF114" s="395"/>
      <c r="HPG114" s="395"/>
      <c r="HPH114" s="396"/>
      <c r="HPI114" s="394"/>
      <c r="HPJ114" s="395"/>
      <c r="HPK114" s="395"/>
      <c r="HPL114" s="395"/>
      <c r="HPM114" s="395"/>
      <c r="HPN114" s="395"/>
      <c r="HPO114" s="395"/>
      <c r="HPP114" s="395"/>
      <c r="HPQ114" s="395"/>
      <c r="HPR114" s="395"/>
      <c r="HPS114" s="395"/>
      <c r="HPT114" s="395"/>
      <c r="HPU114" s="395"/>
      <c r="HPV114" s="395"/>
      <c r="HPW114" s="395"/>
      <c r="HPX114" s="395"/>
      <c r="HPY114" s="395"/>
      <c r="HPZ114" s="395"/>
      <c r="HQA114" s="395"/>
      <c r="HQB114" s="395"/>
      <c r="HQC114" s="395"/>
      <c r="HQD114" s="395"/>
      <c r="HQE114" s="395"/>
      <c r="HQF114" s="395"/>
      <c r="HQG114" s="395"/>
      <c r="HQH114" s="395"/>
      <c r="HQI114" s="396"/>
      <c r="HQJ114" s="394"/>
      <c r="HQK114" s="395"/>
      <c r="HQL114" s="395"/>
      <c r="HQM114" s="395"/>
      <c r="HQN114" s="395"/>
      <c r="HQO114" s="395"/>
      <c r="HQP114" s="395"/>
      <c r="HQQ114" s="395"/>
      <c r="HQR114" s="395"/>
      <c r="HQS114" s="395"/>
      <c r="HQT114" s="395"/>
      <c r="HQU114" s="395"/>
      <c r="HQV114" s="395"/>
      <c r="HQW114" s="395"/>
      <c r="HQX114" s="395"/>
      <c r="HQY114" s="395"/>
      <c r="HQZ114" s="395"/>
      <c r="HRA114" s="395"/>
      <c r="HRB114" s="395"/>
      <c r="HRC114" s="395"/>
      <c r="HRD114" s="395"/>
      <c r="HRE114" s="395"/>
      <c r="HRF114" s="395"/>
      <c r="HRG114" s="395"/>
      <c r="HRH114" s="395"/>
      <c r="HRI114" s="395"/>
      <c r="HRJ114" s="396"/>
      <c r="HRK114" s="394"/>
      <c r="HRL114" s="395"/>
      <c r="HRM114" s="395"/>
      <c r="HRN114" s="395"/>
      <c r="HRO114" s="395"/>
      <c r="HRP114" s="395"/>
      <c r="HRQ114" s="395"/>
      <c r="HRR114" s="395"/>
      <c r="HRS114" s="395"/>
      <c r="HRT114" s="395"/>
      <c r="HRU114" s="395"/>
      <c r="HRV114" s="395"/>
      <c r="HRW114" s="395"/>
      <c r="HRX114" s="395"/>
      <c r="HRY114" s="395"/>
      <c r="HRZ114" s="395"/>
      <c r="HSA114" s="395"/>
      <c r="HSB114" s="395"/>
      <c r="HSC114" s="395"/>
      <c r="HSD114" s="395"/>
      <c r="HSE114" s="395"/>
      <c r="HSF114" s="395"/>
      <c r="HSG114" s="395"/>
      <c r="HSH114" s="395"/>
      <c r="HSI114" s="395"/>
      <c r="HSJ114" s="395"/>
      <c r="HSK114" s="396"/>
      <c r="HSL114" s="394"/>
      <c r="HSM114" s="395"/>
      <c r="HSN114" s="395"/>
      <c r="HSO114" s="395"/>
      <c r="HSP114" s="395"/>
      <c r="HSQ114" s="395"/>
      <c r="HSR114" s="395"/>
      <c r="HSS114" s="395"/>
      <c r="HST114" s="395"/>
      <c r="HSU114" s="395"/>
      <c r="HSV114" s="395"/>
      <c r="HSW114" s="395"/>
      <c r="HSX114" s="395"/>
      <c r="HSY114" s="395"/>
      <c r="HSZ114" s="395"/>
      <c r="HTA114" s="395"/>
      <c r="HTB114" s="395"/>
      <c r="HTC114" s="395"/>
      <c r="HTD114" s="395"/>
      <c r="HTE114" s="395"/>
      <c r="HTF114" s="395"/>
      <c r="HTG114" s="395"/>
      <c r="HTH114" s="395"/>
      <c r="HTI114" s="395"/>
      <c r="HTJ114" s="395"/>
      <c r="HTK114" s="395"/>
      <c r="HTL114" s="396"/>
      <c r="HTM114" s="394"/>
      <c r="HTN114" s="395"/>
      <c r="HTO114" s="395"/>
      <c r="HTP114" s="395"/>
      <c r="HTQ114" s="395"/>
      <c r="HTR114" s="395"/>
      <c r="HTS114" s="395"/>
      <c r="HTT114" s="395"/>
      <c r="HTU114" s="395"/>
      <c r="HTV114" s="395"/>
      <c r="HTW114" s="395"/>
      <c r="HTX114" s="395"/>
      <c r="HTY114" s="395"/>
      <c r="HTZ114" s="395"/>
      <c r="HUA114" s="395"/>
      <c r="HUB114" s="395"/>
      <c r="HUC114" s="395"/>
      <c r="HUD114" s="395"/>
      <c r="HUE114" s="395"/>
      <c r="HUF114" s="395"/>
      <c r="HUG114" s="395"/>
      <c r="HUH114" s="395"/>
      <c r="HUI114" s="395"/>
      <c r="HUJ114" s="395"/>
      <c r="HUK114" s="395"/>
      <c r="HUL114" s="395"/>
      <c r="HUM114" s="396"/>
      <c r="HUN114" s="394"/>
      <c r="HUO114" s="395"/>
      <c r="HUP114" s="395"/>
      <c r="HUQ114" s="395"/>
      <c r="HUR114" s="395"/>
      <c r="HUS114" s="395"/>
      <c r="HUT114" s="395"/>
      <c r="HUU114" s="395"/>
      <c r="HUV114" s="395"/>
      <c r="HUW114" s="395"/>
      <c r="HUX114" s="395"/>
      <c r="HUY114" s="395"/>
      <c r="HUZ114" s="395"/>
      <c r="HVA114" s="395"/>
      <c r="HVB114" s="395"/>
      <c r="HVC114" s="395"/>
      <c r="HVD114" s="395"/>
      <c r="HVE114" s="395"/>
      <c r="HVF114" s="395"/>
      <c r="HVG114" s="395"/>
      <c r="HVH114" s="395"/>
      <c r="HVI114" s="395"/>
      <c r="HVJ114" s="395"/>
      <c r="HVK114" s="395"/>
      <c r="HVL114" s="395"/>
      <c r="HVM114" s="395"/>
      <c r="HVN114" s="396"/>
      <c r="HVO114" s="394"/>
      <c r="HVP114" s="395"/>
      <c r="HVQ114" s="395"/>
      <c r="HVR114" s="395"/>
      <c r="HVS114" s="395"/>
      <c r="HVT114" s="395"/>
      <c r="HVU114" s="395"/>
      <c r="HVV114" s="395"/>
      <c r="HVW114" s="395"/>
      <c r="HVX114" s="395"/>
      <c r="HVY114" s="395"/>
      <c r="HVZ114" s="395"/>
      <c r="HWA114" s="395"/>
      <c r="HWB114" s="395"/>
      <c r="HWC114" s="395"/>
      <c r="HWD114" s="395"/>
      <c r="HWE114" s="395"/>
      <c r="HWF114" s="395"/>
      <c r="HWG114" s="395"/>
      <c r="HWH114" s="395"/>
      <c r="HWI114" s="395"/>
      <c r="HWJ114" s="395"/>
      <c r="HWK114" s="395"/>
      <c r="HWL114" s="395"/>
      <c r="HWM114" s="395"/>
      <c r="HWN114" s="395"/>
      <c r="HWO114" s="396"/>
      <c r="HWP114" s="394"/>
      <c r="HWQ114" s="395"/>
      <c r="HWR114" s="395"/>
      <c r="HWS114" s="395"/>
      <c r="HWT114" s="395"/>
      <c r="HWU114" s="395"/>
      <c r="HWV114" s="395"/>
      <c r="HWW114" s="395"/>
      <c r="HWX114" s="395"/>
      <c r="HWY114" s="395"/>
      <c r="HWZ114" s="395"/>
      <c r="HXA114" s="395"/>
      <c r="HXB114" s="395"/>
      <c r="HXC114" s="395"/>
      <c r="HXD114" s="395"/>
      <c r="HXE114" s="395"/>
      <c r="HXF114" s="395"/>
      <c r="HXG114" s="395"/>
      <c r="HXH114" s="395"/>
      <c r="HXI114" s="395"/>
      <c r="HXJ114" s="395"/>
      <c r="HXK114" s="395"/>
      <c r="HXL114" s="395"/>
      <c r="HXM114" s="395"/>
      <c r="HXN114" s="395"/>
      <c r="HXO114" s="395"/>
      <c r="HXP114" s="396"/>
      <c r="HXQ114" s="394"/>
      <c r="HXR114" s="395"/>
      <c r="HXS114" s="395"/>
      <c r="HXT114" s="395"/>
      <c r="HXU114" s="395"/>
      <c r="HXV114" s="395"/>
      <c r="HXW114" s="395"/>
      <c r="HXX114" s="395"/>
      <c r="HXY114" s="395"/>
      <c r="HXZ114" s="395"/>
      <c r="HYA114" s="395"/>
      <c r="HYB114" s="395"/>
      <c r="HYC114" s="395"/>
      <c r="HYD114" s="395"/>
      <c r="HYE114" s="395"/>
      <c r="HYF114" s="395"/>
      <c r="HYG114" s="395"/>
      <c r="HYH114" s="395"/>
      <c r="HYI114" s="395"/>
      <c r="HYJ114" s="395"/>
      <c r="HYK114" s="395"/>
      <c r="HYL114" s="395"/>
      <c r="HYM114" s="395"/>
      <c r="HYN114" s="395"/>
      <c r="HYO114" s="395"/>
      <c r="HYP114" s="395"/>
      <c r="HYQ114" s="396"/>
      <c r="HYR114" s="394"/>
      <c r="HYS114" s="395"/>
      <c r="HYT114" s="395"/>
      <c r="HYU114" s="395"/>
      <c r="HYV114" s="395"/>
      <c r="HYW114" s="395"/>
      <c r="HYX114" s="395"/>
      <c r="HYY114" s="395"/>
      <c r="HYZ114" s="395"/>
      <c r="HZA114" s="395"/>
      <c r="HZB114" s="395"/>
      <c r="HZC114" s="395"/>
      <c r="HZD114" s="395"/>
      <c r="HZE114" s="395"/>
      <c r="HZF114" s="395"/>
      <c r="HZG114" s="395"/>
      <c r="HZH114" s="395"/>
      <c r="HZI114" s="395"/>
      <c r="HZJ114" s="395"/>
      <c r="HZK114" s="395"/>
      <c r="HZL114" s="395"/>
      <c r="HZM114" s="395"/>
      <c r="HZN114" s="395"/>
      <c r="HZO114" s="395"/>
      <c r="HZP114" s="395"/>
      <c r="HZQ114" s="395"/>
      <c r="HZR114" s="396"/>
      <c r="HZS114" s="394"/>
      <c r="HZT114" s="395"/>
      <c r="HZU114" s="395"/>
      <c r="HZV114" s="395"/>
      <c r="HZW114" s="395"/>
      <c r="HZX114" s="395"/>
      <c r="HZY114" s="395"/>
      <c r="HZZ114" s="395"/>
      <c r="IAA114" s="395"/>
      <c r="IAB114" s="395"/>
      <c r="IAC114" s="395"/>
      <c r="IAD114" s="395"/>
      <c r="IAE114" s="395"/>
      <c r="IAF114" s="395"/>
      <c r="IAG114" s="395"/>
      <c r="IAH114" s="395"/>
      <c r="IAI114" s="395"/>
      <c r="IAJ114" s="395"/>
      <c r="IAK114" s="395"/>
      <c r="IAL114" s="395"/>
      <c r="IAM114" s="395"/>
      <c r="IAN114" s="395"/>
      <c r="IAO114" s="395"/>
      <c r="IAP114" s="395"/>
      <c r="IAQ114" s="395"/>
      <c r="IAR114" s="395"/>
      <c r="IAS114" s="396"/>
      <c r="IAT114" s="394"/>
      <c r="IAU114" s="395"/>
      <c r="IAV114" s="395"/>
      <c r="IAW114" s="395"/>
      <c r="IAX114" s="395"/>
      <c r="IAY114" s="395"/>
      <c r="IAZ114" s="395"/>
      <c r="IBA114" s="395"/>
      <c r="IBB114" s="395"/>
      <c r="IBC114" s="395"/>
      <c r="IBD114" s="395"/>
      <c r="IBE114" s="395"/>
      <c r="IBF114" s="395"/>
      <c r="IBG114" s="395"/>
      <c r="IBH114" s="395"/>
      <c r="IBI114" s="395"/>
      <c r="IBJ114" s="395"/>
      <c r="IBK114" s="395"/>
      <c r="IBL114" s="395"/>
      <c r="IBM114" s="395"/>
      <c r="IBN114" s="395"/>
      <c r="IBO114" s="395"/>
      <c r="IBP114" s="395"/>
      <c r="IBQ114" s="395"/>
      <c r="IBR114" s="395"/>
      <c r="IBS114" s="395"/>
      <c r="IBT114" s="396"/>
      <c r="IBU114" s="394"/>
      <c r="IBV114" s="395"/>
      <c r="IBW114" s="395"/>
      <c r="IBX114" s="395"/>
      <c r="IBY114" s="395"/>
      <c r="IBZ114" s="395"/>
      <c r="ICA114" s="395"/>
      <c r="ICB114" s="395"/>
      <c r="ICC114" s="395"/>
      <c r="ICD114" s="395"/>
      <c r="ICE114" s="395"/>
      <c r="ICF114" s="395"/>
      <c r="ICG114" s="395"/>
      <c r="ICH114" s="395"/>
      <c r="ICI114" s="395"/>
      <c r="ICJ114" s="395"/>
      <c r="ICK114" s="395"/>
      <c r="ICL114" s="395"/>
      <c r="ICM114" s="395"/>
      <c r="ICN114" s="395"/>
      <c r="ICO114" s="395"/>
      <c r="ICP114" s="395"/>
      <c r="ICQ114" s="395"/>
      <c r="ICR114" s="395"/>
      <c r="ICS114" s="395"/>
      <c r="ICT114" s="395"/>
      <c r="ICU114" s="396"/>
      <c r="ICV114" s="394"/>
      <c r="ICW114" s="395"/>
      <c r="ICX114" s="395"/>
      <c r="ICY114" s="395"/>
      <c r="ICZ114" s="395"/>
      <c r="IDA114" s="395"/>
      <c r="IDB114" s="395"/>
      <c r="IDC114" s="395"/>
      <c r="IDD114" s="395"/>
      <c r="IDE114" s="395"/>
      <c r="IDF114" s="395"/>
      <c r="IDG114" s="395"/>
      <c r="IDH114" s="395"/>
      <c r="IDI114" s="395"/>
      <c r="IDJ114" s="395"/>
      <c r="IDK114" s="395"/>
      <c r="IDL114" s="395"/>
      <c r="IDM114" s="395"/>
      <c r="IDN114" s="395"/>
      <c r="IDO114" s="395"/>
      <c r="IDP114" s="395"/>
      <c r="IDQ114" s="395"/>
      <c r="IDR114" s="395"/>
      <c r="IDS114" s="395"/>
      <c r="IDT114" s="395"/>
      <c r="IDU114" s="395"/>
      <c r="IDV114" s="396"/>
      <c r="IDW114" s="394"/>
      <c r="IDX114" s="395"/>
      <c r="IDY114" s="395"/>
      <c r="IDZ114" s="395"/>
      <c r="IEA114" s="395"/>
      <c r="IEB114" s="395"/>
      <c r="IEC114" s="395"/>
      <c r="IED114" s="395"/>
      <c r="IEE114" s="395"/>
      <c r="IEF114" s="395"/>
      <c r="IEG114" s="395"/>
      <c r="IEH114" s="395"/>
      <c r="IEI114" s="395"/>
      <c r="IEJ114" s="395"/>
      <c r="IEK114" s="395"/>
      <c r="IEL114" s="395"/>
      <c r="IEM114" s="395"/>
      <c r="IEN114" s="395"/>
      <c r="IEO114" s="395"/>
      <c r="IEP114" s="395"/>
      <c r="IEQ114" s="395"/>
      <c r="IER114" s="395"/>
      <c r="IES114" s="395"/>
      <c r="IET114" s="395"/>
      <c r="IEU114" s="395"/>
      <c r="IEV114" s="395"/>
      <c r="IEW114" s="396"/>
      <c r="IEX114" s="394"/>
      <c r="IEY114" s="395"/>
      <c r="IEZ114" s="395"/>
      <c r="IFA114" s="395"/>
      <c r="IFB114" s="395"/>
      <c r="IFC114" s="395"/>
      <c r="IFD114" s="395"/>
      <c r="IFE114" s="395"/>
      <c r="IFF114" s="395"/>
      <c r="IFG114" s="395"/>
      <c r="IFH114" s="395"/>
      <c r="IFI114" s="395"/>
      <c r="IFJ114" s="395"/>
      <c r="IFK114" s="395"/>
      <c r="IFL114" s="395"/>
      <c r="IFM114" s="395"/>
      <c r="IFN114" s="395"/>
      <c r="IFO114" s="395"/>
      <c r="IFP114" s="395"/>
      <c r="IFQ114" s="395"/>
      <c r="IFR114" s="395"/>
      <c r="IFS114" s="395"/>
      <c r="IFT114" s="395"/>
      <c r="IFU114" s="395"/>
      <c r="IFV114" s="395"/>
      <c r="IFW114" s="395"/>
      <c r="IFX114" s="396"/>
      <c r="IFY114" s="394"/>
      <c r="IFZ114" s="395"/>
      <c r="IGA114" s="395"/>
      <c r="IGB114" s="395"/>
      <c r="IGC114" s="395"/>
      <c r="IGD114" s="395"/>
      <c r="IGE114" s="395"/>
      <c r="IGF114" s="395"/>
      <c r="IGG114" s="395"/>
      <c r="IGH114" s="395"/>
      <c r="IGI114" s="395"/>
      <c r="IGJ114" s="395"/>
      <c r="IGK114" s="395"/>
      <c r="IGL114" s="395"/>
      <c r="IGM114" s="395"/>
      <c r="IGN114" s="395"/>
      <c r="IGO114" s="395"/>
      <c r="IGP114" s="395"/>
      <c r="IGQ114" s="395"/>
      <c r="IGR114" s="395"/>
      <c r="IGS114" s="395"/>
      <c r="IGT114" s="395"/>
      <c r="IGU114" s="395"/>
      <c r="IGV114" s="395"/>
      <c r="IGW114" s="395"/>
      <c r="IGX114" s="395"/>
      <c r="IGY114" s="396"/>
      <c r="IGZ114" s="394"/>
      <c r="IHA114" s="395"/>
      <c r="IHB114" s="395"/>
      <c r="IHC114" s="395"/>
      <c r="IHD114" s="395"/>
      <c r="IHE114" s="395"/>
      <c r="IHF114" s="395"/>
      <c r="IHG114" s="395"/>
      <c r="IHH114" s="395"/>
      <c r="IHI114" s="395"/>
      <c r="IHJ114" s="395"/>
      <c r="IHK114" s="395"/>
      <c r="IHL114" s="395"/>
      <c r="IHM114" s="395"/>
      <c r="IHN114" s="395"/>
      <c r="IHO114" s="395"/>
      <c r="IHP114" s="395"/>
      <c r="IHQ114" s="395"/>
      <c r="IHR114" s="395"/>
      <c r="IHS114" s="395"/>
      <c r="IHT114" s="395"/>
      <c r="IHU114" s="395"/>
      <c r="IHV114" s="395"/>
      <c r="IHW114" s="395"/>
      <c r="IHX114" s="395"/>
      <c r="IHY114" s="395"/>
      <c r="IHZ114" s="396"/>
      <c r="IIA114" s="394"/>
      <c r="IIB114" s="395"/>
      <c r="IIC114" s="395"/>
      <c r="IID114" s="395"/>
      <c r="IIE114" s="395"/>
      <c r="IIF114" s="395"/>
      <c r="IIG114" s="395"/>
      <c r="IIH114" s="395"/>
      <c r="III114" s="395"/>
      <c r="IIJ114" s="395"/>
      <c r="IIK114" s="395"/>
      <c r="IIL114" s="395"/>
      <c r="IIM114" s="395"/>
      <c r="IIN114" s="395"/>
      <c r="IIO114" s="395"/>
      <c r="IIP114" s="395"/>
      <c r="IIQ114" s="395"/>
      <c r="IIR114" s="395"/>
      <c r="IIS114" s="395"/>
      <c r="IIT114" s="395"/>
      <c r="IIU114" s="395"/>
      <c r="IIV114" s="395"/>
      <c r="IIW114" s="395"/>
      <c r="IIX114" s="395"/>
      <c r="IIY114" s="395"/>
      <c r="IIZ114" s="395"/>
      <c r="IJA114" s="396"/>
      <c r="IJB114" s="394"/>
      <c r="IJC114" s="395"/>
      <c r="IJD114" s="395"/>
      <c r="IJE114" s="395"/>
      <c r="IJF114" s="395"/>
      <c r="IJG114" s="395"/>
      <c r="IJH114" s="395"/>
      <c r="IJI114" s="395"/>
      <c r="IJJ114" s="395"/>
      <c r="IJK114" s="395"/>
      <c r="IJL114" s="395"/>
      <c r="IJM114" s="395"/>
      <c r="IJN114" s="395"/>
      <c r="IJO114" s="395"/>
      <c r="IJP114" s="395"/>
      <c r="IJQ114" s="395"/>
      <c r="IJR114" s="395"/>
      <c r="IJS114" s="395"/>
      <c r="IJT114" s="395"/>
      <c r="IJU114" s="395"/>
      <c r="IJV114" s="395"/>
      <c r="IJW114" s="395"/>
      <c r="IJX114" s="395"/>
      <c r="IJY114" s="395"/>
      <c r="IJZ114" s="395"/>
      <c r="IKA114" s="395"/>
      <c r="IKB114" s="396"/>
      <c r="IKC114" s="394"/>
      <c r="IKD114" s="395"/>
      <c r="IKE114" s="395"/>
      <c r="IKF114" s="395"/>
      <c r="IKG114" s="395"/>
      <c r="IKH114" s="395"/>
      <c r="IKI114" s="395"/>
      <c r="IKJ114" s="395"/>
      <c r="IKK114" s="395"/>
      <c r="IKL114" s="395"/>
      <c r="IKM114" s="395"/>
      <c r="IKN114" s="395"/>
      <c r="IKO114" s="395"/>
      <c r="IKP114" s="395"/>
      <c r="IKQ114" s="395"/>
      <c r="IKR114" s="395"/>
      <c r="IKS114" s="395"/>
      <c r="IKT114" s="395"/>
      <c r="IKU114" s="395"/>
      <c r="IKV114" s="395"/>
      <c r="IKW114" s="395"/>
      <c r="IKX114" s="395"/>
      <c r="IKY114" s="395"/>
      <c r="IKZ114" s="395"/>
      <c r="ILA114" s="395"/>
      <c r="ILB114" s="395"/>
      <c r="ILC114" s="396"/>
      <c r="ILD114" s="394"/>
      <c r="ILE114" s="395"/>
      <c r="ILF114" s="395"/>
      <c r="ILG114" s="395"/>
      <c r="ILH114" s="395"/>
      <c r="ILI114" s="395"/>
      <c r="ILJ114" s="395"/>
      <c r="ILK114" s="395"/>
      <c r="ILL114" s="395"/>
      <c r="ILM114" s="395"/>
      <c r="ILN114" s="395"/>
      <c r="ILO114" s="395"/>
      <c r="ILP114" s="395"/>
      <c r="ILQ114" s="395"/>
      <c r="ILR114" s="395"/>
      <c r="ILS114" s="395"/>
      <c r="ILT114" s="395"/>
      <c r="ILU114" s="395"/>
      <c r="ILV114" s="395"/>
      <c r="ILW114" s="395"/>
      <c r="ILX114" s="395"/>
      <c r="ILY114" s="395"/>
      <c r="ILZ114" s="395"/>
      <c r="IMA114" s="395"/>
      <c r="IMB114" s="395"/>
      <c r="IMC114" s="395"/>
      <c r="IMD114" s="396"/>
      <c r="IME114" s="394"/>
      <c r="IMF114" s="395"/>
      <c r="IMG114" s="395"/>
      <c r="IMH114" s="395"/>
      <c r="IMI114" s="395"/>
      <c r="IMJ114" s="395"/>
      <c r="IMK114" s="395"/>
      <c r="IML114" s="395"/>
      <c r="IMM114" s="395"/>
      <c r="IMN114" s="395"/>
      <c r="IMO114" s="395"/>
      <c r="IMP114" s="395"/>
      <c r="IMQ114" s="395"/>
      <c r="IMR114" s="395"/>
      <c r="IMS114" s="395"/>
      <c r="IMT114" s="395"/>
      <c r="IMU114" s="395"/>
      <c r="IMV114" s="395"/>
      <c r="IMW114" s="395"/>
      <c r="IMX114" s="395"/>
      <c r="IMY114" s="395"/>
      <c r="IMZ114" s="395"/>
      <c r="INA114" s="395"/>
      <c r="INB114" s="395"/>
      <c r="INC114" s="395"/>
      <c r="IND114" s="395"/>
      <c r="INE114" s="396"/>
      <c r="INF114" s="394"/>
      <c r="ING114" s="395"/>
      <c r="INH114" s="395"/>
      <c r="INI114" s="395"/>
      <c r="INJ114" s="395"/>
      <c r="INK114" s="395"/>
      <c r="INL114" s="395"/>
      <c r="INM114" s="395"/>
      <c r="INN114" s="395"/>
      <c r="INO114" s="395"/>
      <c r="INP114" s="395"/>
      <c r="INQ114" s="395"/>
      <c r="INR114" s="395"/>
      <c r="INS114" s="395"/>
      <c r="INT114" s="395"/>
      <c r="INU114" s="395"/>
      <c r="INV114" s="395"/>
      <c r="INW114" s="395"/>
      <c r="INX114" s="395"/>
      <c r="INY114" s="395"/>
      <c r="INZ114" s="395"/>
      <c r="IOA114" s="395"/>
      <c r="IOB114" s="395"/>
      <c r="IOC114" s="395"/>
      <c r="IOD114" s="395"/>
      <c r="IOE114" s="395"/>
      <c r="IOF114" s="396"/>
      <c r="IOG114" s="394"/>
      <c r="IOH114" s="395"/>
      <c r="IOI114" s="395"/>
      <c r="IOJ114" s="395"/>
      <c r="IOK114" s="395"/>
      <c r="IOL114" s="395"/>
      <c r="IOM114" s="395"/>
      <c r="ION114" s="395"/>
      <c r="IOO114" s="395"/>
      <c r="IOP114" s="395"/>
      <c r="IOQ114" s="395"/>
      <c r="IOR114" s="395"/>
      <c r="IOS114" s="395"/>
      <c r="IOT114" s="395"/>
      <c r="IOU114" s="395"/>
      <c r="IOV114" s="395"/>
      <c r="IOW114" s="395"/>
      <c r="IOX114" s="395"/>
      <c r="IOY114" s="395"/>
      <c r="IOZ114" s="395"/>
      <c r="IPA114" s="395"/>
      <c r="IPB114" s="395"/>
      <c r="IPC114" s="395"/>
      <c r="IPD114" s="395"/>
      <c r="IPE114" s="395"/>
      <c r="IPF114" s="395"/>
      <c r="IPG114" s="396"/>
      <c r="IPH114" s="394"/>
      <c r="IPI114" s="395"/>
      <c r="IPJ114" s="395"/>
      <c r="IPK114" s="395"/>
      <c r="IPL114" s="395"/>
      <c r="IPM114" s="395"/>
      <c r="IPN114" s="395"/>
      <c r="IPO114" s="395"/>
      <c r="IPP114" s="395"/>
      <c r="IPQ114" s="395"/>
      <c r="IPR114" s="395"/>
      <c r="IPS114" s="395"/>
      <c r="IPT114" s="395"/>
      <c r="IPU114" s="395"/>
      <c r="IPV114" s="395"/>
      <c r="IPW114" s="395"/>
      <c r="IPX114" s="395"/>
      <c r="IPY114" s="395"/>
      <c r="IPZ114" s="395"/>
      <c r="IQA114" s="395"/>
      <c r="IQB114" s="395"/>
      <c r="IQC114" s="395"/>
      <c r="IQD114" s="395"/>
      <c r="IQE114" s="395"/>
      <c r="IQF114" s="395"/>
      <c r="IQG114" s="395"/>
      <c r="IQH114" s="396"/>
      <c r="IQI114" s="394"/>
      <c r="IQJ114" s="395"/>
      <c r="IQK114" s="395"/>
      <c r="IQL114" s="395"/>
      <c r="IQM114" s="395"/>
      <c r="IQN114" s="395"/>
      <c r="IQO114" s="395"/>
      <c r="IQP114" s="395"/>
      <c r="IQQ114" s="395"/>
      <c r="IQR114" s="395"/>
      <c r="IQS114" s="395"/>
      <c r="IQT114" s="395"/>
      <c r="IQU114" s="395"/>
      <c r="IQV114" s="395"/>
      <c r="IQW114" s="395"/>
      <c r="IQX114" s="395"/>
      <c r="IQY114" s="395"/>
      <c r="IQZ114" s="395"/>
      <c r="IRA114" s="395"/>
      <c r="IRB114" s="395"/>
      <c r="IRC114" s="395"/>
      <c r="IRD114" s="395"/>
      <c r="IRE114" s="395"/>
      <c r="IRF114" s="395"/>
      <c r="IRG114" s="395"/>
      <c r="IRH114" s="395"/>
      <c r="IRI114" s="396"/>
      <c r="IRJ114" s="394"/>
      <c r="IRK114" s="395"/>
      <c r="IRL114" s="395"/>
      <c r="IRM114" s="395"/>
      <c r="IRN114" s="395"/>
      <c r="IRO114" s="395"/>
      <c r="IRP114" s="395"/>
      <c r="IRQ114" s="395"/>
      <c r="IRR114" s="395"/>
      <c r="IRS114" s="395"/>
      <c r="IRT114" s="395"/>
      <c r="IRU114" s="395"/>
      <c r="IRV114" s="395"/>
      <c r="IRW114" s="395"/>
      <c r="IRX114" s="395"/>
      <c r="IRY114" s="395"/>
      <c r="IRZ114" s="395"/>
      <c r="ISA114" s="395"/>
      <c r="ISB114" s="395"/>
      <c r="ISC114" s="395"/>
      <c r="ISD114" s="395"/>
      <c r="ISE114" s="395"/>
      <c r="ISF114" s="395"/>
      <c r="ISG114" s="395"/>
      <c r="ISH114" s="395"/>
      <c r="ISI114" s="395"/>
      <c r="ISJ114" s="396"/>
      <c r="ISK114" s="394"/>
      <c r="ISL114" s="395"/>
      <c r="ISM114" s="395"/>
      <c r="ISN114" s="395"/>
      <c r="ISO114" s="395"/>
      <c r="ISP114" s="395"/>
      <c r="ISQ114" s="395"/>
      <c r="ISR114" s="395"/>
      <c r="ISS114" s="395"/>
      <c r="IST114" s="395"/>
      <c r="ISU114" s="395"/>
      <c r="ISV114" s="395"/>
      <c r="ISW114" s="395"/>
      <c r="ISX114" s="395"/>
      <c r="ISY114" s="395"/>
      <c r="ISZ114" s="395"/>
      <c r="ITA114" s="395"/>
      <c r="ITB114" s="395"/>
      <c r="ITC114" s="395"/>
      <c r="ITD114" s="395"/>
      <c r="ITE114" s="395"/>
      <c r="ITF114" s="395"/>
      <c r="ITG114" s="395"/>
      <c r="ITH114" s="395"/>
      <c r="ITI114" s="395"/>
      <c r="ITJ114" s="395"/>
      <c r="ITK114" s="396"/>
      <c r="ITL114" s="394"/>
      <c r="ITM114" s="395"/>
      <c r="ITN114" s="395"/>
      <c r="ITO114" s="395"/>
      <c r="ITP114" s="395"/>
      <c r="ITQ114" s="395"/>
      <c r="ITR114" s="395"/>
      <c r="ITS114" s="395"/>
      <c r="ITT114" s="395"/>
      <c r="ITU114" s="395"/>
      <c r="ITV114" s="395"/>
      <c r="ITW114" s="395"/>
      <c r="ITX114" s="395"/>
      <c r="ITY114" s="395"/>
      <c r="ITZ114" s="395"/>
      <c r="IUA114" s="395"/>
      <c r="IUB114" s="395"/>
      <c r="IUC114" s="395"/>
      <c r="IUD114" s="395"/>
      <c r="IUE114" s="395"/>
      <c r="IUF114" s="395"/>
      <c r="IUG114" s="395"/>
      <c r="IUH114" s="395"/>
      <c r="IUI114" s="395"/>
      <c r="IUJ114" s="395"/>
      <c r="IUK114" s="395"/>
      <c r="IUL114" s="396"/>
      <c r="IUM114" s="394"/>
      <c r="IUN114" s="395"/>
      <c r="IUO114" s="395"/>
      <c r="IUP114" s="395"/>
      <c r="IUQ114" s="395"/>
      <c r="IUR114" s="395"/>
      <c r="IUS114" s="395"/>
      <c r="IUT114" s="395"/>
      <c r="IUU114" s="395"/>
      <c r="IUV114" s="395"/>
      <c r="IUW114" s="395"/>
      <c r="IUX114" s="395"/>
      <c r="IUY114" s="395"/>
      <c r="IUZ114" s="395"/>
      <c r="IVA114" s="395"/>
      <c r="IVB114" s="395"/>
      <c r="IVC114" s="395"/>
      <c r="IVD114" s="395"/>
      <c r="IVE114" s="395"/>
      <c r="IVF114" s="395"/>
      <c r="IVG114" s="395"/>
      <c r="IVH114" s="395"/>
      <c r="IVI114" s="395"/>
      <c r="IVJ114" s="395"/>
      <c r="IVK114" s="395"/>
      <c r="IVL114" s="395"/>
      <c r="IVM114" s="396"/>
      <c r="IVN114" s="394"/>
      <c r="IVO114" s="395"/>
      <c r="IVP114" s="395"/>
      <c r="IVQ114" s="395"/>
      <c r="IVR114" s="395"/>
      <c r="IVS114" s="395"/>
      <c r="IVT114" s="395"/>
      <c r="IVU114" s="395"/>
      <c r="IVV114" s="395"/>
      <c r="IVW114" s="395"/>
      <c r="IVX114" s="395"/>
      <c r="IVY114" s="395"/>
      <c r="IVZ114" s="395"/>
      <c r="IWA114" s="395"/>
      <c r="IWB114" s="395"/>
      <c r="IWC114" s="395"/>
      <c r="IWD114" s="395"/>
      <c r="IWE114" s="395"/>
      <c r="IWF114" s="395"/>
      <c r="IWG114" s="395"/>
      <c r="IWH114" s="395"/>
      <c r="IWI114" s="395"/>
      <c r="IWJ114" s="395"/>
      <c r="IWK114" s="395"/>
      <c r="IWL114" s="395"/>
      <c r="IWM114" s="395"/>
      <c r="IWN114" s="396"/>
      <c r="IWO114" s="394"/>
      <c r="IWP114" s="395"/>
      <c r="IWQ114" s="395"/>
      <c r="IWR114" s="395"/>
      <c r="IWS114" s="395"/>
      <c r="IWT114" s="395"/>
      <c r="IWU114" s="395"/>
      <c r="IWV114" s="395"/>
      <c r="IWW114" s="395"/>
      <c r="IWX114" s="395"/>
      <c r="IWY114" s="395"/>
      <c r="IWZ114" s="395"/>
      <c r="IXA114" s="395"/>
      <c r="IXB114" s="395"/>
      <c r="IXC114" s="395"/>
      <c r="IXD114" s="395"/>
      <c r="IXE114" s="395"/>
      <c r="IXF114" s="395"/>
      <c r="IXG114" s="395"/>
      <c r="IXH114" s="395"/>
      <c r="IXI114" s="395"/>
      <c r="IXJ114" s="395"/>
      <c r="IXK114" s="395"/>
      <c r="IXL114" s="395"/>
      <c r="IXM114" s="395"/>
      <c r="IXN114" s="395"/>
      <c r="IXO114" s="396"/>
      <c r="IXP114" s="394"/>
      <c r="IXQ114" s="395"/>
      <c r="IXR114" s="395"/>
      <c r="IXS114" s="395"/>
      <c r="IXT114" s="395"/>
      <c r="IXU114" s="395"/>
      <c r="IXV114" s="395"/>
      <c r="IXW114" s="395"/>
      <c r="IXX114" s="395"/>
      <c r="IXY114" s="395"/>
      <c r="IXZ114" s="395"/>
      <c r="IYA114" s="395"/>
      <c r="IYB114" s="395"/>
      <c r="IYC114" s="395"/>
      <c r="IYD114" s="395"/>
      <c r="IYE114" s="395"/>
      <c r="IYF114" s="395"/>
      <c r="IYG114" s="395"/>
      <c r="IYH114" s="395"/>
      <c r="IYI114" s="395"/>
      <c r="IYJ114" s="395"/>
      <c r="IYK114" s="395"/>
      <c r="IYL114" s="395"/>
      <c r="IYM114" s="395"/>
      <c r="IYN114" s="395"/>
      <c r="IYO114" s="395"/>
      <c r="IYP114" s="396"/>
      <c r="IYQ114" s="394"/>
      <c r="IYR114" s="395"/>
      <c r="IYS114" s="395"/>
      <c r="IYT114" s="395"/>
      <c r="IYU114" s="395"/>
      <c r="IYV114" s="395"/>
      <c r="IYW114" s="395"/>
      <c r="IYX114" s="395"/>
      <c r="IYY114" s="395"/>
      <c r="IYZ114" s="395"/>
      <c r="IZA114" s="395"/>
      <c r="IZB114" s="395"/>
      <c r="IZC114" s="395"/>
      <c r="IZD114" s="395"/>
      <c r="IZE114" s="395"/>
      <c r="IZF114" s="395"/>
      <c r="IZG114" s="395"/>
      <c r="IZH114" s="395"/>
      <c r="IZI114" s="395"/>
      <c r="IZJ114" s="395"/>
      <c r="IZK114" s="395"/>
      <c r="IZL114" s="395"/>
      <c r="IZM114" s="395"/>
      <c r="IZN114" s="395"/>
      <c r="IZO114" s="395"/>
      <c r="IZP114" s="395"/>
      <c r="IZQ114" s="396"/>
      <c r="IZR114" s="394"/>
      <c r="IZS114" s="395"/>
      <c r="IZT114" s="395"/>
      <c r="IZU114" s="395"/>
      <c r="IZV114" s="395"/>
      <c r="IZW114" s="395"/>
      <c r="IZX114" s="395"/>
      <c r="IZY114" s="395"/>
      <c r="IZZ114" s="395"/>
      <c r="JAA114" s="395"/>
      <c r="JAB114" s="395"/>
      <c r="JAC114" s="395"/>
      <c r="JAD114" s="395"/>
      <c r="JAE114" s="395"/>
      <c r="JAF114" s="395"/>
      <c r="JAG114" s="395"/>
      <c r="JAH114" s="395"/>
      <c r="JAI114" s="395"/>
      <c r="JAJ114" s="395"/>
      <c r="JAK114" s="395"/>
      <c r="JAL114" s="395"/>
      <c r="JAM114" s="395"/>
      <c r="JAN114" s="395"/>
      <c r="JAO114" s="395"/>
      <c r="JAP114" s="395"/>
      <c r="JAQ114" s="395"/>
      <c r="JAR114" s="396"/>
      <c r="JAS114" s="394"/>
      <c r="JAT114" s="395"/>
      <c r="JAU114" s="395"/>
      <c r="JAV114" s="395"/>
      <c r="JAW114" s="395"/>
      <c r="JAX114" s="395"/>
      <c r="JAY114" s="395"/>
      <c r="JAZ114" s="395"/>
      <c r="JBA114" s="395"/>
      <c r="JBB114" s="395"/>
      <c r="JBC114" s="395"/>
      <c r="JBD114" s="395"/>
      <c r="JBE114" s="395"/>
      <c r="JBF114" s="395"/>
      <c r="JBG114" s="395"/>
      <c r="JBH114" s="395"/>
      <c r="JBI114" s="395"/>
      <c r="JBJ114" s="395"/>
      <c r="JBK114" s="395"/>
      <c r="JBL114" s="395"/>
      <c r="JBM114" s="395"/>
      <c r="JBN114" s="395"/>
      <c r="JBO114" s="395"/>
      <c r="JBP114" s="395"/>
      <c r="JBQ114" s="395"/>
      <c r="JBR114" s="395"/>
      <c r="JBS114" s="396"/>
      <c r="JBT114" s="394"/>
      <c r="JBU114" s="395"/>
      <c r="JBV114" s="395"/>
      <c r="JBW114" s="395"/>
      <c r="JBX114" s="395"/>
      <c r="JBY114" s="395"/>
      <c r="JBZ114" s="395"/>
      <c r="JCA114" s="395"/>
      <c r="JCB114" s="395"/>
      <c r="JCC114" s="395"/>
      <c r="JCD114" s="395"/>
      <c r="JCE114" s="395"/>
      <c r="JCF114" s="395"/>
      <c r="JCG114" s="395"/>
      <c r="JCH114" s="395"/>
      <c r="JCI114" s="395"/>
      <c r="JCJ114" s="395"/>
      <c r="JCK114" s="395"/>
      <c r="JCL114" s="395"/>
      <c r="JCM114" s="395"/>
      <c r="JCN114" s="395"/>
      <c r="JCO114" s="395"/>
      <c r="JCP114" s="395"/>
      <c r="JCQ114" s="395"/>
      <c r="JCR114" s="395"/>
      <c r="JCS114" s="395"/>
      <c r="JCT114" s="396"/>
      <c r="JCU114" s="394"/>
      <c r="JCV114" s="395"/>
      <c r="JCW114" s="395"/>
      <c r="JCX114" s="395"/>
      <c r="JCY114" s="395"/>
      <c r="JCZ114" s="395"/>
      <c r="JDA114" s="395"/>
      <c r="JDB114" s="395"/>
      <c r="JDC114" s="395"/>
      <c r="JDD114" s="395"/>
      <c r="JDE114" s="395"/>
      <c r="JDF114" s="395"/>
      <c r="JDG114" s="395"/>
      <c r="JDH114" s="395"/>
      <c r="JDI114" s="395"/>
      <c r="JDJ114" s="395"/>
      <c r="JDK114" s="395"/>
      <c r="JDL114" s="395"/>
      <c r="JDM114" s="395"/>
      <c r="JDN114" s="395"/>
      <c r="JDO114" s="395"/>
      <c r="JDP114" s="395"/>
      <c r="JDQ114" s="395"/>
      <c r="JDR114" s="395"/>
      <c r="JDS114" s="395"/>
      <c r="JDT114" s="395"/>
      <c r="JDU114" s="396"/>
      <c r="JDV114" s="394"/>
      <c r="JDW114" s="395"/>
      <c r="JDX114" s="395"/>
      <c r="JDY114" s="395"/>
      <c r="JDZ114" s="395"/>
      <c r="JEA114" s="395"/>
      <c r="JEB114" s="395"/>
      <c r="JEC114" s="395"/>
      <c r="JED114" s="395"/>
      <c r="JEE114" s="395"/>
      <c r="JEF114" s="395"/>
      <c r="JEG114" s="395"/>
      <c r="JEH114" s="395"/>
      <c r="JEI114" s="395"/>
      <c r="JEJ114" s="395"/>
      <c r="JEK114" s="395"/>
      <c r="JEL114" s="395"/>
      <c r="JEM114" s="395"/>
      <c r="JEN114" s="395"/>
      <c r="JEO114" s="395"/>
      <c r="JEP114" s="395"/>
      <c r="JEQ114" s="395"/>
      <c r="JER114" s="395"/>
      <c r="JES114" s="395"/>
      <c r="JET114" s="395"/>
      <c r="JEU114" s="395"/>
      <c r="JEV114" s="396"/>
      <c r="JEW114" s="394"/>
      <c r="JEX114" s="395"/>
      <c r="JEY114" s="395"/>
      <c r="JEZ114" s="395"/>
      <c r="JFA114" s="395"/>
      <c r="JFB114" s="395"/>
      <c r="JFC114" s="395"/>
      <c r="JFD114" s="395"/>
      <c r="JFE114" s="395"/>
      <c r="JFF114" s="395"/>
      <c r="JFG114" s="395"/>
      <c r="JFH114" s="395"/>
      <c r="JFI114" s="395"/>
      <c r="JFJ114" s="395"/>
      <c r="JFK114" s="395"/>
      <c r="JFL114" s="395"/>
      <c r="JFM114" s="395"/>
      <c r="JFN114" s="395"/>
      <c r="JFO114" s="395"/>
      <c r="JFP114" s="395"/>
      <c r="JFQ114" s="395"/>
      <c r="JFR114" s="395"/>
      <c r="JFS114" s="395"/>
      <c r="JFT114" s="395"/>
      <c r="JFU114" s="395"/>
      <c r="JFV114" s="395"/>
      <c r="JFW114" s="396"/>
      <c r="JFX114" s="394"/>
      <c r="JFY114" s="395"/>
      <c r="JFZ114" s="395"/>
      <c r="JGA114" s="395"/>
      <c r="JGB114" s="395"/>
      <c r="JGC114" s="395"/>
      <c r="JGD114" s="395"/>
      <c r="JGE114" s="395"/>
      <c r="JGF114" s="395"/>
      <c r="JGG114" s="395"/>
      <c r="JGH114" s="395"/>
      <c r="JGI114" s="395"/>
      <c r="JGJ114" s="395"/>
      <c r="JGK114" s="395"/>
      <c r="JGL114" s="395"/>
      <c r="JGM114" s="395"/>
      <c r="JGN114" s="395"/>
      <c r="JGO114" s="395"/>
      <c r="JGP114" s="395"/>
      <c r="JGQ114" s="395"/>
      <c r="JGR114" s="395"/>
      <c r="JGS114" s="395"/>
      <c r="JGT114" s="395"/>
      <c r="JGU114" s="395"/>
      <c r="JGV114" s="395"/>
      <c r="JGW114" s="395"/>
      <c r="JGX114" s="396"/>
      <c r="JGY114" s="394"/>
      <c r="JGZ114" s="395"/>
      <c r="JHA114" s="395"/>
      <c r="JHB114" s="395"/>
      <c r="JHC114" s="395"/>
      <c r="JHD114" s="395"/>
      <c r="JHE114" s="395"/>
      <c r="JHF114" s="395"/>
      <c r="JHG114" s="395"/>
      <c r="JHH114" s="395"/>
      <c r="JHI114" s="395"/>
      <c r="JHJ114" s="395"/>
      <c r="JHK114" s="395"/>
      <c r="JHL114" s="395"/>
      <c r="JHM114" s="395"/>
      <c r="JHN114" s="395"/>
      <c r="JHO114" s="395"/>
      <c r="JHP114" s="395"/>
      <c r="JHQ114" s="395"/>
      <c r="JHR114" s="395"/>
      <c r="JHS114" s="395"/>
      <c r="JHT114" s="395"/>
      <c r="JHU114" s="395"/>
      <c r="JHV114" s="395"/>
      <c r="JHW114" s="395"/>
      <c r="JHX114" s="395"/>
      <c r="JHY114" s="396"/>
      <c r="JHZ114" s="394"/>
      <c r="JIA114" s="395"/>
      <c r="JIB114" s="395"/>
      <c r="JIC114" s="395"/>
      <c r="JID114" s="395"/>
      <c r="JIE114" s="395"/>
      <c r="JIF114" s="395"/>
      <c r="JIG114" s="395"/>
      <c r="JIH114" s="395"/>
      <c r="JII114" s="395"/>
      <c r="JIJ114" s="395"/>
      <c r="JIK114" s="395"/>
      <c r="JIL114" s="395"/>
      <c r="JIM114" s="395"/>
      <c r="JIN114" s="395"/>
      <c r="JIO114" s="395"/>
      <c r="JIP114" s="395"/>
      <c r="JIQ114" s="395"/>
      <c r="JIR114" s="395"/>
      <c r="JIS114" s="395"/>
      <c r="JIT114" s="395"/>
      <c r="JIU114" s="395"/>
      <c r="JIV114" s="395"/>
      <c r="JIW114" s="395"/>
      <c r="JIX114" s="395"/>
      <c r="JIY114" s="395"/>
      <c r="JIZ114" s="396"/>
      <c r="JJA114" s="394"/>
      <c r="JJB114" s="395"/>
      <c r="JJC114" s="395"/>
      <c r="JJD114" s="395"/>
      <c r="JJE114" s="395"/>
      <c r="JJF114" s="395"/>
      <c r="JJG114" s="395"/>
      <c r="JJH114" s="395"/>
      <c r="JJI114" s="395"/>
      <c r="JJJ114" s="395"/>
      <c r="JJK114" s="395"/>
      <c r="JJL114" s="395"/>
      <c r="JJM114" s="395"/>
      <c r="JJN114" s="395"/>
      <c r="JJO114" s="395"/>
      <c r="JJP114" s="395"/>
      <c r="JJQ114" s="395"/>
      <c r="JJR114" s="395"/>
      <c r="JJS114" s="395"/>
      <c r="JJT114" s="395"/>
      <c r="JJU114" s="395"/>
      <c r="JJV114" s="395"/>
      <c r="JJW114" s="395"/>
      <c r="JJX114" s="395"/>
      <c r="JJY114" s="395"/>
      <c r="JJZ114" s="395"/>
      <c r="JKA114" s="396"/>
      <c r="JKB114" s="394"/>
      <c r="JKC114" s="395"/>
      <c r="JKD114" s="395"/>
      <c r="JKE114" s="395"/>
      <c r="JKF114" s="395"/>
      <c r="JKG114" s="395"/>
      <c r="JKH114" s="395"/>
      <c r="JKI114" s="395"/>
      <c r="JKJ114" s="395"/>
      <c r="JKK114" s="395"/>
      <c r="JKL114" s="395"/>
      <c r="JKM114" s="395"/>
      <c r="JKN114" s="395"/>
      <c r="JKO114" s="395"/>
      <c r="JKP114" s="395"/>
      <c r="JKQ114" s="395"/>
      <c r="JKR114" s="395"/>
      <c r="JKS114" s="395"/>
      <c r="JKT114" s="395"/>
      <c r="JKU114" s="395"/>
      <c r="JKV114" s="395"/>
      <c r="JKW114" s="395"/>
      <c r="JKX114" s="395"/>
      <c r="JKY114" s="395"/>
      <c r="JKZ114" s="395"/>
      <c r="JLA114" s="395"/>
      <c r="JLB114" s="396"/>
      <c r="JLC114" s="394"/>
      <c r="JLD114" s="395"/>
      <c r="JLE114" s="395"/>
      <c r="JLF114" s="395"/>
      <c r="JLG114" s="395"/>
      <c r="JLH114" s="395"/>
      <c r="JLI114" s="395"/>
      <c r="JLJ114" s="395"/>
      <c r="JLK114" s="395"/>
      <c r="JLL114" s="395"/>
      <c r="JLM114" s="395"/>
      <c r="JLN114" s="395"/>
      <c r="JLO114" s="395"/>
      <c r="JLP114" s="395"/>
      <c r="JLQ114" s="395"/>
      <c r="JLR114" s="395"/>
      <c r="JLS114" s="395"/>
      <c r="JLT114" s="395"/>
      <c r="JLU114" s="395"/>
      <c r="JLV114" s="395"/>
      <c r="JLW114" s="395"/>
      <c r="JLX114" s="395"/>
      <c r="JLY114" s="395"/>
      <c r="JLZ114" s="395"/>
      <c r="JMA114" s="395"/>
      <c r="JMB114" s="395"/>
      <c r="JMC114" s="396"/>
      <c r="JMD114" s="394"/>
      <c r="JME114" s="395"/>
      <c r="JMF114" s="395"/>
      <c r="JMG114" s="395"/>
      <c r="JMH114" s="395"/>
      <c r="JMI114" s="395"/>
      <c r="JMJ114" s="395"/>
      <c r="JMK114" s="395"/>
      <c r="JML114" s="395"/>
      <c r="JMM114" s="395"/>
      <c r="JMN114" s="395"/>
      <c r="JMO114" s="395"/>
      <c r="JMP114" s="395"/>
      <c r="JMQ114" s="395"/>
      <c r="JMR114" s="395"/>
      <c r="JMS114" s="395"/>
      <c r="JMT114" s="395"/>
      <c r="JMU114" s="395"/>
      <c r="JMV114" s="395"/>
      <c r="JMW114" s="395"/>
      <c r="JMX114" s="395"/>
      <c r="JMY114" s="395"/>
      <c r="JMZ114" s="395"/>
      <c r="JNA114" s="395"/>
      <c r="JNB114" s="395"/>
      <c r="JNC114" s="395"/>
      <c r="JND114" s="396"/>
      <c r="JNE114" s="394"/>
      <c r="JNF114" s="395"/>
      <c r="JNG114" s="395"/>
      <c r="JNH114" s="395"/>
      <c r="JNI114" s="395"/>
      <c r="JNJ114" s="395"/>
      <c r="JNK114" s="395"/>
      <c r="JNL114" s="395"/>
      <c r="JNM114" s="395"/>
      <c r="JNN114" s="395"/>
      <c r="JNO114" s="395"/>
      <c r="JNP114" s="395"/>
      <c r="JNQ114" s="395"/>
      <c r="JNR114" s="395"/>
      <c r="JNS114" s="395"/>
      <c r="JNT114" s="395"/>
      <c r="JNU114" s="395"/>
      <c r="JNV114" s="395"/>
      <c r="JNW114" s="395"/>
      <c r="JNX114" s="395"/>
      <c r="JNY114" s="395"/>
      <c r="JNZ114" s="395"/>
      <c r="JOA114" s="395"/>
      <c r="JOB114" s="395"/>
      <c r="JOC114" s="395"/>
      <c r="JOD114" s="395"/>
      <c r="JOE114" s="396"/>
      <c r="JOF114" s="394"/>
      <c r="JOG114" s="395"/>
      <c r="JOH114" s="395"/>
      <c r="JOI114" s="395"/>
      <c r="JOJ114" s="395"/>
      <c r="JOK114" s="395"/>
      <c r="JOL114" s="395"/>
      <c r="JOM114" s="395"/>
      <c r="JON114" s="395"/>
      <c r="JOO114" s="395"/>
      <c r="JOP114" s="395"/>
      <c r="JOQ114" s="395"/>
      <c r="JOR114" s="395"/>
      <c r="JOS114" s="395"/>
      <c r="JOT114" s="395"/>
      <c r="JOU114" s="395"/>
      <c r="JOV114" s="395"/>
      <c r="JOW114" s="395"/>
      <c r="JOX114" s="395"/>
      <c r="JOY114" s="395"/>
      <c r="JOZ114" s="395"/>
      <c r="JPA114" s="395"/>
      <c r="JPB114" s="395"/>
      <c r="JPC114" s="395"/>
      <c r="JPD114" s="395"/>
      <c r="JPE114" s="395"/>
      <c r="JPF114" s="396"/>
      <c r="JPG114" s="394"/>
      <c r="JPH114" s="395"/>
      <c r="JPI114" s="395"/>
      <c r="JPJ114" s="395"/>
      <c r="JPK114" s="395"/>
      <c r="JPL114" s="395"/>
      <c r="JPM114" s="395"/>
      <c r="JPN114" s="395"/>
      <c r="JPO114" s="395"/>
      <c r="JPP114" s="395"/>
      <c r="JPQ114" s="395"/>
      <c r="JPR114" s="395"/>
      <c r="JPS114" s="395"/>
      <c r="JPT114" s="395"/>
      <c r="JPU114" s="395"/>
      <c r="JPV114" s="395"/>
      <c r="JPW114" s="395"/>
      <c r="JPX114" s="395"/>
      <c r="JPY114" s="395"/>
      <c r="JPZ114" s="395"/>
      <c r="JQA114" s="395"/>
      <c r="JQB114" s="395"/>
      <c r="JQC114" s="395"/>
      <c r="JQD114" s="395"/>
      <c r="JQE114" s="395"/>
      <c r="JQF114" s="395"/>
      <c r="JQG114" s="396"/>
      <c r="JQH114" s="394"/>
      <c r="JQI114" s="395"/>
      <c r="JQJ114" s="395"/>
      <c r="JQK114" s="395"/>
      <c r="JQL114" s="395"/>
      <c r="JQM114" s="395"/>
      <c r="JQN114" s="395"/>
      <c r="JQO114" s="395"/>
      <c r="JQP114" s="395"/>
      <c r="JQQ114" s="395"/>
      <c r="JQR114" s="395"/>
      <c r="JQS114" s="395"/>
      <c r="JQT114" s="395"/>
      <c r="JQU114" s="395"/>
      <c r="JQV114" s="395"/>
      <c r="JQW114" s="395"/>
      <c r="JQX114" s="395"/>
      <c r="JQY114" s="395"/>
      <c r="JQZ114" s="395"/>
      <c r="JRA114" s="395"/>
      <c r="JRB114" s="395"/>
      <c r="JRC114" s="395"/>
      <c r="JRD114" s="395"/>
      <c r="JRE114" s="395"/>
      <c r="JRF114" s="395"/>
      <c r="JRG114" s="395"/>
      <c r="JRH114" s="396"/>
      <c r="JRI114" s="394"/>
      <c r="JRJ114" s="395"/>
      <c r="JRK114" s="395"/>
      <c r="JRL114" s="395"/>
      <c r="JRM114" s="395"/>
      <c r="JRN114" s="395"/>
      <c r="JRO114" s="395"/>
      <c r="JRP114" s="395"/>
      <c r="JRQ114" s="395"/>
      <c r="JRR114" s="395"/>
      <c r="JRS114" s="395"/>
      <c r="JRT114" s="395"/>
      <c r="JRU114" s="395"/>
      <c r="JRV114" s="395"/>
      <c r="JRW114" s="395"/>
      <c r="JRX114" s="395"/>
      <c r="JRY114" s="395"/>
      <c r="JRZ114" s="395"/>
      <c r="JSA114" s="395"/>
      <c r="JSB114" s="395"/>
      <c r="JSC114" s="395"/>
      <c r="JSD114" s="395"/>
      <c r="JSE114" s="395"/>
      <c r="JSF114" s="395"/>
      <c r="JSG114" s="395"/>
      <c r="JSH114" s="395"/>
      <c r="JSI114" s="396"/>
      <c r="JSJ114" s="394"/>
      <c r="JSK114" s="395"/>
      <c r="JSL114" s="395"/>
      <c r="JSM114" s="395"/>
      <c r="JSN114" s="395"/>
      <c r="JSO114" s="395"/>
      <c r="JSP114" s="395"/>
      <c r="JSQ114" s="395"/>
      <c r="JSR114" s="395"/>
      <c r="JSS114" s="395"/>
      <c r="JST114" s="395"/>
      <c r="JSU114" s="395"/>
      <c r="JSV114" s="395"/>
      <c r="JSW114" s="395"/>
      <c r="JSX114" s="395"/>
      <c r="JSY114" s="395"/>
      <c r="JSZ114" s="395"/>
      <c r="JTA114" s="395"/>
      <c r="JTB114" s="395"/>
      <c r="JTC114" s="395"/>
      <c r="JTD114" s="395"/>
      <c r="JTE114" s="395"/>
      <c r="JTF114" s="395"/>
      <c r="JTG114" s="395"/>
      <c r="JTH114" s="395"/>
      <c r="JTI114" s="395"/>
      <c r="JTJ114" s="396"/>
      <c r="JTK114" s="394"/>
      <c r="JTL114" s="395"/>
      <c r="JTM114" s="395"/>
      <c r="JTN114" s="395"/>
      <c r="JTO114" s="395"/>
      <c r="JTP114" s="395"/>
      <c r="JTQ114" s="395"/>
      <c r="JTR114" s="395"/>
      <c r="JTS114" s="395"/>
      <c r="JTT114" s="395"/>
      <c r="JTU114" s="395"/>
      <c r="JTV114" s="395"/>
      <c r="JTW114" s="395"/>
      <c r="JTX114" s="395"/>
      <c r="JTY114" s="395"/>
      <c r="JTZ114" s="395"/>
      <c r="JUA114" s="395"/>
      <c r="JUB114" s="395"/>
      <c r="JUC114" s="395"/>
      <c r="JUD114" s="395"/>
      <c r="JUE114" s="395"/>
      <c r="JUF114" s="395"/>
      <c r="JUG114" s="395"/>
      <c r="JUH114" s="395"/>
      <c r="JUI114" s="395"/>
      <c r="JUJ114" s="395"/>
      <c r="JUK114" s="396"/>
      <c r="JUL114" s="394"/>
      <c r="JUM114" s="395"/>
      <c r="JUN114" s="395"/>
      <c r="JUO114" s="395"/>
      <c r="JUP114" s="395"/>
      <c r="JUQ114" s="395"/>
      <c r="JUR114" s="395"/>
      <c r="JUS114" s="395"/>
      <c r="JUT114" s="395"/>
      <c r="JUU114" s="395"/>
      <c r="JUV114" s="395"/>
      <c r="JUW114" s="395"/>
      <c r="JUX114" s="395"/>
      <c r="JUY114" s="395"/>
      <c r="JUZ114" s="395"/>
      <c r="JVA114" s="395"/>
      <c r="JVB114" s="395"/>
      <c r="JVC114" s="395"/>
      <c r="JVD114" s="395"/>
      <c r="JVE114" s="395"/>
      <c r="JVF114" s="395"/>
      <c r="JVG114" s="395"/>
      <c r="JVH114" s="395"/>
      <c r="JVI114" s="395"/>
      <c r="JVJ114" s="395"/>
      <c r="JVK114" s="395"/>
      <c r="JVL114" s="396"/>
      <c r="JVM114" s="394"/>
      <c r="JVN114" s="395"/>
      <c r="JVO114" s="395"/>
      <c r="JVP114" s="395"/>
      <c r="JVQ114" s="395"/>
      <c r="JVR114" s="395"/>
      <c r="JVS114" s="395"/>
      <c r="JVT114" s="395"/>
      <c r="JVU114" s="395"/>
      <c r="JVV114" s="395"/>
      <c r="JVW114" s="395"/>
      <c r="JVX114" s="395"/>
      <c r="JVY114" s="395"/>
      <c r="JVZ114" s="395"/>
      <c r="JWA114" s="395"/>
      <c r="JWB114" s="395"/>
      <c r="JWC114" s="395"/>
      <c r="JWD114" s="395"/>
      <c r="JWE114" s="395"/>
      <c r="JWF114" s="395"/>
      <c r="JWG114" s="395"/>
      <c r="JWH114" s="395"/>
      <c r="JWI114" s="395"/>
      <c r="JWJ114" s="395"/>
      <c r="JWK114" s="395"/>
      <c r="JWL114" s="395"/>
      <c r="JWM114" s="396"/>
      <c r="JWN114" s="394"/>
      <c r="JWO114" s="395"/>
      <c r="JWP114" s="395"/>
      <c r="JWQ114" s="395"/>
      <c r="JWR114" s="395"/>
      <c r="JWS114" s="395"/>
      <c r="JWT114" s="395"/>
      <c r="JWU114" s="395"/>
      <c r="JWV114" s="395"/>
      <c r="JWW114" s="395"/>
      <c r="JWX114" s="395"/>
      <c r="JWY114" s="395"/>
      <c r="JWZ114" s="395"/>
      <c r="JXA114" s="395"/>
      <c r="JXB114" s="395"/>
      <c r="JXC114" s="395"/>
      <c r="JXD114" s="395"/>
      <c r="JXE114" s="395"/>
      <c r="JXF114" s="395"/>
      <c r="JXG114" s="395"/>
      <c r="JXH114" s="395"/>
      <c r="JXI114" s="395"/>
      <c r="JXJ114" s="395"/>
      <c r="JXK114" s="395"/>
      <c r="JXL114" s="395"/>
      <c r="JXM114" s="395"/>
      <c r="JXN114" s="396"/>
      <c r="JXO114" s="394"/>
      <c r="JXP114" s="395"/>
      <c r="JXQ114" s="395"/>
      <c r="JXR114" s="395"/>
      <c r="JXS114" s="395"/>
      <c r="JXT114" s="395"/>
      <c r="JXU114" s="395"/>
      <c r="JXV114" s="395"/>
      <c r="JXW114" s="395"/>
      <c r="JXX114" s="395"/>
      <c r="JXY114" s="395"/>
      <c r="JXZ114" s="395"/>
      <c r="JYA114" s="395"/>
      <c r="JYB114" s="395"/>
      <c r="JYC114" s="395"/>
      <c r="JYD114" s="395"/>
      <c r="JYE114" s="395"/>
      <c r="JYF114" s="395"/>
      <c r="JYG114" s="395"/>
      <c r="JYH114" s="395"/>
      <c r="JYI114" s="395"/>
      <c r="JYJ114" s="395"/>
      <c r="JYK114" s="395"/>
      <c r="JYL114" s="395"/>
      <c r="JYM114" s="395"/>
      <c r="JYN114" s="395"/>
      <c r="JYO114" s="396"/>
      <c r="JYP114" s="394"/>
      <c r="JYQ114" s="395"/>
      <c r="JYR114" s="395"/>
      <c r="JYS114" s="395"/>
      <c r="JYT114" s="395"/>
      <c r="JYU114" s="395"/>
      <c r="JYV114" s="395"/>
      <c r="JYW114" s="395"/>
      <c r="JYX114" s="395"/>
      <c r="JYY114" s="395"/>
      <c r="JYZ114" s="395"/>
      <c r="JZA114" s="395"/>
      <c r="JZB114" s="395"/>
      <c r="JZC114" s="395"/>
      <c r="JZD114" s="395"/>
      <c r="JZE114" s="395"/>
      <c r="JZF114" s="395"/>
      <c r="JZG114" s="395"/>
      <c r="JZH114" s="395"/>
      <c r="JZI114" s="395"/>
      <c r="JZJ114" s="395"/>
      <c r="JZK114" s="395"/>
      <c r="JZL114" s="395"/>
      <c r="JZM114" s="395"/>
      <c r="JZN114" s="395"/>
      <c r="JZO114" s="395"/>
      <c r="JZP114" s="396"/>
      <c r="JZQ114" s="394"/>
      <c r="JZR114" s="395"/>
      <c r="JZS114" s="395"/>
      <c r="JZT114" s="395"/>
      <c r="JZU114" s="395"/>
      <c r="JZV114" s="395"/>
      <c r="JZW114" s="395"/>
      <c r="JZX114" s="395"/>
      <c r="JZY114" s="395"/>
      <c r="JZZ114" s="395"/>
      <c r="KAA114" s="395"/>
      <c r="KAB114" s="395"/>
      <c r="KAC114" s="395"/>
      <c r="KAD114" s="395"/>
      <c r="KAE114" s="395"/>
      <c r="KAF114" s="395"/>
      <c r="KAG114" s="395"/>
      <c r="KAH114" s="395"/>
      <c r="KAI114" s="395"/>
      <c r="KAJ114" s="395"/>
      <c r="KAK114" s="395"/>
      <c r="KAL114" s="395"/>
      <c r="KAM114" s="395"/>
      <c r="KAN114" s="395"/>
      <c r="KAO114" s="395"/>
      <c r="KAP114" s="395"/>
      <c r="KAQ114" s="396"/>
      <c r="KAR114" s="394"/>
      <c r="KAS114" s="395"/>
      <c r="KAT114" s="395"/>
      <c r="KAU114" s="395"/>
      <c r="KAV114" s="395"/>
      <c r="KAW114" s="395"/>
      <c r="KAX114" s="395"/>
      <c r="KAY114" s="395"/>
      <c r="KAZ114" s="395"/>
      <c r="KBA114" s="395"/>
      <c r="KBB114" s="395"/>
      <c r="KBC114" s="395"/>
      <c r="KBD114" s="395"/>
      <c r="KBE114" s="395"/>
      <c r="KBF114" s="395"/>
      <c r="KBG114" s="395"/>
      <c r="KBH114" s="395"/>
      <c r="KBI114" s="395"/>
      <c r="KBJ114" s="395"/>
      <c r="KBK114" s="395"/>
      <c r="KBL114" s="395"/>
      <c r="KBM114" s="395"/>
      <c r="KBN114" s="395"/>
      <c r="KBO114" s="395"/>
      <c r="KBP114" s="395"/>
      <c r="KBQ114" s="395"/>
      <c r="KBR114" s="396"/>
      <c r="KBS114" s="394"/>
      <c r="KBT114" s="395"/>
      <c r="KBU114" s="395"/>
      <c r="KBV114" s="395"/>
      <c r="KBW114" s="395"/>
      <c r="KBX114" s="395"/>
      <c r="KBY114" s="395"/>
      <c r="KBZ114" s="395"/>
      <c r="KCA114" s="395"/>
      <c r="KCB114" s="395"/>
      <c r="KCC114" s="395"/>
      <c r="KCD114" s="395"/>
      <c r="KCE114" s="395"/>
      <c r="KCF114" s="395"/>
      <c r="KCG114" s="395"/>
      <c r="KCH114" s="395"/>
      <c r="KCI114" s="395"/>
      <c r="KCJ114" s="395"/>
      <c r="KCK114" s="395"/>
      <c r="KCL114" s="395"/>
      <c r="KCM114" s="395"/>
      <c r="KCN114" s="395"/>
      <c r="KCO114" s="395"/>
      <c r="KCP114" s="395"/>
      <c r="KCQ114" s="395"/>
      <c r="KCR114" s="395"/>
      <c r="KCS114" s="396"/>
      <c r="KCT114" s="394"/>
      <c r="KCU114" s="395"/>
      <c r="KCV114" s="395"/>
      <c r="KCW114" s="395"/>
      <c r="KCX114" s="395"/>
      <c r="KCY114" s="395"/>
      <c r="KCZ114" s="395"/>
      <c r="KDA114" s="395"/>
      <c r="KDB114" s="395"/>
      <c r="KDC114" s="395"/>
      <c r="KDD114" s="395"/>
      <c r="KDE114" s="395"/>
      <c r="KDF114" s="395"/>
      <c r="KDG114" s="395"/>
      <c r="KDH114" s="395"/>
      <c r="KDI114" s="395"/>
      <c r="KDJ114" s="395"/>
      <c r="KDK114" s="395"/>
      <c r="KDL114" s="395"/>
      <c r="KDM114" s="395"/>
      <c r="KDN114" s="395"/>
      <c r="KDO114" s="395"/>
      <c r="KDP114" s="395"/>
      <c r="KDQ114" s="395"/>
      <c r="KDR114" s="395"/>
      <c r="KDS114" s="395"/>
      <c r="KDT114" s="396"/>
      <c r="KDU114" s="394"/>
      <c r="KDV114" s="395"/>
      <c r="KDW114" s="395"/>
      <c r="KDX114" s="395"/>
      <c r="KDY114" s="395"/>
      <c r="KDZ114" s="395"/>
      <c r="KEA114" s="395"/>
      <c r="KEB114" s="395"/>
      <c r="KEC114" s="395"/>
      <c r="KED114" s="395"/>
      <c r="KEE114" s="395"/>
      <c r="KEF114" s="395"/>
      <c r="KEG114" s="395"/>
      <c r="KEH114" s="395"/>
      <c r="KEI114" s="395"/>
      <c r="KEJ114" s="395"/>
      <c r="KEK114" s="395"/>
      <c r="KEL114" s="395"/>
      <c r="KEM114" s="395"/>
      <c r="KEN114" s="395"/>
      <c r="KEO114" s="395"/>
      <c r="KEP114" s="395"/>
      <c r="KEQ114" s="395"/>
      <c r="KER114" s="395"/>
      <c r="KES114" s="395"/>
      <c r="KET114" s="395"/>
      <c r="KEU114" s="396"/>
      <c r="KEV114" s="394"/>
      <c r="KEW114" s="395"/>
      <c r="KEX114" s="395"/>
      <c r="KEY114" s="395"/>
      <c r="KEZ114" s="395"/>
      <c r="KFA114" s="395"/>
      <c r="KFB114" s="395"/>
      <c r="KFC114" s="395"/>
      <c r="KFD114" s="395"/>
      <c r="KFE114" s="395"/>
      <c r="KFF114" s="395"/>
      <c r="KFG114" s="395"/>
      <c r="KFH114" s="395"/>
      <c r="KFI114" s="395"/>
      <c r="KFJ114" s="395"/>
      <c r="KFK114" s="395"/>
      <c r="KFL114" s="395"/>
      <c r="KFM114" s="395"/>
      <c r="KFN114" s="395"/>
      <c r="KFO114" s="395"/>
      <c r="KFP114" s="395"/>
      <c r="KFQ114" s="395"/>
      <c r="KFR114" s="395"/>
      <c r="KFS114" s="395"/>
      <c r="KFT114" s="395"/>
      <c r="KFU114" s="395"/>
      <c r="KFV114" s="396"/>
      <c r="KFW114" s="394"/>
      <c r="KFX114" s="395"/>
      <c r="KFY114" s="395"/>
      <c r="KFZ114" s="395"/>
      <c r="KGA114" s="395"/>
      <c r="KGB114" s="395"/>
      <c r="KGC114" s="395"/>
      <c r="KGD114" s="395"/>
      <c r="KGE114" s="395"/>
      <c r="KGF114" s="395"/>
      <c r="KGG114" s="395"/>
      <c r="KGH114" s="395"/>
      <c r="KGI114" s="395"/>
      <c r="KGJ114" s="395"/>
      <c r="KGK114" s="395"/>
      <c r="KGL114" s="395"/>
      <c r="KGM114" s="395"/>
      <c r="KGN114" s="395"/>
      <c r="KGO114" s="395"/>
      <c r="KGP114" s="395"/>
      <c r="KGQ114" s="395"/>
      <c r="KGR114" s="395"/>
      <c r="KGS114" s="395"/>
      <c r="KGT114" s="395"/>
      <c r="KGU114" s="395"/>
      <c r="KGV114" s="395"/>
      <c r="KGW114" s="396"/>
      <c r="KGX114" s="394"/>
      <c r="KGY114" s="395"/>
      <c r="KGZ114" s="395"/>
      <c r="KHA114" s="395"/>
      <c r="KHB114" s="395"/>
      <c r="KHC114" s="395"/>
      <c r="KHD114" s="395"/>
      <c r="KHE114" s="395"/>
      <c r="KHF114" s="395"/>
      <c r="KHG114" s="395"/>
      <c r="KHH114" s="395"/>
      <c r="KHI114" s="395"/>
      <c r="KHJ114" s="395"/>
      <c r="KHK114" s="395"/>
      <c r="KHL114" s="395"/>
      <c r="KHM114" s="395"/>
      <c r="KHN114" s="395"/>
      <c r="KHO114" s="395"/>
      <c r="KHP114" s="395"/>
      <c r="KHQ114" s="395"/>
      <c r="KHR114" s="395"/>
      <c r="KHS114" s="395"/>
      <c r="KHT114" s="395"/>
      <c r="KHU114" s="395"/>
      <c r="KHV114" s="395"/>
      <c r="KHW114" s="395"/>
      <c r="KHX114" s="396"/>
      <c r="KHY114" s="394"/>
      <c r="KHZ114" s="395"/>
      <c r="KIA114" s="395"/>
      <c r="KIB114" s="395"/>
      <c r="KIC114" s="395"/>
      <c r="KID114" s="395"/>
      <c r="KIE114" s="395"/>
      <c r="KIF114" s="395"/>
      <c r="KIG114" s="395"/>
      <c r="KIH114" s="395"/>
      <c r="KII114" s="395"/>
      <c r="KIJ114" s="395"/>
      <c r="KIK114" s="395"/>
      <c r="KIL114" s="395"/>
      <c r="KIM114" s="395"/>
      <c r="KIN114" s="395"/>
      <c r="KIO114" s="395"/>
      <c r="KIP114" s="395"/>
      <c r="KIQ114" s="395"/>
      <c r="KIR114" s="395"/>
      <c r="KIS114" s="395"/>
      <c r="KIT114" s="395"/>
      <c r="KIU114" s="395"/>
      <c r="KIV114" s="395"/>
      <c r="KIW114" s="395"/>
      <c r="KIX114" s="395"/>
      <c r="KIY114" s="396"/>
      <c r="KIZ114" s="394"/>
      <c r="KJA114" s="395"/>
      <c r="KJB114" s="395"/>
      <c r="KJC114" s="395"/>
      <c r="KJD114" s="395"/>
      <c r="KJE114" s="395"/>
      <c r="KJF114" s="395"/>
      <c r="KJG114" s="395"/>
      <c r="KJH114" s="395"/>
      <c r="KJI114" s="395"/>
      <c r="KJJ114" s="395"/>
      <c r="KJK114" s="395"/>
      <c r="KJL114" s="395"/>
      <c r="KJM114" s="395"/>
      <c r="KJN114" s="395"/>
      <c r="KJO114" s="395"/>
      <c r="KJP114" s="395"/>
      <c r="KJQ114" s="395"/>
      <c r="KJR114" s="395"/>
      <c r="KJS114" s="395"/>
      <c r="KJT114" s="395"/>
      <c r="KJU114" s="395"/>
      <c r="KJV114" s="395"/>
      <c r="KJW114" s="395"/>
      <c r="KJX114" s="395"/>
      <c r="KJY114" s="395"/>
      <c r="KJZ114" s="396"/>
      <c r="KKA114" s="394"/>
      <c r="KKB114" s="395"/>
      <c r="KKC114" s="395"/>
      <c r="KKD114" s="395"/>
      <c r="KKE114" s="395"/>
      <c r="KKF114" s="395"/>
      <c r="KKG114" s="395"/>
      <c r="KKH114" s="395"/>
      <c r="KKI114" s="395"/>
      <c r="KKJ114" s="395"/>
      <c r="KKK114" s="395"/>
      <c r="KKL114" s="395"/>
      <c r="KKM114" s="395"/>
      <c r="KKN114" s="395"/>
      <c r="KKO114" s="395"/>
      <c r="KKP114" s="395"/>
      <c r="KKQ114" s="395"/>
      <c r="KKR114" s="395"/>
      <c r="KKS114" s="395"/>
      <c r="KKT114" s="395"/>
      <c r="KKU114" s="395"/>
      <c r="KKV114" s="395"/>
      <c r="KKW114" s="395"/>
      <c r="KKX114" s="395"/>
      <c r="KKY114" s="395"/>
      <c r="KKZ114" s="395"/>
      <c r="KLA114" s="396"/>
      <c r="KLB114" s="394"/>
      <c r="KLC114" s="395"/>
      <c r="KLD114" s="395"/>
      <c r="KLE114" s="395"/>
      <c r="KLF114" s="395"/>
      <c r="KLG114" s="395"/>
      <c r="KLH114" s="395"/>
      <c r="KLI114" s="395"/>
      <c r="KLJ114" s="395"/>
      <c r="KLK114" s="395"/>
      <c r="KLL114" s="395"/>
      <c r="KLM114" s="395"/>
      <c r="KLN114" s="395"/>
      <c r="KLO114" s="395"/>
      <c r="KLP114" s="395"/>
      <c r="KLQ114" s="395"/>
      <c r="KLR114" s="395"/>
      <c r="KLS114" s="395"/>
      <c r="KLT114" s="395"/>
      <c r="KLU114" s="395"/>
      <c r="KLV114" s="395"/>
      <c r="KLW114" s="395"/>
      <c r="KLX114" s="395"/>
      <c r="KLY114" s="395"/>
      <c r="KLZ114" s="395"/>
      <c r="KMA114" s="395"/>
      <c r="KMB114" s="396"/>
      <c r="KMC114" s="394"/>
      <c r="KMD114" s="395"/>
      <c r="KME114" s="395"/>
      <c r="KMF114" s="395"/>
      <c r="KMG114" s="395"/>
      <c r="KMH114" s="395"/>
      <c r="KMI114" s="395"/>
      <c r="KMJ114" s="395"/>
      <c r="KMK114" s="395"/>
      <c r="KML114" s="395"/>
      <c r="KMM114" s="395"/>
      <c r="KMN114" s="395"/>
      <c r="KMO114" s="395"/>
      <c r="KMP114" s="395"/>
      <c r="KMQ114" s="395"/>
      <c r="KMR114" s="395"/>
      <c r="KMS114" s="395"/>
      <c r="KMT114" s="395"/>
      <c r="KMU114" s="395"/>
      <c r="KMV114" s="395"/>
      <c r="KMW114" s="395"/>
      <c r="KMX114" s="395"/>
      <c r="KMY114" s="395"/>
      <c r="KMZ114" s="395"/>
      <c r="KNA114" s="395"/>
      <c r="KNB114" s="395"/>
      <c r="KNC114" s="396"/>
      <c r="KND114" s="394"/>
      <c r="KNE114" s="395"/>
      <c r="KNF114" s="395"/>
      <c r="KNG114" s="395"/>
      <c r="KNH114" s="395"/>
      <c r="KNI114" s="395"/>
      <c r="KNJ114" s="395"/>
      <c r="KNK114" s="395"/>
      <c r="KNL114" s="395"/>
      <c r="KNM114" s="395"/>
      <c r="KNN114" s="395"/>
      <c r="KNO114" s="395"/>
      <c r="KNP114" s="395"/>
      <c r="KNQ114" s="395"/>
      <c r="KNR114" s="395"/>
      <c r="KNS114" s="395"/>
      <c r="KNT114" s="395"/>
      <c r="KNU114" s="395"/>
      <c r="KNV114" s="395"/>
      <c r="KNW114" s="395"/>
      <c r="KNX114" s="395"/>
      <c r="KNY114" s="395"/>
      <c r="KNZ114" s="395"/>
      <c r="KOA114" s="395"/>
      <c r="KOB114" s="395"/>
      <c r="KOC114" s="395"/>
      <c r="KOD114" s="396"/>
      <c r="KOE114" s="394"/>
      <c r="KOF114" s="395"/>
      <c r="KOG114" s="395"/>
      <c r="KOH114" s="395"/>
      <c r="KOI114" s="395"/>
      <c r="KOJ114" s="395"/>
      <c r="KOK114" s="395"/>
      <c r="KOL114" s="395"/>
      <c r="KOM114" s="395"/>
      <c r="KON114" s="395"/>
      <c r="KOO114" s="395"/>
      <c r="KOP114" s="395"/>
      <c r="KOQ114" s="395"/>
      <c r="KOR114" s="395"/>
      <c r="KOS114" s="395"/>
      <c r="KOT114" s="395"/>
      <c r="KOU114" s="395"/>
      <c r="KOV114" s="395"/>
      <c r="KOW114" s="395"/>
      <c r="KOX114" s="395"/>
      <c r="KOY114" s="395"/>
      <c r="KOZ114" s="395"/>
      <c r="KPA114" s="395"/>
      <c r="KPB114" s="395"/>
      <c r="KPC114" s="395"/>
      <c r="KPD114" s="395"/>
      <c r="KPE114" s="396"/>
      <c r="KPF114" s="394"/>
      <c r="KPG114" s="395"/>
      <c r="KPH114" s="395"/>
      <c r="KPI114" s="395"/>
      <c r="KPJ114" s="395"/>
      <c r="KPK114" s="395"/>
      <c r="KPL114" s="395"/>
      <c r="KPM114" s="395"/>
      <c r="KPN114" s="395"/>
      <c r="KPO114" s="395"/>
      <c r="KPP114" s="395"/>
      <c r="KPQ114" s="395"/>
      <c r="KPR114" s="395"/>
      <c r="KPS114" s="395"/>
      <c r="KPT114" s="395"/>
      <c r="KPU114" s="395"/>
      <c r="KPV114" s="395"/>
      <c r="KPW114" s="395"/>
      <c r="KPX114" s="395"/>
      <c r="KPY114" s="395"/>
      <c r="KPZ114" s="395"/>
      <c r="KQA114" s="395"/>
      <c r="KQB114" s="395"/>
      <c r="KQC114" s="395"/>
      <c r="KQD114" s="395"/>
      <c r="KQE114" s="395"/>
      <c r="KQF114" s="396"/>
      <c r="KQG114" s="394"/>
      <c r="KQH114" s="395"/>
      <c r="KQI114" s="395"/>
      <c r="KQJ114" s="395"/>
      <c r="KQK114" s="395"/>
      <c r="KQL114" s="395"/>
      <c r="KQM114" s="395"/>
      <c r="KQN114" s="395"/>
      <c r="KQO114" s="395"/>
      <c r="KQP114" s="395"/>
      <c r="KQQ114" s="395"/>
      <c r="KQR114" s="395"/>
      <c r="KQS114" s="395"/>
      <c r="KQT114" s="395"/>
      <c r="KQU114" s="395"/>
      <c r="KQV114" s="395"/>
      <c r="KQW114" s="395"/>
      <c r="KQX114" s="395"/>
      <c r="KQY114" s="395"/>
      <c r="KQZ114" s="395"/>
      <c r="KRA114" s="395"/>
      <c r="KRB114" s="395"/>
      <c r="KRC114" s="395"/>
      <c r="KRD114" s="395"/>
      <c r="KRE114" s="395"/>
      <c r="KRF114" s="395"/>
      <c r="KRG114" s="396"/>
      <c r="KRH114" s="394"/>
      <c r="KRI114" s="395"/>
      <c r="KRJ114" s="395"/>
      <c r="KRK114" s="395"/>
      <c r="KRL114" s="395"/>
      <c r="KRM114" s="395"/>
      <c r="KRN114" s="395"/>
      <c r="KRO114" s="395"/>
      <c r="KRP114" s="395"/>
      <c r="KRQ114" s="395"/>
      <c r="KRR114" s="395"/>
      <c r="KRS114" s="395"/>
      <c r="KRT114" s="395"/>
      <c r="KRU114" s="395"/>
      <c r="KRV114" s="395"/>
      <c r="KRW114" s="395"/>
      <c r="KRX114" s="395"/>
      <c r="KRY114" s="395"/>
      <c r="KRZ114" s="395"/>
      <c r="KSA114" s="395"/>
      <c r="KSB114" s="395"/>
      <c r="KSC114" s="395"/>
      <c r="KSD114" s="395"/>
      <c r="KSE114" s="395"/>
      <c r="KSF114" s="395"/>
      <c r="KSG114" s="395"/>
      <c r="KSH114" s="396"/>
      <c r="KSI114" s="394"/>
      <c r="KSJ114" s="395"/>
      <c r="KSK114" s="395"/>
      <c r="KSL114" s="395"/>
      <c r="KSM114" s="395"/>
      <c r="KSN114" s="395"/>
      <c r="KSO114" s="395"/>
      <c r="KSP114" s="395"/>
      <c r="KSQ114" s="395"/>
      <c r="KSR114" s="395"/>
      <c r="KSS114" s="395"/>
      <c r="KST114" s="395"/>
      <c r="KSU114" s="395"/>
      <c r="KSV114" s="395"/>
      <c r="KSW114" s="395"/>
      <c r="KSX114" s="395"/>
      <c r="KSY114" s="395"/>
      <c r="KSZ114" s="395"/>
      <c r="KTA114" s="395"/>
      <c r="KTB114" s="395"/>
      <c r="KTC114" s="395"/>
      <c r="KTD114" s="395"/>
      <c r="KTE114" s="395"/>
      <c r="KTF114" s="395"/>
      <c r="KTG114" s="395"/>
      <c r="KTH114" s="395"/>
      <c r="KTI114" s="396"/>
      <c r="KTJ114" s="394"/>
      <c r="KTK114" s="395"/>
      <c r="KTL114" s="395"/>
      <c r="KTM114" s="395"/>
      <c r="KTN114" s="395"/>
      <c r="KTO114" s="395"/>
      <c r="KTP114" s="395"/>
      <c r="KTQ114" s="395"/>
      <c r="KTR114" s="395"/>
      <c r="KTS114" s="395"/>
      <c r="KTT114" s="395"/>
      <c r="KTU114" s="395"/>
      <c r="KTV114" s="395"/>
      <c r="KTW114" s="395"/>
      <c r="KTX114" s="395"/>
      <c r="KTY114" s="395"/>
      <c r="KTZ114" s="395"/>
      <c r="KUA114" s="395"/>
      <c r="KUB114" s="395"/>
      <c r="KUC114" s="395"/>
      <c r="KUD114" s="395"/>
      <c r="KUE114" s="395"/>
      <c r="KUF114" s="395"/>
      <c r="KUG114" s="395"/>
      <c r="KUH114" s="395"/>
      <c r="KUI114" s="395"/>
      <c r="KUJ114" s="396"/>
      <c r="KUK114" s="394"/>
      <c r="KUL114" s="395"/>
      <c r="KUM114" s="395"/>
      <c r="KUN114" s="395"/>
      <c r="KUO114" s="395"/>
      <c r="KUP114" s="395"/>
      <c r="KUQ114" s="395"/>
      <c r="KUR114" s="395"/>
      <c r="KUS114" s="395"/>
      <c r="KUT114" s="395"/>
      <c r="KUU114" s="395"/>
      <c r="KUV114" s="395"/>
      <c r="KUW114" s="395"/>
      <c r="KUX114" s="395"/>
      <c r="KUY114" s="395"/>
      <c r="KUZ114" s="395"/>
      <c r="KVA114" s="395"/>
      <c r="KVB114" s="395"/>
      <c r="KVC114" s="395"/>
      <c r="KVD114" s="395"/>
      <c r="KVE114" s="395"/>
      <c r="KVF114" s="395"/>
      <c r="KVG114" s="395"/>
      <c r="KVH114" s="395"/>
      <c r="KVI114" s="395"/>
      <c r="KVJ114" s="395"/>
      <c r="KVK114" s="396"/>
      <c r="KVL114" s="394"/>
      <c r="KVM114" s="395"/>
      <c r="KVN114" s="395"/>
      <c r="KVO114" s="395"/>
      <c r="KVP114" s="395"/>
      <c r="KVQ114" s="395"/>
      <c r="KVR114" s="395"/>
      <c r="KVS114" s="395"/>
      <c r="KVT114" s="395"/>
      <c r="KVU114" s="395"/>
      <c r="KVV114" s="395"/>
      <c r="KVW114" s="395"/>
      <c r="KVX114" s="395"/>
      <c r="KVY114" s="395"/>
      <c r="KVZ114" s="395"/>
      <c r="KWA114" s="395"/>
      <c r="KWB114" s="395"/>
      <c r="KWC114" s="395"/>
      <c r="KWD114" s="395"/>
      <c r="KWE114" s="395"/>
      <c r="KWF114" s="395"/>
      <c r="KWG114" s="395"/>
      <c r="KWH114" s="395"/>
      <c r="KWI114" s="395"/>
      <c r="KWJ114" s="395"/>
      <c r="KWK114" s="395"/>
      <c r="KWL114" s="396"/>
      <c r="KWM114" s="394"/>
      <c r="KWN114" s="395"/>
      <c r="KWO114" s="395"/>
      <c r="KWP114" s="395"/>
      <c r="KWQ114" s="395"/>
      <c r="KWR114" s="395"/>
      <c r="KWS114" s="395"/>
      <c r="KWT114" s="395"/>
      <c r="KWU114" s="395"/>
      <c r="KWV114" s="395"/>
      <c r="KWW114" s="395"/>
      <c r="KWX114" s="395"/>
      <c r="KWY114" s="395"/>
      <c r="KWZ114" s="395"/>
      <c r="KXA114" s="395"/>
      <c r="KXB114" s="395"/>
      <c r="KXC114" s="395"/>
      <c r="KXD114" s="395"/>
      <c r="KXE114" s="395"/>
      <c r="KXF114" s="395"/>
      <c r="KXG114" s="395"/>
      <c r="KXH114" s="395"/>
      <c r="KXI114" s="395"/>
      <c r="KXJ114" s="395"/>
      <c r="KXK114" s="395"/>
      <c r="KXL114" s="395"/>
      <c r="KXM114" s="396"/>
      <c r="KXN114" s="394"/>
      <c r="KXO114" s="395"/>
      <c r="KXP114" s="395"/>
      <c r="KXQ114" s="395"/>
      <c r="KXR114" s="395"/>
      <c r="KXS114" s="395"/>
      <c r="KXT114" s="395"/>
      <c r="KXU114" s="395"/>
      <c r="KXV114" s="395"/>
      <c r="KXW114" s="395"/>
      <c r="KXX114" s="395"/>
      <c r="KXY114" s="395"/>
      <c r="KXZ114" s="395"/>
      <c r="KYA114" s="395"/>
      <c r="KYB114" s="395"/>
      <c r="KYC114" s="395"/>
      <c r="KYD114" s="395"/>
      <c r="KYE114" s="395"/>
      <c r="KYF114" s="395"/>
      <c r="KYG114" s="395"/>
      <c r="KYH114" s="395"/>
      <c r="KYI114" s="395"/>
      <c r="KYJ114" s="395"/>
      <c r="KYK114" s="395"/>
      <c r="KYL114" s="395"/>
      <c r="KYM114" s="395"/>
      <c r="KYN114" s="396"/>
      <c r="KYO114" s="394"/>
      <c r="KYP114" s="395"/>
      <c r="KYQ114" s="395"/>
      <c r="KYR114" s="395"/>
      <c r="KYS114" s="395"/>
      <c r="KYT114" s="395"/>
      <c r="KYU114" s="395"/>
      <c r="KYV114" s="395"/>
      <c r="KYW114" s="395"/>
      <c r="KYX114" s="395"/>
      <c r="KYY114" s="395"/>
      <c r="KYZ114" s="395"/>
      <c r="KZA114" s="395"/>
      <c r="KZB114" s="395"/>
      <c r="KZC114" s="395"/>
      <c r="KZD114" s="395"/>
      <c r="KZE114" s="395"/>
      <c r="KZF114" s="395"/>
      <c r="KZG114" s="395"/>
      <c r="KZH114" s="395"/>
      <c r="KZI114" s="395"/>
      <c r="KZJ114" s="395"/>
      <c r="KZK114" s="395"/>
      <c r="KZL114" s="395"/>
      <c r="KZM114" s="395"/>
      <c r="KZN114" s="395"/>
      <c r="KZO114" s="396"/>
      <c r="KZP114" s="394"/>
      <c r="KZQ114" s="395"/>
      <c r="KZR114" s="395"/>
      <c r="KZS114" s="395"/>
      <c r="KZT114" s="395"/>
      <c r="KZU114" s="395"/>
      <c r="KZV114" s="395"/>
      <c r="KZW114" s="395"/>
      <c r="KZX114" s="395"/>
      <c r="KZY114" s="395"/>
      <c r="KZZ114" s="395"/>
      <c r="LAA114" s="395"/>
      <c r="LAB114" s="395"/>
      <c r="LAC114" s="395"/>
      <c r="LAD114" s="395"/>
      <c r="LAE114" s="395"/>
      <c r="LAF114" s="395"/>
      <c r="LAG114" s="395"/>
      <c r="LAH114" s="395"/>
      <c r="LAI114" s="395"/>
      <c r="LAJ114" s="395"/>
      <c r="LAK114" s="395"/>
      <c r="LAL114" s="395"/>
      <c r="LAM114" s="395"/>
      <c r="LAN114" s="395"/>
      <c r="LAO114" s="395"/>
      <c r="LAP114" s="396"/>
      <c r="LAQ114" s="394"/>
      <c r="LAR114" s="395"/>
      <c r="LAS114" s="395"/>
      <c r="LAT114" s="395"/>
      <c r="LAU114" s="395"/>
      <c r="LAV114" s="395"/>
      <c r="LAW114" s="395"/>
      <c r="LAX114" s="395"/>
      <c r="LAY114" s="395"/>
      <c r="LAZ114" s="395"/>
      <c r="LBA114" s="395"/>
      <c r="LBB114" s="395"/>
      <c r="LBC114" s="395"/>
      <c r="LBD114" s="395"/>
      <c r="LBE114" s="395"/>
      <c r="LBF114" s="395"/>
      <c r="LBG114" s="395"/>
      <c r="LBH114" s="395"/>
      <c r="LBI114" s="395"/>
      <c r="LBJ114" s="395"/>
      <c r="LBK114" s="395"/>
      <c r="LBL114" s="395"/>
      <c r="LBM114" s="395"/>
      <c r="LBN114" s="395"/>
      <c r="LBO114" s="395"/>
      <c r="LBP114" s="395"/>
      <c r="LBQ114" s="396"/>
      <c r="LBR114" s="394"/>
      <c r="LBS114" s="395"/>
      <c r="LBT114" s="395"/>
      <c r="LBU114" s="395"/>
      <c r="LBV114" s="395"/>
      <c r="LBW114" s="395"/>
      <c r="LBX114" s="395"/>
      <c r="LBY114" s="395"/>
      <c r="LBZ114" s="395"/>
      <c r="LCA114" s="395"/>
      <c r="LCB114" s="395"/>
      <c r="LCC114" s="395"/>
      <c r="LCD114" s="395"/>
      <c r="LCE114" s="395"/>
      <c r="LCF114" s="395"/>
      <c r="LCG114" s="395"/>
      <c r="LCH114" s="395"/>
      <c r="LCI114" s="395"/>
      <c r="LCJ114" s="395"/>
      <c r="LCK114" s="395"/>
      <c r="LCL114" s="395"/>
      <c r="LCM114" s="395"/>
      <c r="LCN114" s="395"/>
      <c r="LCO114" s="395"/>
      <c r="LCP114" s="395"/>
      <c r="LCQ114" s="395"/>
      <c r="LCR114" s="396"/>
      <c r="LCS114" s="394"/>
      <c r="LCT114" s="395"/>
      <c r="LCU114" s="395"/>
      <c r="LCV114" s="395"/>
      <c r="LCW114" s="395"/>
      <c r="LCX114" s="395"/>
      <c r="LCY114" s="395"/>
      <c r="LCZ114" s="395"/>
      <c r="LDA114" s="395"/>
      <c r="LDB114" s="395"/>
      <c r="LDC114" s="395"/>
      <c r="LDD114" s="395"/>
      <c r="LDE114" s="395"/>
      <c r="LDF114" s="395"/>
      <c r="LDG114" s="395"/>
      <c r="LDH114" s="395"/>
      <c r="LDI114" s="395"/>
      <c r="LDJ114" s="395"/>
      <c r="LDK114" s="395"/>
      <c r="LDL114" s="395"/>
      <c r="LDM114" s="395"/>
      <c r="LDN114" s="395"/>
      <c r="LDO114" s="395"/>
      <c r="LDP114" s="395"/>
      <c r="LDQ114" s="395"/>
      <c r="LDR114" s="395"/>
      <c r="LDS114" s="396"/>
      <c r="LDT114" s="394"/>
      <c r="LDU114" s="395"/>
      <c r="LDV114" s="395"/>
      <c r="LDW114" s="395"/>
      <c r="LDX114" s="395"/>
      <c r="LDY114" s="395"/>
      <c r="LDZ114" s="395"/>
      <c r="LEA114" s="395"/>
      <c r="LEB114" s="395"/>
      <c r="LEC114" s="395"/>
      <c r="LED114" s="395"/>
      <c r="LEE114" s="395"/>
      <c r="LEF114" s="395"/>
      <c r="LEG114" s="395"/>
      <c r="LEH114" s="395"/>
      <c r="LEI114" s="395"/>
      <c r="LEJ114" s="395"/>
      <c r="LEK114" s="395"/>
      <c r="LEL114" s="395"/>
      <c r="LEM114" s="395"/>
      <c r="LEN114" s="395"/>
      <c r="LEO114" s="395"/>
      <c r="LEP114" s="395"/>
      <c r="LEQ114" s="395"/>
      <c r="LER114" s="395"/>
      <c r="LES114" s="395"/>
      <c r="LET114" s="396"/>
      <c r="LEU114" s="394"/>
      <c r="LEV114" s="395"/>
      <c r="LEW114" s="395"/>
      <c r="LEX114" s="395"/>
      <c r="LEY114" s="395"/>
      <c r="LEZ114" s="395"/>
      <c r="LFA114" s="395"/>
      <c r="LFB114" s="395"/>
      <c r="LFC114" s="395"/>
      <c r="LFD114" s="395"/>
      <c r="LFE114" s="395"/>
      <c r="LFF114" s="395"/>
      <c r="LFG114" s="395"/>
      <c r="LFH114" s="395"/>
      <c r="LFI114" s="395"/>
      <c r="LFJ114" s="395"/>
      <c r="LFK114" s="395"/>
      <c r="LFL114" s="395"/>
      <c r="LFM114" s="395"/>
      <c r="LFN114" s="395"/>
      <c r="LFO114" s="395"/>
      <c r="LFP114" s="395"/>
      <c r="LFQ114" s="395"/>
      <c r="LFR114" s="395"/>
      <c r="LFS114" s="395"/>
      <c r="LFT114" s="395"/>
      <c r="LFU114" s="396"/>
      <c r="LFV114" s="394"/>
      <c r="LFW114" s="395"/>
      <c r="LFX114" s="395"/>
      <c r="LFY114" s="395"/>
      <c r="LFZ114" s="395"/>
      <c r="LGA114" s="395"/>
      <c r="LGB114" s="395"/>
      <c r="LGC114" s="395"/>
      <c r="LGD114" s="395"/>
      <c r="LGE114" s="395"/>
      <c r="LGF114" s="395"/>
      <c r="LGG114" s="395"/>
      <c r="LGH114" s="395"/>
      <c r="LGI114" s="395"/>
      <c r="LGJ114" s="395"/>
      <c r="LGK114" s="395"/>
      <c r="LGL114" s="395"/>
      <c r="LGM114" s="395"/>
      <c r="LGN114" s="395"/>
      <c r="LGO114" s="395"/>
      <c r="LGP114" s="395"/>
      <c r="LGQ114" s="395"/>
      <c r="LGR114" s="395"/>
      <c r="LGS114" s="395"/>
      <c r="LGT114" s="395"/>
      <c r="LGU114" s="395"/>
      <c r="LGV114" s="396"/>
      <c r="LGW114" s="394"/>
      <c r="LGX114" s="395"/>
      <c r="LGY114" s="395"/>
      <c r="LGZ114" s="395"/>
      <c r="LHA114" s="395"/>
      <c r="LHB114" s="395"/>
      <c r="LHC114" s="395"/>
      <c r="LHD114" s="395"/>
      <c r="LHE114" s="395"/>
      <c r="LHF114" s="395"/>
      <c r="LHG114" s="395"/>
      <c r="LHH114" s="395"/>
      <c r="LHI114" s="395"/>
      <c r="LHJ114" s="395"/>
      <c r="LHK114" s="395"/>
      <c r="LHL114" s="395"/>
      <c r="LHM114" s="395"/>
      <c r="LHN114" s="395"/>
      <c r="LHO114" s="395"/>
      <c r="LHP114" s="395"/>
      <c r="LHQ114" s="395"/>
      <c r="LHR114" s="395"/>
      <c r="LHS114" s="395"/>
      <c r="LHT114" s="395"/>
      <c r="LHU114" s="395"/>
      <c r="LHV114" s="395"/>
      <c r="LHW114" s="396"/>
      <c r="LHX114" s="394"/>
      <c r="LHY114" s="395"/>
      <c r="LHZ114" s="395"/>
      <c r="LIA114" s="395"/>
      <c r="LIB114" s="395"/>
      <c r="LIC114" s="395"/>
      <c r="LID114" s="395"/>
      <c r="LIE114" s="395"/>
      <c r="LIF114" s="395"/>
      <c r="LIG114" s="395"/>
      <c r="LIH114" s="395"/>
      <c r="LII114" s="395"/>
      <c r="LIJ114" s="395"/>
      <c r="LIK114" s="395"/>
      <c r="LIL114" s="395"/>
      <c r="LIM114" s="395"/>
      <c r="LIN114" s="395"/>
      <c r="LIO114" s="395"/>
      <c r="LIP114" s="395"/>
      <c r="LIQ114" s="395"/>
      <c r="LIR114" s="395"/>
      <c r="LIS114" s="395"/>
      <c r="LIT114" s="395"/>
      <c r="LIU114" s="395"/>
      <c r="LIV114" s="395"/>
      <c r="LIW114" s="395"/>
      <c r="LIX114" s="396"/>
      <c r="LIY114" s="394"/>
      <c r="LIZ114" s="395"/>
      <c r="LJA114" s="395"/>
      <c r="LJB114" s="395"/>
      <c r="LJC114" s="395"/>
      <c r="LJD114" s="395"/>
      <c r="LJE114" s="395"/>
      <c r="LJF114" s="395"/>
      <c r="LJG114" s="395"/>
      <c r="LJH114" s="395"/>
      <c r="LJI114" s="395"/>
      <c r="LJJ114" s="395"/>
      <c r="LJK114" s="395"/>
      <c r="LJL114" s="395"/>
      <c r="LJM114" s="395"/>
      <c r="LJN114" s="395"/>
      <c r="LJO114" s="395"/>
      <c r="LJP114" s="395"/>
      <c r="LJQ114" s="395"/>
      <c r="LJR114" s="395"/>
      <c r="LJS114" s="395"/>
      <c r="LJT114" s="395"/>
      <c r="LJU114" s="395"/>
      <c r="LJV114" s="395"/>
      <c r="LJW114" s="395"/>
      <c r="LJX114" s="395"/>
      <c r="LJY114" s="396"/>
      <c r="LJZ114" s="394"/>
      <c r="LKA114" s="395"/>
      <c r="LKB114" s="395"/>
      <c r="LKC114" s="395"/>
      <c r="LKD114" s="395"/>
      <c r="LKE114" s="395"/>
      <c r="LKF114" s="395"/>
      <c r="LKG114" s="395"/>
      <c r="LKH114" s="395"/>
      <c r="LKI114" s="395"/>
      <c r="LKJ114" s="395"/>
      <c r="LKK114" s="395"/>
      <c r="LKL114" s="395"/>
      <c r="LKM114" s="395"/>
      <c r="LKN114" s="395"/>
      <c r="LKO114" s="395"/>
      <c r="LKP114" s="395"/>
      <c r="LKQ114" s="395"/>
      <c r="LKR114" s="395"/>
      <c r="LKS114" s="395"/>
      <c r="LKT114" s="395"/>
      <c r="LKU114" s="395"/>
      <c r="LKV114" s="395"/>
      <c r="LKW114" s="395"/>
      <c r="LKX114" s="395"/>
      <c r="LKY114" s="395"/>
      <c r="LKZ114" s="396"/>
      <c r="LLA114" s="394"/>
      <c r="LLB114" s="395"/>
      <c r="LLC114" s="395"/>
      <c r="LLD114" s="395"/>
      <c r="LLE114" s="395"/>
      <c r="LLF114" s="395"/>
      <c r="LLG114" s="395"/>
      <c r="LLH114" s="395"/>
      <c r="LLI114" s="395"/>
      <c r="LLJ114" s="395"/>
      <c r="LLK114" s="395"/>
      <c r="LLL114" s="395"/>
      <c r="LLM114" s="395"/>
      <c r="LLN114" s="395"/>
      <c r="LLO114" s="395"/>
      <c r="LLP114" s="395"/>
      <c r="LLQ114" s="395"/>
      <c r="LLR114" s="395"/>
      <c r="LLS114" s="395"/>
      <c r="LLT114" s="395"/>
      <c r="LLU114" s="395"/>
      <c r="LLV114" s="395"/>
      <c r="LLW114" s="395"/>
      <c r="LLX114" s="395"/>
      <c r="LLY114" s="395"/>
      <c r="LLZ114" s="395"/>
      <c r="LMA114" s="396"/>
      <c r="LMB114" s="394"/>
      <c r="LMC114" s="395"/>
      <c r="LMD114" s="395"/>
      <c r="LME114" s="395"/>
      <c r="LMF114" s="395"/>
      <c r="LMG114" s="395"/>
      <c r="LMH114" s="395"/>
      <c r="LMI114" s="395"/>
      <c r="LMJ114" s="395"/>
      <c r="LMK114" s="395"/>
      <c r="LML114" s="395"/>
      <c r="LMM114" s="395"/>
      <c r="LMN114" s="395"/>
      <c r="LMO114" s="395"/>
      <c r="LMP114" s="395"/>
      <c r="LMQ114" s="395"/>
      <c r="LMR114" s="395"/>
      <c r="LMS114" s="395"/>
      <c r="LMT114" s="395"/>
      <c r="LMU114" s="395"/>
      <c r="LMV114" s="395"/>
      <c r="LMW114" s="395"/>
      <c r="LMX114" s="395"/>
      <c r="LMY114" s="395"/>
      <c r="LMZ114" s="395"/>
      <c r="LNA114" s="395"/>
      <c r="LNB114" s="396"/>
      <c r="LNC114" s="394"/>
      <c r="LND114" s="395"/>
      <c r="LNE114" s="395"/>
      <c r="LNF114" s="395"/>
      <c r="LNG114" s="395"/>
      <c r="LNH114" s="395"/>
      <c r="LNI114" s="395"/>
      <c r="LNJ114" s="395"/>
      <c r="LNK114" s="395"/>
      <c r="LNL114" s="395"/>
      <c r="LNM114" s="395"/>
      <c r="LNN114" s="395"/>
      <c r="LNO114" s="395"/>
      <c r="LNP114" s="395"/>
      <c r="LNQ114" s="395"/>
      <c r="LNR114" s="395"/>
      <c r="LNS114" s="395"/>
      <c r="LNT114" s="395"/>
      <c r="LNU114" s="395"/>
      <c r="LNV114" s="395"/>
      <c r="LNW114" s="395"/>
      <c r="LNX114" s="395"/>
      <c r="LNY114" s="395"/>
      <c r="LNZ114" s="395"/>
      <c r="LOA114" s="395"/>
      <c r="LOB114" s="395"/>
      <c r="LOC114" s="396"/>
      <c r="LOD114" s="394"/>
      <c r="LOE114" s="395"/>
      <c r="LOF114" s="395"/>
      <c r="LOG114" s="395"/>
      <c r="LOH114" s="395"/>
      <c r="LOI114" s="395"/>
      <c r="LOJ114" s="395"/>
      <c r="LOK114" s="395"/>
      <c r="LOL114" s="395"/>
      <c r="LOM114" s="395"/>
      <c r="LON114" s="395"/>
      <c r="LOO114" s="395"/>
      <c r="LOP114" s="395"/>
      <c r="LOQ114" s="395"/>
      <c r="LOR114" s="395"/>
      <c r="LOS114" s="395"/>
      <c r="LOT114" s="395"/>
      <c r="LOU114" s="395"/>
      <c r="LOV114" s="395"/>
      <c r="LOW114" s="395"/>
      <c r="LOX114" s="395"/>
      <c r="LOY114" s="395"/>
      <c r="LOZ114" s="395"/>
      <c r="LPA114" s="395"/>
      <c r="LPB114" s="395"/>
      <c r="LPC114" s="395"/>
      <c r="LPD114" s="396"/>
      <c r="LPE114" s="394"/>
      <c r="LPF114" s="395"/>
      <c r="LPG114" s="395"/>
      <c r="LPH114" s="395"/>
      <c r="LPI114" s="395"/>
      <c r="LPJ114" s="395"/>
      <c r="LPK114" s="395"/>
      <c r="LPL114" s="395"/>
      <c r="LPM114" s="395"/>
      <c r="LPN114" s="395"/>
      <c r="LPO114" s="395"/>
      <c r="LPP114" s="395"/>
      <c r="LPQ114" s="395"/>
      <c r="LPR114" s="395"/>
      <c r="LPS114" s="395"/>
      <c r="LPT114" s="395"/>
      <c r="LPU114" s="395"/>
      <c r="LPV114" s="395"/>
      <c r="LPW114" s="395"/>
      <c r="LPX114" s="395"/>
      <c r="LPY114" s="395"/>
      <c r="LPZ114" s="395"/>
      <c r="LQA114" s="395"/>
      <c r="LQB114" s="395"/>
      <c r="LQC114" s="395"/>
      <c r="LQD114" s="395"/>
      <c r="LQE114" s="396"/>
      <c r="LQF114" s="394"/>
      <c r="LQG114" s="395"/>
      <c r="LQH114" s="395"/>
      <c r="LQI114" s="395"/>
      <c r="LQJ114" s="395"/>
      <c r="LQK114" s="395"/>
      <c r="LQL114" s="395"/>
      <c r="LQM114" s="395"/>
      <c r="LQN114" s="395"/>
      <c r="LQO114" s="395"/>
      <c r="LQP114" s="395"/>
      <c r="LQQ114" s="395"/>
      <c r="LQR114" s="395"/>
      <c r="LQS114" s="395"/>
      <c r="LQT114" s="395"/>
      <c r="LQU114" s="395"/>
      <c r="LQV114" s="395"/>
      <c r="LQW114" s="395"/>
      <c r="LQX114" s="395"/>
      <c r="LQY114" s="395"/>
      <c r="LQZ114" s="395"/>
      <c r="LRA114" s="395"/>
      <c r="LRB114" s="395"/>
      <c r="LRC114" s="395"/>
      <c r="LRD114" s="395"/>
      <c r="LRE114" s="395"/>
      <c r="LRF114" s="396"/>
      <c r="LRG114" s="394"/>
      <c r="LRH114" s="395"/>
      <c r="LRI114" s="395"/>
      <c r="LRJ114" s="395"/>
      <c r="LRK114" s="395"/>
      <c r="LRL114" s="395"/>
      <c r="LRM114" s="395"/>
      <c r="LRN114" s="395"/>
      <c r="LRO114" s="395"/>
      <c r="LRP114" s="395"/>
      <c r="LRQ114" s="395"/>
      <c r="LRR114" s="395"/>
      <c r="LRS114" s="395"/>
      <c r="LRT114" s="395"/>
      <c r="LRU114" s="395"/>
      <c r="LRV114" s="395"/>
      <c r="LRW114" s="395"/>
      <c r="LRX114" s="395"/>
      <c r="LRY114" s="395"/>
      <c r="LRZ114" s="395"/>
      <c r="LSA114" s="395"/>
      <c r="LSB114" s="395"/>
      <c r="LSC114" s="395"/>
      <c r="LSD114" s="395"/>
      <c r="LSE114" s="395"/>
      <c r="LSF114" s="395"/>
      <c r="LSG114" s="396"/>
      <c r="LSH114" s="394"/>
      <c r="LSI114" s="395"/>
      <c r="LSJ114" s="395"/>
      <c r="LSK114" s="395"/>
      <c r="LSL114" s="395"/>
      <c r="LSM114" s="395"/>
      <c r="LSN114" s="395"/>
      <c r="LSO114" s="395"/>
      <c r="LSP114" s="395"/>
      <c r="LSQ114" s="395"/>
      <c r="LSR114" s="395"/>
      <c r="LSS114" s="395"/>
      <c r="LST114" s="395"/>
      <c r="LSU114" s="395"/>
      <c r="LSV114" s="395"/>
      <c r="LSW114" s="395"/>
      <c r="LSX114" s="395"/>
      <c r="LSY114" s="395"/>
      <c r="LSZ114" s="395"/>
      <c r="LTA114" s="395"/>
      <c r="LTB114" s="395"/>
      <c r="LTC114" s="395"/>
      <c r="LTD114" s="395"/>
      <c r="LTE114" s="395"/>
      <c r="LTF114" s="395"/>
      <c r="LTG114" s="395"/>
      <c r="LTH114" s="396"/>
      <c r="LTI114" s="394"/>
      <c r="LTJ114" s="395"/>
      <c r="LTK114" s="395"/>
      <c r="LTL114" s="395"/>
      <c r="LTM114" s="395"/>
      <c r="LTN114" s="395"/>
      <c r="LTO114" s="395"/>
      <c r="LTP114" s="395"/>
      <c r="LTQ114" s="395"/>
      <c r="LTR114" s="395"/>
      <c r="LTS114" s="395"/>
      <c r="LTT114" s="395"/>
      <c r="LTU114" s="395"/>
      <c r="LTV114" s="395"/>
      <c r="LTW114" s="395"/>
      <c r="LTX114" s="395"/>
      <c r="LTY114" s="395"/>
      <c r="LTZ114" s="395"/>
      <c r="LUA114" s="395"/>
      <c r="LUB114" s="395"/>
      <c r="LUC114" s="395"/>
      <c r="LUD114" s="395"/>
      <c r="LUE114" s="395"/>
      <c r="LUF114" s="395"/>
      <c r="LUG114" s="395"/>
      <c r="LUH114" s="395"/>
      <c r="LUI114" s="396"/>
      <c r="LUJ114" s="394"/>
      <c r="LUK114" s="395"/>
      <c r="LUL114" s="395"/>
      <c r="LUM114" s="395"/>
      <c r="LUN114" s="395"/>
      <c r="LUO114" s="395"/>
      <c r="LUP114" s="395"/>
      <c r="LUQ114" s="395"/>
      <c r="LUR114" s="395"/>
      <c r="LUS114" s="395"/>
      <c r="LUT114" s="395"/>
      <c r="LUU114" s="395"/>
      <c r="LUV114" s="395"/>
      <c r="LUW114" s="395"/>
      <c r="LUX114" s="395"/>
      <c r="LUY114" s="395"/>
      <c r="LUZ114" s="395"/>
      <c r="LVA114" s="395"/>
      <c r="LVB114" s="395"/>
      <c r="LVC114" s="395"/>
      <c r="LVD114" s="395"/>
      <c r="LVE114" s="395"/>
      <c r="LVF114" s="395"/>
      <c r="LVG114" s="395"/>
      <c r="LVH114" s="395"/>
      <c r="LVI114" s="395"/>
      <c r="LVJ114" s="396"/>
      <c r="LVK114" s="394"/>
      <c r="LVL114" s="395"/>
      <c r="LVM114" s="395"/>
      <c r="LVN114" s="395"/>
      <c r="LVO114" s="395"/>
      <c r="LVP114" s="395"/>
      <c r="LVQ114" s="395"/>
      <c r="LVR114" s="395"/>
      <c r="LVS114" s="395"/>
      <c r="LVT114" s="395"/>
      <c r="LVU114" s="395"/>
      <c r="LVV114" s="395"/>
      <c r="LVW114" s="395"/>
      <c r="LVX114" s="395"/>
      <c r="LVY114" s="395"/>
      <c r="LVZ114" s="395"/>
      <c r="LWA114" s="395"/>
      <c r="LWB114" s="395"/>
      <c r="LWC114" s="395"/>
      <c r="LWD114" s="395"/>
      <c r="LWE114" s="395"/>
      <c r="LWF114" s="395"/>
      <c r="LWG114" s="395"/>
      <c r="LWH114" s="395"/>
      <c r="LWI114" s="395"/>
      <c r="LWJ114" s="395"/>
      <c r="LWK114" s="396"/>
      <c r="LWL114" s="394"/>
      <c r="LWM114" s="395"/>
      <c r="LWN114" s="395"/>
      <c r="LWO114" s="395"/>
      <c r="LWP114" s="395"/>
      <c r="LWQ114" s="395"/>
      <c r="LWR114" s="395"/>
      <c r="LWS114" s="395"/>
      <c r="LWT114" s="395"/>
      <c r="LWU114" s="395"/>
      <c r="LWV114" s="395"/>
      <c r="LWW114" s="395"/>
      <c r="LWX114" s="395"/>
      <c r="LWY114" s="395"/>
      <c r="LWZ114" s="395"/>
      <c r="LXA114" s="395"/>
      <c r="LXB114" s="395"/>
      <c r="LXC114" s="395"/>
      <c r="LXD114" s="395"/>
      <c r="LXE114" s="395"/>
      <c r="LXF114" s="395"/>
      <c r="LXG114" s="395"/>
      <c r="LXH114" s="395"/>
      <c r="LXI114" s="395"/>
      <c r="LXJ114" s="395"/>
      <c r="LXK114" s="395"/>
      <c r="LXL114" s="396"/>
      <c r="LXM114" s="394"/>
      <c r="LXN114" s="395"/>
      <c r="LXO114" s="395"/>
      <c r="LXP114" s="395"/>
      <c r="LXQ114" s="395"/>
      <c r="LXR114" s="395"/>
      <c r="LXS114" s="395"/>
      <c r="LXT114" s="395"/>
      <c r="LXU114" s="395"/>
      <c r="LXV114" s="395"/>
      <c r="LXW114" s="395"/>
      <c r="LXX114" s="395"/>
      <c r="LXY114" s="395"/>
      <c r="LXZ114" s="395"/>
      <c r="LYA114" s="395"/>
      <c r="LYB114" s="395"/>
      <c r="LYC114" s="395"/>
      <c r="LYD114" s="395"/>
      <c r="LYE114" s="395"/>
      <c r="LYF114" s="395"/>
      <c r="LYG114" s="395"/>
      <c r="LYH114" s="395"/>
      <c r="LYI114" s="395"/>
      <c r="LYJ114" s="395"/>
      <c r="LYK114" s="395"/>
      <c r="LYL114" s="395"/>
      <c r="LYM114" s="396"/>
      <c r="LYN114" s="394"/>
      <c r="LYO114" s="395"/>
      <c r="LYP114" s="395"/>
      <c r="LYQ114" s="395"/>
      <c r="LYR114" s="395"/>
      <c r="LYS114" s="395"/>
      <c r="LYT114" s="395"/>
      <c r="LYU114" s="395"/>
      <c r="LYV114" s="395"/>
      <c r="LYW114" s="395"/>
      <c r="LYX114" s="395"/>
      <c r="LYY114" s="395"/>
      <c r="LYZ114" s="395"/>
      <c r="LZA114" s="395"/>
      <c r="LZB114" s="395"/>
      <c r="LZC114" s="395"/>
      <c r="LZD114" s="395"/>
      <c r="LZE114" s="395"/>
      <c r="LZF114" s="395"/>
      <c r="LZG114" s="395"/>
      <c r="LZH114" s="395"/>
      <c r="LZI114" s="395"/>
      <c r="LZJ114" s="395"/>
      <c r="LZK114" s="395"/>
      <c r="LZL114" s="395"/>
      <c r="LZM114" s="395"/>
      <c r="LZN114" s="396"/>
      <c r="LZO114" s="394"/>
      <c r="LZP114" s="395"/>
      <c r="LZQ114" s="395"/>
      <c r="LZR114" s="395"/>
      <c r="LZS114" s="395"/>
      <c r="LZT114" s="395"/>
      <c r="LZU114" s="395"/>
      <c r="LZV114" s="395"/>
      <c r="LZW114" s="395"/>
      <c r="LZX114" s="395"/>
      <c r="LZY114" s="395"/>
      <c r="LZZ114" s="395"/>
      <c r="MAA114" s="395"/>
      <c r="MAB114" s="395"/>
      <c r="MAC114" s="395"/>
      <c r="MAD114" s="395"/>
      <c r="MAE114" s="395"/>
      <c r="MAF114" s="395"/>
      <c r="MAG114" s="395"/>
      <c r="MAH114" s="395"/>
      <c r="MAI114" s="395"/>
      <c r="MAJ114" s="395"/>
      <c r="MAK114" s="395"/>
      <c r="MAL114" s="395"/>
      <c r="MAM114" s="395"/>
      <c r="MAN114" s="395"/>
      <c r="MAO114" s="396"/>
      <c r="MAP114" s="394"/>
      <c r="MAQ114" s="395"/>
      <c r="MAR114" s="395"/>
      <c r="MAS114" s="395"/>
      <c r="MAT114" s="395"/>
      <c r="MAU114" s="395"/>
      <c r="MAV114" s="395"/>
      <c r="MAW114" s="395"/>
      <c r="MAX114" s="395"/>
      <c r="MAY114" s="395"/>
      <c r="MAZ114" s="395"/>
      <c r="MBA114" s="395"/>
      <c r="MBB114" s="395"/>
      <c r="MBC114" s="395"/>
      <c r="MBD114" s="395"/>
      <c r="MBE114" s="395"/>
      <c r="MBF114" s="395"/>
      <c r="MBG114" s="395"/>
      <c r="MBH114" s="395"/>
      <c r="MBI114" s="395"/>
      <c r="MBJ114" s="395"/>
      <c r="MBK114" s="395"/>
      <c r="MBL114" s="395"/>
      <c r="MBM114" s="395"/>
      <c r="MBN114" s="395"/>
      <c r="MBO114" s="395"/>
      <c r="MBP114" s="396"/>
      <c r="MBQ114" s="394"/>
      <c r="MBR114" s="395"/>
      <c r="MBS114" s="395"/>
      <c r="MBT114" s="395"/>
      <c r="MBU114" s="395"/>
      <c r="MBV114" s="395"/>
      <c r="MBW114" s="395"/>
      <c r="MBX114" s="395"/>
      <c r="MBY114" s="395"/>
      <c r="MBZ114" s="395"/>
      <c r="MCA114" s="395"/>
      <c r="MCB114" s="395"/>
      <c r="MCC114" s="395"/>
      <c r="MCD114" s="395"/>
      <c r="MCE114" s="395"/>
      <c r="MCF114" s="395"/>
      <c r="MCG114" s="395"/>
      <c r="MCH114" s="395"/>
      <c r="MCI114" s="395"/>
      <c r="MCJ114" s="395"/>
      <c r="MCK114" s="395"/>
      <c r="MCL114" s="395"/>
      <c r="MCM114" s="395"/>
      <c r="MCN114" s="395"/>
      <c r="MCO114" s="395"/>
      <c r="MCP114" s="395"/>
      <c r="MCQ114" s="396"/>
      <c r="MCR114" s="394"/>
      <c r="MCS114" s="395"/>
      <c r="MCT114" s="395"/>
      <c r="MCU114" s="395"/>
      <c r="MCV114" s="395"/>
      <c r="MCW114" s="395"/>
      <c r="MCX114" s="395"/>
      <c r="MCY114" s="395"/>
      <c r="MCZ114" s="395"/>
      <c r="MDA114" s="395"/>
      <c r="MDB114" s="395"/>
      <c r="MDC114" s="395"/>
      <c r="MDD114" s="395"/>
      <c r="MDE114" s="395"/>
      <c r="MDF114" s="395"/>
      <c r="MDG114" s="395"/>
      <c r="MDH114" s="395"/>
      <c r="MDI114" s="395"/>
      <c r="MDJ114" s="395"/>
      <c r="MDK114" s="395"/>
      <c r="MDL114" s="395"/>
      <c r="MDM114" s="395"/>
      <c r="MDN114" s="395"/>
      <c r="MDO114" s="395"/>
      <c r="MDP114" s="395"/>
      <c r="MDQ114" s="395"/>
      <c r="MDR114" s="396"/>
      <c r="MDS114" s="394"/>
      <c r="MDT114" s="395"/>
      <c r="MDU114" s="395"/>
      <c r="MDV114" s="395"/>
      <c r="MDW114" s="395"/>
      <c r="MDX114" s="395"/>
      <c r="MDY114" s="395"/>
      <c r="MDZ114" s="395"/>
      <c r="MEA114" s="395"/>
      <c r="MEB114" s="395"/>
      <c r="MEC114" s="395"/>
      <c r="MED114" s="395"/>
      <c r="MEE114" s="395"/>
      <c r="MEF114" s="395"/>
      <c r="MEG114" s="395"/>
      <c r="MEH114" s="395"/>
      <c r="MEI114" s="395"/>
      <c r="MEJ114" s="395"/>
      <c r="MEK114" s="395"/>
      <c r="MEL114" s="395"/>
      <c r="MEM114" s="395"/>
      <c r="MEN114" s="395"/>
      <c r="MEO114" s="395"/>
      <c r="MEP114" s="395"/>
      <c r="MEQ114" s="395"/>
      <c r="MER114" s="395"/>
      <c r="MES114" s="396"/>
      <c r="MET114" s="394"/>
      <c r="MEU114" s="395"/>
      <c r="MEV114" s="395"/>
      <c r="MEW114" s="395"/>
      <c r="MEX114" s="395"/>
      <c r="MEY114" s="395"/>
      <c r="MEZ114" s="395"/>
      <c r="MFA114" s="395"/>
      <c r="MFB114" s="395"/>
      <c r="MFC114" s="395"/>
      <c r="MFD114" s="395"/>
      <c r="MFE114" s="395"/>
      <c r="MFF114" s="395"/>
      <c r="MFG114" s="395"/>
      <c r="MFH114" s="395"/>
      <c r="MFI114" s="395"/>
      <c r="MFJ114" s="395"/>
      <c r="MFK114" s="395"/>
      <c r="MFL114" s="395"/>
      <c r="MFM114" s="395"/>
      <c r="MFN114" s="395"/>
      <c r="MFO114" s="395"/>
      <c r="MFP114" s="395"/>
      <c r="MFQ114" s="395"/>
      <c r="MFR114" s="395"/>
      <c r="MFS114" s="395"/>
      <c r="MFT114" s="396"/>
      <c r="MFU114" s="394"/>
      <c r="MFV114" s="395"/>
      <c r="MFW114" s="395"/>
      <c r="MFX114" s="395"/>
      <c r="MFY114" s="395"/>
      <c r="MFZ114" s="395"/>
      <c r="MGA114" s="395"/>
      <c r="MGB114" s="395"/>
      <c r="MGC114" s="395"/>
      <c r="MGD114" s="395"/>
      <c r="MGE114" s="395"/>
      <c r="MGF114" s="395"/>
      <c r="MGG114" s="395"/>
      <c r="MGH114" s="395"/>
      <c r="MGI114" s="395"/>
      <c r="MGJ114" s="395"/>
      <c r="MGK114" s="395"/>
      <c r="MGL114" s="395"/>
      <c r="MGM114" s="395"/>
      <c r="MGN114" s="395"/>
      <c r="MGO114" s="395"/>
      <c r="MGP114" s="395"/>
      <c r="MGQ114" s="395"/>
      <c r="MGR114" s="395"/>
      <c r="MGS114" s="395"/>
      <c r="MGT114" s="395"/>
      <c r="MGU114" s="396"/>
      <c r="MGV114" s="394"/>
      <c r="MGW114" s="395"/>
      <c r="MGX114" s="395"/>
      <c r="MGY114" s="395"/>
      <c r="MGZ114" s="395"/>
      <c r="MHA114" s="395"/>
      <c r="MHB114" s="395"/>
      <c r="MHC114" s="395"/>
      <c r="MHD114" s="395"/>
      <c r="MHE114" s="395"/>
      <c r="MHF114" s="395"/>
      <c r="MHG114" s="395"/>
      <c r="MHH114" s="395"/>
      <c r="MHI114" s="395"/>
      <c r="MHJ114" s="395"/>
      <c r="MHK114" s="395"/>
      <c r="MHL114" s="395"/>
      <c r="MHM114" s="395"/>
      <c r="MHN114" s="395"/>
      <c r="MHO114" s="395"/>
      <c r="MHP114" s="395"/>
      <c r="MHQ114" s="395"/>
      <c r="MHR114" s="395"/>
      <c r="MHS114" s="395"/>
      <c r="MHT114" s="395"/>
      <c r="MHU114" s="395"/>
      <c r="MHV114" s="396"/>
      <c r="MHW114" s="394"/>
      <c r="MHX114" s="395"/>
      <c r="MHY114" s="395"/>
      <c r="MHZ114" s="395"/>
      <c r="MIA114" s="395"/>
      <c r="MIB114" s="395"/>
      <c r="MIC114" s="395"/>
      <c r="MID114" s="395"/>
      <c r="MIE114" s="395"/>
      <c r="MIF114" s="395"/>
      <c r="MIG114" s="395"/>
      <c r="MIH114" s="395"/>
      <c r="MII114" s="395"/>
      <c r="MIJ114" s="395"/>
      <c r="MIK114" s="395"/>
      <c r="MIL114" s="395"/>
      <c r="MIM114" s="395"/>
      <c r="MIN114" s="395"/>
      <c r="MIO114" s="395"/>
      <c r="MIP114" s="395"/>
      <c r="MIQ114" s="395"/>
      <c r="MIR114" s="395"/>
      <c r="MIS114" s="395"/>
      <c r="MIT114" s="395"/>
      <c r="MIU114" s="395"/>
      <c r="MIV114" s="395"/>
      <c r="MIW114" s="396"/>
      <c r="MIX114" s="394"/>
      <c r="MIY114" s="395"/>
      <c r="MIZ114" s="395"/>
      <c r="MJA114" s="395"/>
      <c r="MJB114" s="395"/>
      <c r="MJC114" s="395"/>
      <c r="MJD114" s="395"/>
      <c r="MJE114" s="395"/>
      <c r="MJF114" s="395"/>
      <c r="MJG114" s="395"/>
      <c r="MJH114" s="395"/>
      <c r="MJI114" s="395"/>
      <c r="MJJ114" s="395"/>
      <c r="MJK114" s="395"/>
      <c r="MJL114" s="395"/>
      <c r="MJM114" s="395"/>
      <c r="MJN114" s="395"/>
      <c r="MJO114" s="395"/>
      <c r="MJP114" s="395"/>
      <c r="MJQ114" s="395"/>
      <c r="MJR114" s="395"/>
      <c r="MJS114" s="395"/>
      <c r="MJT114" s="395"/>
      <c r="MJU114" s="395"/>
      <c r="MJV114" s="395"/>
      <c r="MJW114" s="395"/>
      <c r="MJX114" s="396"/>
      <c r="MJY114" s="394"/>
      <c r="MJZ114" s="395"/>
      <c r="MKA114" s="395"/>
      <c r="MKB114" s="395"/>
      <c r="MKC114" s="395"/>
      <c r="MKD114" s="395"/>
      <c r="MKE114" s="395"/>
      <c r="MKF114" s="395"/>
      <c r="MKG114" s="395"/>
      <c r="MKH114" s="395"/>
      <c r="MKI114" s="395"/>
      <c r="MKJ114" s="395"/>
      <c r="MKK114" s="395"/>
      <c r="MKL114" s="395"/>
      <c r="MKM114" s="395"/>
      <c r="MKN114" s="395"/>
      <c r="MKO114" s="395"/>
      <c r="MKP114" s="395"/>
      <c r="MKQ114" s="395"/>
      <c r="MKR114" s="395"/>
      <c r="MKS114" s="395"/>
      <c r="MKT114" s="395"/>
      <c r="MKU114" s="395"/>
      <c r="MKV114" s="395"/>
      <c r="MKW114" s="395"/>
      <c r="MKX114" s="395"/>
      <c r="MKY114" s="396"/>
      <c r="MKZ114" s="394"/>
      <c r="MLA114" s="395"/>
      <c r="MLB114" s="395"/>
      <c r="MLC114" s="395"/>
      <c r="MLD114" s="395"/>
      <c r="MLE114" s="395"/>
      <c r="MLF114" s="395"/>
      <c r="MLG114" s="395"/>
      <c r="MLH114" s="395"/>
      <c r="MLI114" s="395"/>
      <c r="MLJ114" s="395"/>
      <c r="MLK114" s="395"/>
      <c r="MLL114" s="395"/>
      <c r="MLM114" s="395"/>
      <c r="MLN114" s="395"/>
      <c r="MLO114" s="395"/>
      <c r="MLP114" s="395"/>
      <c r="MLQ114" s="395"/>
      <c r="MLR114" s="395"/>
      <c r="MLS114" s="395"/>
      <c r="MLT114" s="395"/>
      <c r="MLU114" s="395"/>
      <c r="MLV114" s="395"/>
      <c r="MLW114" s="395"/>
      <c r="MLX114" s="395"/>
      <c r="MLY114" s="395"/>
      <c r="MLZ114" s="396"/>
      <c r="MMA114" s="394"/>
      <c r="MMB114" s="395"/>
      <c r="MMC114" s="395"/>
      <c r="MMD114" s="395"/>
      <c r="MME114" s="395"/>
      <c r="MMF114" s="395"/>
      <c r="MMG114" s="395"/>
      <c r="MMH114" s="395"/>
      <c r="MMI114" s="395"/>
      <c r="MMJ114" s="395"/>
      <c r="MMK114" s="395"/>
      <c r="MML114" s="395"/>
      <c r="MMM114" s="395"/>
      <c r="MMN114" s="395"/>
      <c r="MMO114" s="395"/>
      <c r="MMP114" s="395"/>
      <c r="MMQ114" s="395"/>
      <c r="MMR114" s="395"/>
      <c r="MMS114" s="395"/>
      <c r="MMT114" s="395"/>
      <c r="MMU114" s="395"/>
      <c r="MMV114" s="395"/>
      <c r="MMW114" s="395"/>
      <c r="MMX114" s="395"/>
      <c r="MMY114" s="395"/>
      <c r="MMZ114" s="395"/>
      <c r="MNA114" s="396"/>
      <c r="MNB114" s="394"/>
      <c r="MNC114" s="395"/>
      <c r="MND114" s="395"/>
      <c r="MNE114" s="395"/>
      <c r="MNF114" s="395"/>
      <c r="MNG114" s="395"/>
      <c r="MNH114" s="395"/>
      <c r="MNI114" s="395"/>
      <c r="MNJ114" s="395"/>
      <c r="MNK114" s="395"/>
      <c r="MNL114" s="395"/>
      <c r="MNM114" s="395"/>
      <c r="MNN114" s="395"/>
      <c r="MNO114" s="395"/>
      <c r="MNP114" s="395"/>
      <c r="MNQ114" s="395"/>
      <c r="MNR114" s="395"/>
      <c r="MNS114" s="395"/>
      <c r="MNT114" s="395"/>
      <c r="MNU114" s="395"/>
      <c r="MNV114" s="395"/>
      <c r="MNW114" s="395"/>
      <c r="MNX114" s="395"/>
      <c r="MNY114" s="395"/>
      <c r="MNZ114" s="395"/>
      <c r="MOA114" s="395"/>
      <c r="MOB114" s="396"/>
      <c r="MOC114" s="394"/>
      <c r="MOD114" s="395"/>
      <c r="MOE114" s="395"/>
      <c r="MOF114" s="395"/>
      <c r="MOG114" s="395"/>
      <c r="MOH114" s="395"/>
      <c r="MOI114" s="395"/>
      <c r="MOJ114" s="395"/>
      <c r="MOK114" s="395"/>
      <c r="MOL114" s="395"/>
      <c r="MOM114" s="395"/>
      <c r="MON114" s="395"/>
      <c r="MOO114" s="395"/>
      <c r="MOP114" s="395"/>
      <c r="MOQ114" s="395"/>
      <c r="MOR114" s="395"/>
      <c r="MOS114" s="395"/>
      <c r="MOT114" s="395"/>
      <c r="MOU114" s="395"/>
      <c r="MOV114" s="395"/>
      <c r="MOW114" s="395"/>
      <c r="MOX114" s="395"/>
      <c r="MOY114" s="395"/>
      <c r="MOZ114" s="395"/>
      <c r="MPA114" s="395"/>
      <c r="MPB114" s="395"/>
      <c r="MPC114" s="396"/>
      <c r="MPD114" s="394"/>
      <c r="MPE114" s="395"/>
      <c r="MPF114" s="395"/>
      <c r="MPG114" s="395"/>
      <c r="MPH114" s="395"/>
      <c r="MPI114" s="395"/>
      <c r="MPJ114" s="395"/>
      <c r="MPK114" s="395"/>
      <c r="MPL114" s="395"/>
      <c r="MPM114" s="395"/>
      <c r="MPN114" s="395"/>
      <c r="MPO114" s="395"/>
      <c r="MPP114" s="395"/>
      <c r="MPQ114" s="395"/>
      <c r="MPR114" s="395"/>
      <c r="MPS114" s="395"/>
      <c r="MPT114" s="395"/>
      <c r="MPU114" s="395"/>
      <c r="MPV114" s="395"/>
      <c r="MPW114" s="395"/>
      <c r="MPX114" s="395"/>
      <c r="MPY114" s="395"/>
      <c r="MPZ114" s="395"/>
      <c r="MQA114" s="395"/>
      <c r="MQB114" s="395"/>
      <c r="MQC114" s="395"/>
      <c r="MQD114" s="396"/>
      <c r="MQE114" s="394"/>
      <c r="MQF114" s="395"/>
      <c r="MQG114" s="395"/>
      <c r="MQH114" s="395"/>
      <c r="MQI114" s="395"/>
      <c r="MQJ114" s="395"/>
      <c r="MQK114" s="395"/>
      <c r="MQL114" s="395"/>
      <c r="MQM114" s="395"/>
      <c r="MQN114" s="395"/>
      <c r="MQO114" s="395"/>
      <c r="MQP114" s="395"/>
      <c r="MQQ114" s="395"/>
      <c r="MQR114" s="395"/>
      <c r="MQS114" s="395"/>
      <c r="MQT114" s="395"/>
      <c r="MQU114" s="395"/>
      <c r="MQV114" s="395"/>
      <c r="MQW114" s="395"/>
      <c r="MQX114" s="395"/>
      <c r="MQY114" s="395"/>
      <c r="MQZ114" s="395"/>
      <c r="MRA114" s="395"/>
      <c r="MRB114" s="395"/>
      <c r="MRC114" s="395"/>
      <c r="MRD114" s="395"/>
      <c r="MRE114" s="396"/>
      <c r="MRF114" s="394"/>
      <c r="MRG114" s="395"/>
      <c r="MRH114" s="395"/>
      <c r="MRI114" s="395"/>
      <c r="MRJ114" s="395"/>
      <c r="MRK114" s="395"/>
      <c r="MRL114" s="395"/>
      <c r="MRM114" s="395"/>
      <c r="MRN114" s="395"/>
      <c r="MRO114" s="395"/>
      <c r="MRP114" s="395"/>
      <c r="MRQ114" s="395"/>
      <c r="MRR114" s="395"/>
      <c r="MRS114" s="395"/>
      <c r="MRT114" s="395"/>
      <c r="MRU114" s="395"/>
      <c r="MRV114" s="395"/>
      <c r="MRW114" s="395"/>
      <c r="MRX114" s="395"/>
      <c r="MRY114" s="395"/>
      <c r="MRZ114" s="395"/>
      <c r="MSA114" s="395"/>
      <c r="MSB114" s="395"/>
      <c r="MSC114" s="395"/>
      <c r="MSD114" s="395"/>
      <c r="MSE114" s="395"/>
      <c r="MSF114" s="396"/>
      <c r="MSG114" s="394"/>
      <c r="MSH114" s="395"/>
      <c r="MSI114" s="395"/>
      <c r="MSJ114" s="395"/>
      <c r="MSK114" s="395"/>
      <c r="MSL114" s="395"/>
      <c r="MSM114" s="395"/>
      <c r="MSN114" s="395"/>
      <c r="MSO114" s="395"/>
      <c r="MSP114" s="395"/>
      <c r="MSQ114" s="395"/>
      <c r="MSR114" s="395"/>
      <c r="MSS114" s="395"/>
      <c r="MST114" s="395"/>
      <c r="MSU114" s="395"/>
      <c r="MSV114" s="395"/>
      <c r="MSW114" s="395"/>
      <c r="MSX114" s="395"/>
      <c r="MSY114" s="395"/>
      <c r="MSZ114" s="395"/>
      <c r="MTA114" s="395"/>
      <c r="MTB114" s="395"/>
      <c r="MTC114" s="395"/>
      <c r="MTD114" s="395"/>
      <c r="MTE114" s="395"/>
      <c r="MTF114" s="395"/>
      <c r="MTG114" s="396"/>
      <c r="MTH114" s="394"/>
      <c r="MTI114" s="395"/>
      <c r="MTJ114" s="395"/>
      <c r="MTK114" s="395"/>
      <c r="MTL114" s="395"/>
      <c r="MTM114" s="395"/>
      <c r="MTN114" s="395"/>
      <c r="MTO114" s="395"/>
      <c r="MTP114" s="395"/>
      <c r="MTQ114" s="395"/>
      <c r="MTR114" s="395"/>
      <c r="MTS114" s="395"/>
      <c r="MTT114" s="395"/>
      <c r="MTU114" s="395"/>
      <c r="MTV114" s="395"/>
      <c r="MTW114" s="395"/>
      <c r="MTX114" s="395"/>
      <c r="MTY114" s="395"/>
      <c r="MTZ114" s="395"/>
      <c r="MUA114" s="395"/>
      <c r="MUB114" s="395"/>
      <c r="MUC114" s="395"/>
      <c r="MUD114" s="395"/>
      <c r="MUE114" s="395"/>
      <c r="MUF114" s="395"/>
      <c r="MUG114" s="395"/>
      <c r="MUH114" s="396"/>
      <c r="MUI114" s="394"/>
      <c r="MUJ114" s="395"/>
      <c r="MUK114" s="395"/>
      <c r="MUL114" s="395"/>
      <c r="MUM114" s="395"/>
      <c r="MUN114" s="395"/>
      <c r="MUO114" s="395"/>
      <c r="MUP114" s="395"/>
      <c r="MUQ114" s="395"/>
      <c r="MUR114" s="395"/>
      <c r="MUS114" s="395"/>
      <c r="MUT114" s="395"/>
      <c r="MUU114" s="395"/>
      <c r="MUV114" s="395"/>
      <c r="MUW114" s="395"/>
      <c r="MUX114" s="395"/>
      <c r="MUY114" s="395"/>
      <c r="MUZ114" s="395"/>
      <c r="MVA114" s="395"/>
      <c r="MVB114" s="395"/>
      <c r="MVC114" s="395"/>
      <c r="MVD114" s="395"/>
      <c r="MVE114" s="395"/>
      <c r="MVF114" s="395"/>
      <c r="MVG114" s="395"/>
      <c r="MVH114" s="395"/>
      <c r="MVI114" s="396"/>
      <c r="MVJ114" s="394"/>
      <c r="MVK114" s="395"/>
      <c r="MVL114" s="395"/>
      <c r="MVM114" s="395"/>
      <c r="MVN114" s="395"/>
      <c r="MVO114" s="395"/>
      <c r="MVP114" s="395"/>
      <c r="MVQ114" s="395"/>
      <c r="MVR114" s="395"/>
      <c r="MVS114" s="395"/>
      <c r="MVT114" s="395"/>
      <c r="MVU114" s="395"/>
      <c r="MVV114" s="395"/>
      <c r="MVW114" s="395"/>
      <c r="MVX114" s="395"/>
      <c r="MVY114" s="395"/>
      <c r="MVZ114" s="395"/>
      <c r="MWA114" s="395"/>
      <c r="MWB114" s="395"/>
      <c r="MWC114" s="395"/>
      <c r="MWD114" s="395"/>
      <c r="MWE114" s="395"/>
      <c r="MWF114" s="395"/>
      <c r="MWG114" s="395"/>
      <c r="MWH114" s="395"/>
      <c r="MWI114" s="395"/>
      <c r="MWJ114" s="396"/>
      <c r="MWK114" s="394"/>
      <c r="MWL114" s="395"/>
      <c r="MWM114" s="395"/>
      <c r="MWN114" s="395"/>
      <c r="MWO114" s="395"/>
      <c r="MWP114" s="395"/>
      <c r="MWQ114" s="395"/>
      <c r="MWR114" s="395"/>
      <c r="MWS114" s="395"/>
      <c r="MWT114" s="395"/>
      <c r="MWU114" s="395"/>
      <c r="MWV114" s="395"/>
      <c r="MWW114" s="395"/>
      <c r="MWX114" s="395"/>
      <c r="MWY114" s="395"/>
      <c r="MWZ114" s="395"/>
      <c r="MXA114" s="395"/>
      <c r="MXB114" s="395"/>
      <c r="MXC114" s="395"/>
      <c r="MXD114" s="395"/>
      <c r="MXE114" s="395"/>
      <c r="MXF114" s="395"/>
      <c r="MXG114" s="395"/>
      <c r="MXH114" s="395"/>
      <c r="MXI114" s="395"/>
      <c r="MXJ114" s="395"/>
      <c r="MXK114" s="396"/>
      <c r="MXL114" s="394"/>
      <c r="MXM114" s="395"/>
      <c r="MXN114" s="395"/>
      <c r="MXO114" s="395"/>
      <c r="MXP114" s="395"/>
      <c r="MXQ114" s="395"/>
      <c r="MXR114" s="395"/>
      <c r="MXS114" s="395"/>
      <c r="MXT114" s="395"/>
      <c r="MXU114" s="395"/>
      <c r="MXV114" s="395"/>
      <c r="MXW114" s="395"/>
      <c r="MXX114" s="395"/>
      <c r="MXY114" s="395"/>
      <c r="MXZ114" s="395"/>
      <c r="MYA114" s="395"/>
      <c r="MYB114" s="395"/>
      <c r="MYC114" s="395"/>
      <c r="MYD114" s="395"/>
      <c r="MYE114" s="395"/>
      <c r="MYF114" s="395"/>
      <c r="MYG114" s="395"/>
      <c r="MYH114" s="395"/>
      <c r="MYI114" s="395"/>
      <c r="MYJ114" s="395"/>
      <c r="MYK114" s="395"/>
      <c r="MYL114" s="396"/>
      <c r="MYM114" s="394"/>
      <c r="MYN114" s="395"/>
      <c r="MYO114" s="395"/>
      <c r="MYP114" s="395"/>
      <c r="MYQ114" s="395"/>
      <c r="MYR114" s="395"/>
      <c r="MYS114" s="395"/>
      <c r="MYT114" s="395"/>
      <c r="MYU114" s="395"/>
      <c r="MYV114" s="395"/>
      <c r="MYW114" s="395"/>
      <c r="MYX114" s="395"/>
      <c r="MYY114" s="395"/>
      <c r="MYZ114" s="395"/>
      <c r="MZA114" s="395"/>
      <c r="MZB114" s="395"/>
      <c r="MZC114" s="395"/>
      <c r="MZD114" s="395"/>
      <c r="MZE114" s="395"/>
      <c r="MZF114" s="395"/>
      <c r="MZG114" s="395"/>
      <c r="MZH114" s="395"/>
      <c r="MZI114" s="395"/>
      <c r="MZJ114" s="395"/>
      <c r="MZK114" s="395"/>
      <c r="MZL114" s="395"/>
      <c r="MZM114" s="396"/>
      <c r="MZN114" s="394"/>
      <c r="MZO114" s="395"/>
      <c r="MZP114" s="395"/>
      <c r="MZQ114" s="395"/>
      <c r="MZR114" s="395"/>
      <c r="MZS114" s="395"/>
      <c r="MZT114" s="395"/>
      <c r="MZU114" s="395"/>
      <c r="MZV114" s="395"/>
      <c r="MZW114" s="395"/>
      <c r="MZX114" s="395"/>
      <c r="MZY114" s="395"/>
      <c r="MZZ114" s="395"/>
      <c r="NAA114" s="395"/>
      <c r="NAB114" s="395"/>
      <c r="NAC114" s="395"/>
      <c r="NAD114" s="395"/>
      <c r="NAE114" s="395"/>
      <c r="NAF114" s="395"/>
      <c r="NAG114" s="395"/>
      <c r="NAH114" s="395"/>
      <c r="NAI114" s="395"/>
      <c r="NAJ114" s="395"/>
      <c r="NAK114" s="395"/>
      <c r="NAL114" s="395"/>
      <c r="NAM114" s="395"/>
      <c r="NAN114" s="396"/>
      <c r="NAO114" s="394"/>
      <c r="NAP114" s="395"/>
      <c r="NAQ114" s="395"/>
      <c r="NAR114" s="395"/>
      <c r="NAS114" s="395"/>
      <c r="NAT114" s="395"/>
      <c r="NAU114" s="395"/>
      <c r="NAV114" s="395"/>
      <c r="NAW114" s="395"/>
      <c r="NAX114" s="395"/>
      <c r="NAY114" s="395"/>
      <c r="NAZ114" s="395"/>
      <c r="NBA114" s="395"/>
      <c r="NBB114" s="395"/>
      <c r="NBC114" s="395"/>
      <c r="NBD114" s="395"/>
      <c r="NBE114" s="395"/>
      <c r="NBF114" s="395"/>
      <c r="NBG114" s="395"/>
      <c r="NBH114" s="395"/>
      <c r="NBI114" s="395"/>
      <c r="NBJ114" s="395"/>
      <c r="NBK114" s="395"/>
      <c r="NBL114" s="395"/>
      <c r="NBM114" s="395"/>
      <c r="NBN114" s="395"/>
      <c r="NBO114" s="396"/>
      <c r="NBP114" s="394"/>
      <c r="NBQ114" s="395"/>
      <c r="NBR114" s="395"/>
      <c r="NBS114" s="395"/>
      <c r="NBT114" s="395"/>
      <c r="NBU114" s="395"/>
      <c r="NBV114" s="395"/>
      <c r="NBW114" s="395"/>
      <c r="NBX114" s="395"/>
      <c r="NBY114" s="395"/>
      <c r="NBZ114" s="395"/>
      <c r="NCA114" s="395"/>
      <c r="NCB114" s="395"/>
      <c r="NCC114" s="395"/>
      <c r="NCD114" s="395"/>
      <c r="NCE114" s="395"/>
      <c r="NCF114" s="395"/>
      <c r="NCG114" s="395"/>
      <c r="NCH114" s="395"/>
      <c r="NCI114" s="395"/>
      <c r="NCJ114" s="395"/>
      <c r="NCK114" s="395"/>
      <c r="NCL114" s="395"/>
      <c r="NCM114" s="395"/>
      <c r="NCN114" s="395"/>
      <c r="NCO114" s="395"/>
      <c r="NCP114" s="396"/>
      <c r="NCQ114" s="394"/>
      <c r="NCR114" s="395"/>
      <c r="NCS114" s="395"/>
      <c r="NCT114" s="395"/>
      <c r="NCU114" s="395"/>
      <c r="NCV114" s="395"/>
      <c r="NCW114" s="395"/>
      <c r="NCX114" s="395"/>
      <c r="NCY114" s="395"/>
      <c r="NCZ114" s="395"/>
      <c r="NDA114" s="395"/>
      <c r="NDB114" s="395"/>
      <c r="NDC114" s="395"/>
      <c r="NDD114" s="395"/>
      <c r="NDE114" s="395"/>
      <c r="NDF114" s="395"/>
      <c r="NDG114" s="395"/>
      <c r="NDH114" s="395"/>
      <c r="NDI114" s="395"/>
      <c r="NDJ114" s="395"/>
      <c r="NDK114" s="395"/>
      <c r="NDL114" s="395"/>
      <c r="NDM114" s="395"/>
      <c r="NDN114" s="395"/>
      <c r="NDO114" s="395"/>
      <c r="NDP114" s="395"/>
      <c r="NDQ114" s="396"/>
      <c r="NDR114" s="394"/>
      <c r="NDS114" s="395"/>
      <c r="NDT114" s="395"/>
      <c r="NDU114" s="395"/>
      <c r="NDV114" s="395"/>
      <c r="NDW114" s="395"/>
      <c r="NDX114" s="395"/>
      <c r="NDY114" s="395"/>
      <c r="NDZ114" s="395"/>
      <c r="NEA114" s="395"/>
      <c r="NEB114" s="395"/>
      <c r="NEC114" s="395"/>
      <c r="NED114" s="395"/>
      <c r="NEE114" s="395"/>
      <c r="NEF114" s="395"/>
      <c r="NEG114" s="395"/>
      <c r="NEH114" s="395"/>
      <c r="NEI114" s="395"/>
      <c r="NEJ114" s="395"/>
      <c r="NEK114" s="395"/>
      <c r="NEL114" s="395"/>
      <c r="NEM114" s="395"/>
      <c r="NEN114" s="395"/>
      <c r="NEO114" s="395"/>
      <c r="NEP114" s="395"/>
      <c r="NEQ114" s="395"/>
      <c r="NER114" s="396"/>
      <c r="NES114" s="394"/>
      <c r="NET114" s="395"/>
      <c r="NEU114" s="395"/>
      <c r="NEV114" s="395"/>
      <c r="NEW114" s="395"/>
      <c r="NEX114" s="395"/>
      <c r="NEY114" s="395"/>
      <c r="NEZ114" s="395"/>
      <c r="NFA114" s="395"/>
      <c r="NFB114" s="395"/>
      <c r="NFC114" s="395"/>
      <c r="NFD114" s="395"/>
      <c r="NFE114" s="395"/>
      <c r="NFF114" s="395"/>
      <c r="NFG114" s="395"/>
      <c r="NFH114" s="395"/>
      <c r="NFI114" s="395"/>
      <c r="NFJ114" s="395"/>
      <c r="NFK114" s="395"/>
      <c r="NFL114" s="395"/>
      <c r="NFM114" s="395"/>
      <c r="NFN114" s="395"/>
      <c r="NFO114" s="395"/>
      <c r="NFP114" s="395"/>
      <c r="NFQ114" s="395"/>
      <c r="NFR114" s="395"/>
      <c r="NFS114" s="396"/>
      <c r="NFT114" s="394"/>
      <c r="NFU114" s="395"/>
      <c r="NFV114" s="395"/>
      <c r="NFW114" s="395"/>
      <c r="NFX114" s="395"/>
      <c r="NFY114" s="395"/>
      <c r="NFZ114" s="395"/>
      <c r="NGA114" s="395"/>
      <c r="NGB114" s="395"/>
      <c r="NGC114" s="395"/>
      <c r="NGD114" s="395"/>
      <c r="NGE114" s="395"/>
      <c r="NGF114" s="395"/>
      <c r="NGG114" s="395"/>
      <c r="NGH114" s="395"/>
      <c r="NGI114" s="395"/>
      <c r="NGJ114" s="395"/>
      <c r="NGK114" s="395"/>
      <c r="NGL114" s="395"/>
      <c r="NGM114" s="395"/>
      <c r="NGN114" s="395"/>
      <c r="NGO114" s="395"/>
      <c r="NGP114" s="395"/>
      <c r="NGQ114" s="395"/>
      <c r="NGR114" s="395"/>
      <c r="NGS114" s="395"/>
      <c r="NGT114" s="396"/>
      <c r="NGU114" s="394"/>
      <c r="NGV114" s="395"/>
      <c r="NGW114" s="395"/>
      <c r="NGX114" s="395"/>
      <c r="NGY114" s="395"/>
      <c r="NGZ114" s="395"/>
      <c r="NHA114" s="395"/>
      <c r="NHB114" s="395"/>
      <c r="NHC114" s="395"/>
      <c r="NHD114" s="395"/>
      <c r="NHE114" s="395"/>
      <c r="NHF114" s="395"/>
      <c r="NHG114" s="395"/>
      <c r="NHH114" s="395"/>
      <c r="NHI114" s="395"/>
      <c r="NHJ114" s="395"/>
      <c r="NHK114" s="395"/>
      <c r="NHL114" s="395"/>
      <c r="NHM114" s="395"/>
      <c r="NHN114" s="395"/>
      <c r="NHO114" s="395"/>
      <c r="NHP114" s="395"/>
      <c r="NHQ114" s="395"/>
      <c r="NHR114" s="395"/>
      <c r="NHS114" s="395"/>
      <c r="NHT114" s="395"/>
      <c r="NHU114" s="396"/>
      <c r="NHV114" s="394"/>
      <c r="NHW114" s="395"/>
      <c r="NHX114" s="395"/>
      <c r="NHY114" s="395"/>
      <c r="NHZ114" s="395"/>
      <c r="NIA114" s="395"/>
      <c r="NIB114" s="395"/>
      <c r="NIC114" s="395"/>
      <c r="NID114" s="395"/>
      <c r="NIE114" s="395"/>
      <c r="NIF114" s="395"/>
      <c r="NIG114" s="395"/>
      <c r="NIH114" s="395"/>
      <c r="NII114" s="395"/>
      <c r="NIJ114" s="395"/>
      <c r="NIK114" s="395"/>
      <c r="NIL114" s="395"/>
      <c r="NIM114" s="395"/>
      <c r="NIN114" s="395"/>
      <c r="NIO114" s="395"/>
      <c r="NIP114" s="395"/>
      <c r="NIQ114" s="395"/>
      <c r="NIR114" s="395"/>
      <c r="NIS114" s="395"/>
      <c r="NIT114" s="395"/>
      <c r="NIU114" s="395"/>
      <c r="NIV114" s="396"/>
      <c r="NIW114" s="394"/>
      <c r="NIX114" s="395"/>
      <c r="NIY114" s="395"/>
      <c r="NIZ114" s="395"/>
      <c r="NJA114" s="395"/>
      <c r="NJB114" s="395"/>
      <c r="NJC114" s="395"/>
      <c r="NJD114" s="395"/>
      <c r="NJE114" s="395"/>
      <c r="NJF114" s="395"/>
      <c r="NJG114" s="395"/>
      <c r="NJH114" s="395"/>
      <c r="NJI114" s="395"/>
      <c r="NJJ114" s="395"/>
      <c r="NJK114" s="395"/>
      <c r="NJL114" s="395"/>
      <c r="NJM114" s="395"/>
      <c r="NJN114" s="395"/>
      <c r="NJO114" s="395"/>
      <c r="NJP114" s="395"/>
      <c r="NJQ114" s="395"/>
      <c r="NJR114" s="395"/>
      <c r="NJS114" s="395"/>
      <c r="NJT114" s="395"/>
      <c r="NJU114" s="395"/>
      <c r="NJV114" s="395"/>
      <c r="NJW114" s="396"/>
      <c r="NJX114" s="394"/>
      <c r="NJY114" s="395"/>
      <c r="NJZ114" s="395"/>
      <c r="NKA114" s="395"/>
      <c r="NKB114" s="395"/>
      <c r="NKC114" s="395"/>
      <c r="NKD114" s="395"/>
      <c r="NKE114" s="395"/>
      <c r="NKF114" s="395"/>
      <c r="NKG114" s="395"/>
      <c r="NKH114" s="395"/>
      <c r="NKI114" s="395"/>
      <c r="NKJ114" s="395"/>
      <c r="NKK114" s="395"/>
      <c r="NKL114" s="395"/>
      <c r="NKM114" s="395"/>
      <c r="NKN114" s="395"/>
      <c r="NKO114" s="395"/>
      <c r="NKP114" s="395"/>
      <c r="NKQ114" s="395"/>
      <c r="NKR114" s="395"/>
      <c r="NKS114" s="395"/>
      <c r="NKT114" s="395"/>
      <c r="NKU114" s="395"/>
      <c r="NKV114" s="395"/>
      <c r="NKW114" s="395"/>
      <c r="NKX114" s="396"/>
      <c r="NKY114" s="394"/>
      <c r="NKZ114" s="395"/>
      <c r="NLA114" s="395"/>
      <c r="NLB114" s="395"/>
      <c r="NLC114" s="395"/>
      <c r="NLD114" s="395"/>
      <c r="NLE114" s="395"/>
      <c r="NLF114" s="395"/>
      <c r="NLG114" s="395"/>
      <c r="NLH114" s="395"/>
      <c r="NLI114" s="395"/>
      <c r="NLJ114" s="395"/>
      <c r="NLK114" s="395"/>
      <c r="NLL114" s="395"/>
      <c r="NLM114" s="395"/>
      <c r="NLN114" s="395"/>
      <c r="NLO114" s="395"/>
      <c r="NLP114" s="395"/>
      <c r="NLQ114" s="395"/>
      <c r="NLR114" s="395"/>
      <c r="NLS114" s="395"/>
      <c r="NLT114" s="395"/>
      <c r="NLU114" s="395"/>
      <c r="NLV114" s="395"/>
      <c r="NLW114" s="395"/>
      <c r="NLX114" s="395"/>
      <c r="NLY114" s="396"/>
      <c r="NLZ114" s="394"/>
      <c r="NMA114" s="395"/>
      <c r="NMB114" s="395"/>
      <c r="NMC114" s="395"/>
      <c r="NMD114" s="395"/>
      <c r="NME114" s="395"/>
      <c r="NMF114" s="395"/>
      <c r="NMG114" s="395"/>
      <c r="NMH114" s="395"/>
      <c r="NMI114" s="395"/>
      <c r="NMJ114" s="395"/>
      <c r="NMK114" s="395"/>
      <c r="NML114" s="395"/>
      <c r="NMM114" s="395"/>
      <c r="NMN114" s="395"/>
      <c r="NMO114" s="395"/>
      <c r="NMP114" s="395"/>
      <c r="NMQ114" s="395"/>
      <c r="NMR114" s="395"/>
      <c r="NMS114" s="395"/>
      <c r="NMT114" s="395"/>
      <c r="NMU114" s="395"/>
      <c r="NMV114" s="395"/>
      <c r="NMW114" s="395"/>
      <c r="NMX114" s="395"/>
      <c r="NMY114" s="395"/>
      <c r="NMZ114" s="396"/>
      <c r="NNA114" s="394"/>
      <c r="NNB114" s="395"/>
      <c r="NNC114" s="395"/>
      <c r="NND114" s="395"/>
      <c r="NNE114" s="395"/>
      <c r="NNF114" s="395"/>
      <c r="NNG114" s="395"/>
      <c r="NNH114" s="395"/>
      <c r="NNI114" s="395"/>
      <c r="NNJ114" s="395"/>
      <c r="NNK114" s="395"/>
      <c r="NNL114" s="395"/>
      <c r="NNM114" s="395"/>
      <c r="NNN114" s="395"/>
      <c r="NNO114" s="395"/>
      <c r="NNP114" s="395"/>
      <c r="NNQ114" s="395"/>
      <c r="NNR114" s="395"/>
      <c r="NNS114" s="395"/>
      <c r="NNT114" s="395"/>
      <c r="NNU114" s="395"/>
      <c r="NNV114" s="395"/>
      <c r="NNW114" s="395"/>
      <c r="NNX114" s="395"/>
      <c r="NNY114" s="395"/>
      <c r="NNZ114" s="395"/>
      <c r="NOA114" s="396"/>
      <c r="NOB114" s="394"/>
      <c r="NOC114" s="395"/>
      <c r="NOD114" s="395"/>
      <c r="NOE114" s="395"/>
      <c r="NOF114" s="395"/>
      <c r="NOG114" s="395"/>
      <c r="NOH114" s="395"/>
      <c r="NOI114" s="395"/>
      <c r="NOJ114" s="395"/>
      <c r="NOK114" s="395"/>
      <c r="NOL114" s="395"/>
      <c r="NOM114" s="395"/>
      <c r="NON114" s="395"/>
      <c r="NOO114" s="395"/>
      <c r="NOP114" s="395"/>
      <c r="NOQ114" s="395"/>
      <c r="NOR114" s="395"/>
      <c r="NOS114" s="395"/>
      <c r="NOT114" s="395"/>
      <c r="NOU114" s="395"/>
      <c r="NOV114" s="395"/>
      <c r="NOW114" s="395"/>
      <c r="NOX114" s="395"/>
      <c r="NOY114" s="395"/>
      <c r="NOZ114" s="395"/>
      <c r="NPA114" s="395"/>
      <c r="NPB114" s="396"/>
      <c r="NPC114" s="394"/>
      <c r="NPD114" s="395"/>
      <c r="NPE114" s="395"/>
      <c r="NPF114" s="395"/>
      <c r="NPG114" s="395"/>
      <c r="NPH114" s="395"/>
      <c r="NPI114" s="395"/>
      <c r="NPJ114" s="395"/>
      <c r="NPK114" s="395"/>
      <c r="NPL114" s="395"/>
      <c r="NPM114" s="395"/>
      <c r="NPN114" s="395"/>
      <c r="NPO114" s="395"/>
      <c r="NPP114" s="395"/>
      <c r="NPQ114" s="395"/>
      <c r="NPR114" s="395"/>
      <c r="NPS114" s="395"/>
      <c r="NPT114" s="395"/>
      <c r="NPU114" s="395"/>
      <c r="NPV114" s="395"/>
      <c r="NPW114" s="395"/>
      <c r="NPX114" s="395"/>
      <c r="NPY114" s="395"/>
      <c r="NPZ114" s="395"/>
      <c r="NQA114" s="395"/>
      <c r="NQB114" s="395"/>
      <c r="NQC114" s="396"/>
      <c r="NQD114" s="394"/>
      <c r="NQE114" s="395"/>
      <c r="NQF114" s="395"/>
      <c r="NQG114" s="395"/>
      <c r="NQH114" s="395"/>
      <c r="NQI114" s="395"/>
      <c r="NQJ114" s="395"/>
      <c r="NQK114" s="395"/>
      <c r="NQL114" s="395"/>
      <c r="NQM114" s="395"/>
      <c r="NQN114" s="395"/>
      <c r="NQO114" s="395"/>
      <c r="NQP114" s="395"/>
      <c r="NQQ114" s="395"/>
      <c r="NQR114" s="395"/>
      <c r="NQS114" s="395"/>
      <c r="NQT114" s="395"/>
      <c r="NQU114" s="395"/>
      <c r="NQV114" s="395"/>
      <c r="NQW114" s="395"/>
      <c r="NQX114" s="395"/>
      <c r="NQY114" s="395"/>
      <c r="NQZ114" s="395"/>
      <c r="NRA114" s="395"/>
      <c r="NRB114" s="395"/>
      <c r="NRC114" s="395"/>
      <c r="NRD114" s="396"/>
      <c r="NRE114" s="394"/>
      <c r="NRF114" s="395"/>
      <c r="NRG114" s="395"/>
      <c r="NRH114" s="395"/>
      <c r="NRI114" s="395"/>
      <c r="NRJ114" s="395"/>
      <c r="NRK114" s="395"/>
      <c r="NRL114" s="395"/>
      <c r="NRM114" s="395"/>
      <c r="NRN114" s="395"/>
      <c r="NRO114" s="395"/>
      <c r="NRP114" s="395"/>
      <c r="NRQ114" s="395"/>
      <c r="NRR114" s="395"/>
      <c r="NRS114" s="395"/>
      <c r="NRT114" s="395"/>
      <c r="NRU114" s="395"/>
      <c r="NRV114" s="395"/>
      <c r="NRW114" s="395"/>
      <c r="NRX114" s="395"/>
      <c r="NRY114" s="395"/>
      <c r="NRZ114" s="395"/>
      <c r="NSA114" s="395"/>
      <c r="NSB114" s="395"/>
      <c r="NSC114" s="395"/>
      <c r="NSD114" s="395"/>
      <c r="NSE114" s="396"/>
      <c r="NSF114" s="394"/>
      <c r="NSG114" s="395"/>
      <c r="NSH114" s="395"/>
      <c r="NSI114" s="395"/>
      <c r="NSJ114" s="395"/>
      <c r="NSK114" s="395"/>
      <c r="NSL114" s="395"/>
      <c r="NSM114" s="395"/>
      <c r="NSN114" s="395"/>
      <c r="NSO114" s="395"/>
      <c r="NSP114" s="395"/>
      <c r="NSQ114" s="395"/>
      <c r="NSR114" s="395"/>
      <c r="NSS114" s="395"/>
      <c r="NST114" s="395"/>
      <c r="NSU114" s="395"/>
      <c r="NSV114" s="395"/>
      <c r="NSW114" s="395"/>
      <c r="NSX114" s="395"/>
      <c r="NSY114" s="395"/>
      <c r="NSZ114" s="395"/>
      <c r="NTA114" s="395"/>
      <c r="NTB114" s="395"/>
      <c r="NTC114" s="395"/>
      <c r="NTD114" s="395"/>
      <c r="NTE114" s="395"/>
      <c r="NTF114" s="396"/>
      <c r="NTG114" s="394"/>
      <c r="NTH114" s="395"/>
      <c r="NTI114" s="395"/>
      <c r="NTJ114" s="395"/>
      <c r="NTK114" s="395"/>
      <c r="NTL114" s="395"/>
      <c r="NTM114" s="395"/>
      <c r="NTN114" s="395"/>
      <c r="NTO114" s="395"/>
      <c r="NTP114" s="395"/>
      <c r="NTQ114" s="395"/>
      <c r="NTR114" s="395"/>
      <c r="NTS114" s="395"/>
      <c r="NTT114" s="395"/>
      <c r="NTU114" s="395"/>
      <c r="NTV114" s="395"/>
      <c r="NTW114" s="395"/>
      <c r="NTX114" s="395"/>
      <c r="NTY114" s="395"/>
      <c r="NTZ114" s="395"/>
      <c r="NUA114" s="395"/>
      <c r="NUB114" s="395"/>
      <c r="NUC114" s="395"/>
      <c r="NUD114" s="395"/>
      <c r="NUE114" s="395"/>
      <c r="NUF114" s="395"/>
      <c r="NUG114" s="396"/>
      <c r="NUH114" s="394"/>
      <c r="NUI114" s="395"/>
      <c r="NUJ114" s="395"/>
      <c r="NUK114" s="395"/>
      <c r="NUL114" s="395"/>
      <c r="NUM114" s="395"/>
      <c r="NUN114" s="395"/>
      <c r="NUO114" s="395"/>
      <c r="NUP114" s="395"/>
      <c r="NUQ114" s="395"/>
      <c r="NUR114" s="395"/>
      <c r="NUS114" s="395"/>
      <c r="NUT114" s="395"/>
      <c r="NUU114" s="395"/>
      <c r="NUV114" s="395"/>
      <c r="NUW114" s="395"/>
      <c r="NUX114" s="395"/>
      <c r="NUY114" s="395"/>
      <c r="NUZ114" s="395"/>
      <c r="NVA114" s="395"/>
      <c r="NVB114" s="395"/>
      <c r="NVC114" s="395"/>
      <c r="NVD114" s="395"/>
      <c r="NVE114" s="395"/>
      <c r="NVF114" s="395"/>
      <c r="NVG114" s="395"/>
      <c r="NVH114" s="396"/>
      <c r="NVI114" s="394"/>
      <c r="NVJ114" s="395"/>
      <c r="NVK114" s="395"/>
      <c r="NVL114" s="395"/>
      <c r="NVM114" s="395"/>
      <c r="NVN114" s="395"/>
      <c r="NVO114" s="395"/>
      <c r="NVP114" s="395"/>
      <c r="NVQ114" s="395"/>
      <c r="NVR114" s="395"/>
      <c r="NVS114" s="395"/>
      <c r="NVT114" s="395"/>
      <c r="NVU114" s="395"/>
      <c r="NVV114" s="395"/>
      <c r="NVW114" s="395"/>
      <c r="NVX114" s="395"/>
      <c r="NVY114" s="395"/>
      <c r="NVZ114" s="395"/>
      <c r="NWA114" s="395"/>
      <c r="NWB114" s="395"/>
      <c r="NWC114" s="395"/>
      <c r="NWD114" s="395"/>
      <c r="NWE114" s="395"/>
      <c r="NWF114" s="395"/>
      <c r="NWG114" s="395"/>
      <c r="NWH114" s="395"/>
      <c r="NWI114" s="396"/>
      <c r="NWJ114" s="394"/>
      <c r="NWK114" s="395"/>
      <c r="NWL114" s="395"/>
      <c r="NWM114" s="395"/>
      <c r="NWN114" s="395"/>
      <c r="NWO114" s="395"/>
      <c r="NWP114" s="395"/>
      <c r="NWQ114" s="395"/>
      <c r="NWR114" s="395"/>
      <c r="NWS114" s="395"/>
      <c r="NWT114" s="395"/>
      <c r="NWU114" s="395"/>
      <c r="NWV114" s="395"/>
      <c r="NWW114" s="395"/>
      <c r="NWX114" s="395"/>
      <c r="NWY114" s="395"/>
      <c r="NWZ114" s="395"/>
      <c r="NXA114" s="395"/>
      <c r="NXB114" s="395"/>
      <c r="NXC114" s="395"/>
      <c r="NXD114" s="395"/>
      <c r="NXE114" s="395"/>
      <c r="NXF114" s="395"/>
      <c r="NXG114" s="395"/>
      <c r="NXH114" s="395"/>
      <c r="NXI114" s="395"/>
      <c r="NXJ114" s="396"/>
      <c r="NXK114" s="394"/>
      <c r="NXL114" s="395"/>
      <c r="NXM114" s="395"/>
      <c r="NXN114" s="395"/>
      <c r="NXO114" s="395"/>
      <c r="NXP114" s="395"/>
      <c r="NXQ114" s="395"/>
      <c r="NXR114" s="395"/>
      <c r="NXS114" s="395"/>
      <c r="NXT114" s="395"/>
      <c r="NXU114" s="395"/>
      <c r="NXV114" s="395"/>
      <c r="NXW114" s="395"/>
      <c r="NXX114" s="395"/>
      <c r="NXY114" s="395"/>
      <c r="NXZ114" s="395"/>
      <c r="NYA114" s="395"/>
      <c r="NYB114" s="395"/>
      <c r="NYC114" s="395"/>
      <c r="NYD114" s="395"/>
      <c r="NYE114" s="395"/>
      <c r="NYF114" s="395"/>
      <c r="NYG114" s="395"/>
      <c r="NYH114" s="395"/>
      <c r="NYI114" s="395"/>
      <c r="NYJ114" s="395"/>
      <c r="NYK114" s="396"/>
      <c r="NYL114" s="394"/>
      <c r="NYM114" s="395"/>
      <c r="NYN114" s="395"/>
      <c r="NYO114" s="395"/>
      <c r="NYP114" s="395"/>
      <c r="NYQ114" s="395"/>
      <c r="NYR114" s="395"/>
      <c r="NYS114" s="395"/>
      <c r="NYT114" s="395"/>
      <c r="NYU114" s="395"/>
      <c r="NYV114" s="395"/>
      <c r="NYW114" s="395"/>
      <c r="NYX114" s="395"/>
      <c r="NYY114" s="395"/>
      <c r="NYZ114" s="395"/>
      <c r="NZA114" s="395"/>
      <c r="NZB114" s="395"/>
      <c r="NZC114" s="395"/>
      <c r="NZD114" s="395"/>
      <c r="NZE114" s="395"/>
      <c r="NZF114" s="395"/>
      <c r="NZG114" s="395"/>
      <c r="NZH114" s="395"/>
      <c r="NZI114" s="395"/>
      <c r="NZJ114" s="395"/>
      <c r="NZK114" s="395"/>
      <c r="NZL114" s="396"/>
      <c r="NZM114" s="394"/>
      <c r="NZN114" s="395"/>
      <c r="NZO114" s="395"/>
      <c r="NZP114" s="395"/>
      <c r="NZQ114" s="395"/>
      <c r="NZR114" s="395"/>
      <c r="NZS114" s="395"/>
      <c r="NZT114" s="395"/>
      <c r="NZU114" s="395"/>
      <c r="NZV114" s="395"/>
      <c r="NZW114" s="395"/>
      <c r="NZX114" s="395"/>
      <c r="NZY114" s="395"/>
      <c r="NZZ114" s="395"/>
      <c r="OAA114" s="395"/>
      <c r="OAB114" s="395"/>
      <c r="OAC114" s="395"/>
      <c r="OAD114" s="395"/>
      <c r="OAE114" s="395"/>
      <c r="OAF114" s="395"/>
      <c r="OAG114" s="395"/>
      <c r="OAH114" s="395"/>
      <c r="OAI114" s="395"/>
      <c r="OAJ114" s="395"/>
      <c r="OAK114" s="395"/>
      <c r="OAL114" s="395"/>
      <c r="OAM114" s="396"/>
      <c r="OAN114" s="394"/>
      <c r="OAO114" s="395"/>
      <c r="OAP114" s="395"/>
      <c r="OAQ114" s="395"/>
      <c r="OAR114" s="395"/>
      <c r="OAS114" s="395"/>
      <c r="OAT114" s="395"/>
      <c r="OAU114" s="395"/>
      <c r="OAV114" s="395"/>
      <c r="OAW114" s="395"/>
      <c r="OAX114" s="395"/>
      <c r="OAY114" s="395"/>
      <c r="OAZ114" s="395"/>
      <c r="OBA114" s="395"/>
      <c r="OBB114" s="395"/>
      <c r="OBC114" s="395"/>
      <c r="OBD114" s="395"/>
      <c r="OBE114" s="395"/>
      <c r="OBF114" s="395"/>
      <c r="OBG114" s="395"/>
      <c r="OBH114" s="395"/>
      <c r="OBI114" s="395"/>
      <c r="OBJ114" s="395"/>
      <c r="OBK114" s="395"/>
      <c r="OBL114" s="395"/>
      <c r="OBM114" s="395"/>
      <c r="OBN114" s="396"/>
      <c r="OBO114" s="394"/>
      <c r="OBP114" s="395"/>
      <c r="OBQ114" s="395"/>
      <c r="OBR114" s="395"/>
      <c r="OBS114" s="395"/>
      <c r="OBT114" s="395"/>
      <c r="OBU114" s="395"/>
      <c r="OBV114" s="395"/>
      <c r="OBW114" s="395"/>
      <c r="OBX114" s="395"/>
      <c r="OBY114" s="395"/>
      <c r="OBZ114" s="395"/>
      <c r="OCA114" s="395"/>
      <c r="OCB114" s="395"/>
      <c r="OCC114" s="395"/>
      <c r="OCD114" s="395"/>
      <c r="OCE114" s="395"/>
      <c r="OCF114" s="395"/>
      <c r="OCG114" s="395"/>
      <c r="OCH114" s="395"/>
      <c r="OCI114" s="395"/>
      <c r="OCJ114" s="395"/>
      <c r="OCK114" s="395"/>
      <c r="OCL114" s="395"/>
      <c r="OCM114" s="395"/>
      <c r="OCN114" s="395"/>
      <c r="OCO114" s="396"/>
      <c r="OCP114" s="394"/>
      <c r="OCQ114" s="395"/>
      <c r="OCR114" s="395"/>
      <c r="OCS114" s="395"/>
      <c r="OCT114" s="395"/>
      <c r="OCU114" s="395"/>
      <c r="OCV114" s="395"/>
      <c r="OCW114" s="395"/>
      <c r="OCX114" s="395"/>
      <c r="OCY114" s="395"/>
      <c r="OCZ114" s="395"/>
      <c r="ODA114" s="395"/>
      <c r="ODB114" s="395"/>
      <c r="ODC114" s="395"/>
      <c r="ODD114" s="395"/>
      <c r="ODE114" s="395"/>
      <c r="ODF114" s="395"/>
      <c r="ODG114" s="395"/>
      <c r="ODH114" s="395"/>
      <c r="ODI114" s="395"/>
      <c r="ODJ114" s="395"/>
      <c r="ODK114" s="395"/>
      <c r="ODL114" s="395"/>
      <c r="ODM114" s="395"/>
      <c r="ODN114" s="395"/>
      <c r="ODO114" s="395"/>
      <c r="ODP114" s="396"/>
      <c r="ODQ114" s="394"/>
      <c r="ODR114" s="395"/>
      <c r="ODS114" s="395"/>
      <c r="ODT114" s="395"/>
      <c r="ODU114" s="395"/>
      <c r="ODV114" s="395"/>
      <c r="ODW114" s="395"/>
      <c r="ODX114" s="395"/>
      <c r="ODY114" s="395"/>
      <c r="ODZ114" s="395"/>
      <c r="OEA114" s="395"/>
      <c r="OEB114" s="395"/>
      <c r="OEC114" s="395"/>
      <c r="OED114" s="395"/>
      <c r="OEE114" s="395"/>
      <c r="OEF114" s="395"/>
      <c r="OEG114" s="395"/>
      <c r="OEH114" s="395"/>
      <c r="OEI114" s="395"/>
      <c r="OEJ114" s="395"/>
      <c r="OEK114" s="395"/>
      <c r="OEL114" s="395"/>
      <c r="OEM114" s="395"/>
      <c r="OEN114" s="395"/>
      <c r="OEO114" s="395"/>
      <c r="OEP114" s="395"/>
      <c r="OEQ114" s="396"/>
      <c r="OER114" s="394"/>
      <c r="OES114" s="395"/>
      <c r="OET114" s="395"/>
      <c r="OEU114" s="395"/>
      <c r="OEV114" s="395"/>
      <c r="OEW114" s="395"/>
      <c r="OEX114" s="395"/>
      <c r="OEY114" s="395"/>
      <c r="OEZ114" s="395"/>
      <c r="OFA114" s="395"/>
      <c r="OFB114" s="395"/>
      <c r="OFC114" s="395"/>
      <c r="OFD114" s="395"/>
      <c r="OFE114" s="395"/>
      <c r="OFF114" s="395"/>
      <c r="OFG114" s="395"/>
      <c r="OFH114" s="395"/>
      <c r="OFI114" s="395"/>
      <c r="OFJ114" s="395"/>
      <c r="OFK114" s="395"/>
      <c r="OFL114" s="395"/>
      <c r="OFM114" s="395"/>
      <c r="OFN114" s="395"/>
      <c r="OFO114" s="395"/>
      <c r="OFP114" s="395"/>
      <c r="OFQ114" s="395"/>
      <c r="OFR114" s="396"/>
      <c r="OFS114" s="394"/>
      <c r="OFT114" s="395"/>
      <c r="OFU114" s="395"/>
      <c r="OFV114" s="395"/>
      <c r="OFW114" s="395"/>
      <c r="OFX114" s="395"/>
      <c r="OFY114" s="395"/>
      <c r="OFZ114" s="395"/>
      <c r="OGA114" s="395"/>
      <c r="OGB114" s="395"/>
      <c r="OGC114" s="395"/>
      <c r="OGD114" s="395"/>
      <c r="OGE114" s="395"/>
      <c r="OGF114" s="395"/>
      <c r="OGG114" s="395"/>
      <c r="OGH114" s="395"/>
      <c r="OGI114" s="395"/>
      <c r="OGJ114" s="395"/>
      <c r="OGK114" s="395"/>
      <c r="OGL114" s="395"/>
      <c r="OGM114" s="395"/>
      <c r="OGN114" s="395"/>
      <c r="OGO114" s="395"/>
      <c r="OGP114" s="395"/>
      <c r="OGQ114" s="395"/>
      <c r="OGR114" s="395"/>
      <c r="OGS114" s="396"/>
      <c r="OGT114" s="394"/>
      <c r="OGU114" s="395"/>
      <c r="OGV114" s="395"/>
      <c r="OGW114" s="395"/>
      <c r="OGX114" s="395"/>
      <c r="OGY114" s="395"/>
      <c r="OGZ114" s="395"/>
      <c r="OHA114" s="395"/>
      <c r="OHB114" s="395"/>
      <c r="OHC114" s="395"/>
      <c r="OHD114" s="395"/>
      <c r="OHE114" s="395"/>
      <c r="OHF114" s="395"/>
      <c r="OHG114" s="395"/>
      <c r="OHH114" s="395"/>
      <c r="OHI114" s="395"/>
      <c r="OHJ114" s="395"/>
      <c r="OHK114" s="395"/>
      <c r="OHL114" s="395"/>
      <c r="OHM114" s="395"/>
      <c r="OHN114" s="395"/>
      <c r="OHO114" s="395"/>
      <c r="OHP114" s="395"/>
      <c r="OHQ114" s="395"/>
      <c r="OHR114" s="395"/>
      <c r="OHS114" s="395"/>
      <c r="OHT114" s="396"/>
      <c r="OHU114" s="394"/>
      <c r="OHV114" s="395"/>
      <c r="OHW114" s="395"/>
      <c r="OHX114" s="395"/>
      <c r="OHY114" s="395"/>
      <c r="OHZ114" s="395"/>
      <c r="OIA114" s="395"/>
      <c r="OIB114" s="395"/>
      <c r="OIC114" s="395"/>
      <c r="OID114" s="395"/>
      <c r="OIE114" s="395"/>
      <c r="OIF114" s="395"/>
      <c r="OIG114" s="395"/>
      <c r="OIH114" s="395"/>
      <c r="OII114" s="395"/>
      <c r="OIJ114" s="395"/>
      <c r="OIK114" s="395"/>
      <c r="OIL114" s="395"/>
      <c r="OIM114" s="395"/>
      <c r="OIN114" s="395"/>
      <c r="OIO114" s="395"/>
      <c r="OIP114" s="395"/>
      <c r="OIQ114" s="395"/>
      <c r="OIR114" s="395"/>
      <c r="OIS114" s="395"/>
      <c r="OIT114" s="395"/>
      <c r="OIU114" s="396"/>
      <c r="OIV114" s="394"/>
      <c r="OIW114" s="395"/>
      <c r="OIX114" s="395"/>
      <c r="OIY114" s="395"/>
      <c r="OIZ114" s="395"/>
      <c r="OJA114" s="395"/>
      <c r="OJB114" s="395"/>
      <c r="OJC114" s="395"/>
      <c r="OJD114" s="395"/>
      <c r="OJE114" s="395"/>
      <c r="OJF114" s="395"/>
      <c r="OJG114" s="395"/>
      <c r="OJH114" s="395"/>
      <c r="OJI114" s="395"/>
      <c r="OJJ114" s="395"/>
      <c r="OJK114" s="395"/>
      <c r="OJL114" s="395"/>
      <c r="OJM114" s="395"/>
      <c r="OJN114" s="395"/>
      <c r="OJO114" s="395"/>
      <c r="OJP114" s="395"/>
      <c r="OJQ114" s="395"/>
      <c r="OJR114" s="395"/>
      <c r="OJS114" s="395"/>
      <c r="OJT114" s="395"/>
      <c r="OJU114" s="395"/>
      <c r="OJV114" s="396"/>
      <c r="OJW114" s="394"/>
      <c r="OJX114" s="395"/>
      <c r="OJY114" s="395"/>
      <c r="OJZ114" s="395"/>
      <c r="OKA114" s="395"/>
      <c r="OKB114" s="395"/>
      <c r="OKC114" s="395"/>
      <c r="OKD114" s="395"/>
      <c r="OKE114" s="395"/>
      <c r="OKF114" s="395"/>
      <c r="OKG114" s="395"/>
      <c r="OKH114" s="395"/>
      <c r="OKI114" s="395"/>
      <c r="OKJ114" s="395"/>
      <c r="OKK114" s="395"/>
      <c r="OKL114" s="395"/>
      <c r="OKM114" s="395"/>
      <c r="OKN114" s="395"/>
      <c r="OKO114" s="395"/>
      <c r="OKP114" s="395"/>
      <c r="OKQ114" s="395"/>
      <c r="OKR114" s="395"/>
      <c r="OKS114" s="395"/>
      <c r="OKT114" s="395"/>
      <c r="OKU114" s="395"/>
      <c r="OKV114" s="395"/>
      <c r="OKW114" s="396"/>
      <c r="OKX114" s="394"/>
      <c r="OKY114" s="395"/>
      <c r="OKZ114" s="395"/>
      <c r="OLA114" s="395"/>
      <c r="OLB114" s="395"/>
      <c r="OLC114" s="395"/>
      <c r="OLD114" s="395"/>
      <c r="OLE114" s="395"/>
      <c r="OLF114" s="395"/>
      <c r="OLG114" s="395"/>
      <c r="OLH114" s="395"/>
      <c r="OLI114" s="395"/>
      <c r="OLJ114" s="395"/>
      <c r="OLK114" s="395"/>
      <c r="OLL114" s="395"/>
      <c r="OLM114" s="395"/>
      <c r="OLN114" s="395"/>
      <c r="OLO114" s="395"/>
      <c r="OLP114" s="395"/>
      <c r="OLQ114" s="395"/>
      <c r="OLR114" s="395"/>
      <c r="OLS114" s="395"/>
      <c r="OLT114" s="395"/>
      <c r="OLU114" s="395"/>
      <c r="OLV114" s="395"/>
      <c r="OLW114" s="395"/>
      <c r="OLX114" s="396"/>
      <c r="OLY114" s="394"/>
      <c r="OLZ114" s="395"/>
      <c r="OMA114" s="395"/>
      <c r="OMB114" s="395"/>
      <c r="OMC114" s="395"/>
      <c r="OMD114" s="395"/>
      <c r="OME114" s="395"/>
      <c r="OMF114" s="395"/>
      <c r="OMG114" s="395"/>
      <c r="OMH114" s="395"/>
      <c r="OMI114" s="395"/>
      <c r="OMJ114" s="395"/>
      <c r="OMK114" s="395"/>
      <c r="OML114" s="395"/>
      <c r="OMM114" s="395"/>
      <c r="OMN114" s="395"/>
      <c r="OMO114" s="395"/>
      <c r="OMP114" s="395"/>
      <c r="OMQ114" s="395"/>
      <c r="OMR114" s="395"/>
      <c r="OMS114" s="395"/>
      <c r="OMT114" s="395"/>
      <c r="OMU114" s="395"/>
      <c r="OMV114" s="395"/>
      <c r="OMW114" s="395"/>
      <c r="OMX114" s="395"/>
      <c r="OMY114" s="396"/>
      <c r="OMZ114" s="394"/>
      <c r="ONA114" s="395"/>
      <c r="ONB114" s="395"/>
      <c r="ONC114" s="395"/>
      <c r="OND114" s="395"/>
      <c r="ONE114" s="395"/>
      <c r="ONF114" s="395"/>
      <c r="ONG114" s="395"/>
      <c r="ONH114" s="395"/>
      <c r="ONI114" s="395"/>
      <c r="ONJ114" s="395"/>
      <c r="ONK114" s="395"/>
      <c r="ONL114" s="395"/>
      <c r="ONM114" s="395"/>
      <c r="ONN114" s="395"/>
      <c r="ONO114" s="395"/>
      <c r="ONP114" s="395"/>
      <c r="ONQ114" s="395"/>
      <c r="ONR114" s="395"/>
      <c r="ONS114" s="395"/>
      <c r="ONT114" s="395"/>
      <c r="ONU114" s="395"/>
      <c r="ONV114" s="395"/>
      <c r="ONW114" s="395"/>
      <c r="ONX114" s="395"/>
      <c r="ONY114" s="395"/>
      <c r="ONZ114" s="396"/>
      <c r="OOA114" s="394"/>
      <c r="OOB114" s="395"/>
      <c r="OOC114" s="395"/>
      <c r="OOD114" s="395"/>
      <c r="OOE114" s="395"/>
      <c r="OOF114" s="395"/>
      <c r="OOG114" s="395"/>
      <c r="OOH114" s="395"/>
      <c r="OOI114" s="395"/>
      <c r="OOJ114" s="395"/>
      <c r="OOK114" s="395"/>
      <c r="OOL114" s="395"/>
      <c r="OOM114" s="395"/>
      <c r="OON114" s="395"/>
      <c r="OOO114" s="395"/>
      <c r="OOP114" s="395"/>
      <c r="OOQ114" s="395"/>
      <c r="OOR114" s="395"/>
      <c r="OOS114" s="395"/>
      <c r="OOT114" s="395"/>
      <c r="OOU114" s="395"/>
      <c r="OOV114" s="395"/>
      <c r="OOW114" s="395"/>
      <c r="OOX114" s="395"/>
      <c r="OOY114" s="395"/>
      <c r="OOZ114" s="395"/>
      <c r="OPA114" s="396"/>
      <c r="OPB114" s="394"/>
      <c r="OPC114" s="395"/>
      <c r="OPD114" s="395"/>
      <c r="OPE114" s="395"/>
      <c r="OPF114" s="395"/>
      <c r="OPG114" s="395"/>
      <c r="OPH114" s="395"/>
      <c r="OPI114" s="395"/>
      <c r="OPJ114" s="395"/>
      <c r="OPK114" s="395"/>
      <c r="OPL114" s="395"/>
      <c r="OPM114" s="395"/>
      <c r="OPN114" s="395"/>
      <c r="OPO114" s="395"/>
      <c r="OPP114" s="395"/>
      <c r="OPQ114" s="395"/>
      <c r="OPR114" s="395"/>
      <c r="OPS114" s="395"/>
      <c r="OPT114" s="395"/>
      <c r="OPU114" s="395"/>
      <c r="OPV114" s="395"/>
      <c r="OPW114" s="395"/>
      <c r="OPX114" s="395"/>
      <c r="OPY114" s="395"/>
      <c r="OPZ114" s="395"/>
      <c r="OQA114" s="395"/>
      <c r="OQB114" s="396"/>
      <c r="OQC114" s="394"/>
      <c r="OQD114" s="395"/>
      <c r="OQE114" s="395"/>
      <c r="OQF114" s="395"/>
      <c r="OQG114" s="395"/>
      <c r="OQH114" s="395"/>
      <c r="OQI114" s="395"/>
      <c r="OQJ114" s="395"/>
      <c r="OQK114" s="395"/>
      <c r="OQL114" s="395"/>
      <c r="OQM114" s="395"/>
      <c r="OQN114" s="395"/>
      <c r="OQO114" s="395"/>
      <c r="OQP114" s="395"/>
      <c r="OQQ114" s="395"/>
      <c r="OQR114" s="395"/>
      <c r="OQS114" s="395"/>
      <c r="OQT114" s="395"/>
      <c r="OQU114" s="395"/>
      <c r="OQV114" s="395"/>
      <c r="OQW114" s="395"/>
      <c r="OQX114" s="395"/>
      <c r="OQY114" s="395"/>
      <c r="OQZ114" s="395"/>
      <c r="ORA114" s="395"/>
      <c r="ORB114" s="395"/>
      <c r="ORC114" s="396"/>
      <c r="ORD114" s="394"/>
      <c r="ORE114" s="395"/>
      <c r="ORF114" s="395"/>
      <c r="ORG114" s="395"/>
      <c r="ORH114" s="395"/>
      <c r="ORI114" s="395"/>
      <c r="ORJ114" s="395"/>
      <c r="ORK114" s="395"/>
      <c r="ORL114" s="395"/>
      <c r="ORM114" s="395"/>
      <c r="ORN114" s="395"/>
      <c r="ORO114" s="395"/>
      <c r="ORP114" s="395"/>
      <c r="ORQ114" s="395"/>
      <c r="ORR114" s="395"/>
      <c r="ORS114" s="395"/>
      <c r="ORT114" s="395"/>
      <c r="ORU114" s="395"/>
      <c r="ORV114" s="395"/>
      <c r="ORW114" s="395"/>
      <c r="ORX114" s="395"/>
      <c r="ORY114" s="395"/>
      <c r="ORZ114" s="395"/>
      <c r="OSA114" s="395"/>
      <c r="OSB114" s="395"/>
      <c r="OSC114" s="395"/>
      <c r="OSD114" s="396"/>
      <c r="OSE114" s="394"/>
      <c r="OSF114" s="395"/>
      <c r="OSG114" s="395"/>
      <c r="OSH114" s="395"/>
      <c r="OSI114" s="395"/>
      <c r="OSJ114" s="395"/>
      <c r="OSK114" s="395"/>
      <c r="OSL114" s="395"/>
      <c r="OSM114" s="395"/>
      <c r="OSN114" s="395"/>
      <c r="OSO114" s="395"/>
      <c r="OSP114" s="395"/>
      <c r="OSQ114" s="395"/>
      <c r="OSR114" s="395"/>
      <c r="OSS114" s="395"/>
      <c r="OST114" s="395"/>
      <c r="OSU114" s="395"/>
      <c r="OSV114" s="395"/>
      <c r="OSW114" s="395"/>
      <c r="OSX114" s="395"/>
      <c r="OSY114" s="395"/>
      <c r="OSZ114" s="395"/>
      <c r="OTA114" s="395"/>
      <c r="OTB114" s="395"/>
      <c r="OTC114" s="395"/>
      <c r="OTD114" s="395"/>
      <c r="OTE114" s="396"/>
      <c r="OTF114" s="394"/>
      <c r="OTG114" s="395"/>
      <c r="OTH114" s="395"/>
      <c r="OTI114" s="395"/>
      <c r="OTJ114" s="395"/>
      <c r="OTK114" s="395"/>
      <c r="OTL114" s="395"/>
      <c r="OTM114" s="395"/>
      <c r="OTN114" s="395"/>
      <c r="OTO114" s="395"/>
      <c r="OTP114" s="395"/>
      <c r="OTQ114" s="395"/>
      <c r="OTR114" s="395"/>
      <c r="OTS114" s="395"/>
      <c r="OTT114" s="395"/>
      <c r="OTU114" s="395"/>
      <c r="OTV114" s="395"/>
      <c r="OTW114" s="395"/>
      <c r="OTX114" s="395"/>
      <c r="OTY114" s="395"/>
      <c r="OTZ114" s="395"/>
      <c r="OUA114" s="395"/>
      <c r="OUB114" s="395"/>
      <c r="OUC114" s="395"/>
      <c r="OUD114" s="395"/>
      <c r="OUE114" s="395"/>
      <c r="OUF114" s="396"/>
      <c r="OUG114" s="394"/>
      <c r="OUH114" s="395"/>
      <c r="OUI114" s="395"/>
      <c r="OUJ114" s="395"/>
      <c r="OUK114" s="395"/>
      <c r="OUL114" s="395"/>
      <c r="OUM114" s="395"/>
      <c r="OUN114" s="395"/>
      <c r="OUO114" s="395"/>
      <c r="OUP114" s="395"/>
      <c r="OUQ114" s="395"/>
      <c r="OUR114" s="395"/>
      <c r="OUS114" s="395"/>
      <c r="OUT114" s="395"/>
      <c r="OUU114" s="395"/>
      <c r="OUV114" s="395"/>
      <c r="OUW114" s="395"/>
      <c r="OUX114" s="395"/>
      <c r="OUY114" s="395"/>
      <c r="OUZ114" s="395"/>
      <c r="OVA114" s="395"/>
      <c r="OVB114" s="395"/>
      <c r="OVC114" s="395"/>
      <c r="OVD114" s="395"/>
      <c r="OVE114" s="395"/>
      <c r="OVF114" s="395"/>
      <c r="OVG114" s="396"/>
      <c r="OVH114" s="394"/>
      <c r="OVI114" s="395"/>
      <c r="OVJ114" s="395"/>
      <c r="OVK114" s="395"/>
      <c r="OVL114" s="395"/>
      <c r="OVM114" s="395"/>
      <c r="OVN114" s="395"/>
      <c r="OVO114" s="395"/>
      <c r="OVP114" s="395"/>
      <c r="OVQ114" s="395"/>
      <c r="OVR114" s="395"/>
      <c r="OVS114" s="395"/>
      <c r="OVT114" s="395"/>
      <c r="OVU114" s="395"/>
      <c r="OVV114" s="395"/>
      <c r="OVW114" s="395"/>
      <c r="OVX114" s="395"/>
      <c r="OVY114" s="395"/>
      <c r="OVZ114" s="395"/>
      <c r="OWA114" s="395"/>
      <c r="OWB114" s="395"/>
      <c r="OWC114" s="395"/>
      <c r="OWD114" s="395"/>
      <c r="OWE114" s="395"/>
      <c r="OWF114" s="395"/>
      <c r="OWG114" s="395"/>
      <c r="OWH114" s="396"/>
      <c r="OWI114" s="394"/>
      <c r="OWJ114" s="395"/>
      <c r="OWK114" s="395"/>
      <c r="OWL114" s="395"/>
      <c r="OWM114" s="395"/>
      <c r="OWN114" s="395"/>
      <c r="OWO114" s="395"/>
      <c r="OWP114" s="395"/>
      <c r="OWQ114" s="395"/>
      <c r="OWR114" s="395"/>
      <c r="OWS114" s="395"/>
      <c r="OWT114" s="395"/>
      <c r="OWU114" s="395"/>
      <c r="OWV114" s="395"/>
      <c r="OWW114" s="395"/>
      <c r="OWX114" s="395"/>
      <c r="OWY114" s="395"/>
      <c r="OWZ114" s="395"/>
      <c r="OXA114" s="395"/>
      <c r="OXB114" s="395"/>
      <c r="OXC114" s="395"/>
      <c r="OXD114" s="395"/>
      <c r="OXE114" s="395"/>
      <c r="OXF114" s="395"/>
      <c r="OXG114" s="395"/>
      <c r="OXH114" s="395"/>
      <c r="OXI114" s="396"/>
      <c r="OXJ114" s="394"/>
      <c r="OXK114" s="395"/>
      <c r="OXL114" s="395"/>
      <c r="OXM114" s="395"/>
      <c r="OXN114" s="395"/>
      <c r="OXO114" s="395"/>
      <c r="OXP114" s="395"/>
      <c r="OXQ114" s="395"/>
      <c r="OXR114" s="395"/>
      <c r="OXS114" s="395"/>
      <c r="OXT114" s="395"/>
      <c r="OXU114" s="395"/>
      <c r="OXV114" s="395"/>
      <c r="OXW114" s="395"/>
      <c r="OXX114" s="395"/>
      <c r="OXY114" s="395"/>
      <c r="OXZ114" s="395"/>
      <c r="OYA114" s="395"/>
      <c r="OYB114" s="395"/>
      <c r="OYC114" s="395"/>
      <c r="OYD114" s="395"/>
      <c r="OYE114" s="395"/>
      <c r="OYF114" s="395"/>
      <c r="OYG114" s="395"/>
      <c r="OYH114" s="395"/>
      <c r="OYI114" s="395"/>
      <c r="OYJ114" s="396"/>
      <c r="OYK114" s="394"/>
      <c r="OYL114" s="395"/>
      <c r="OYM114" s="395"/>
      <c r="OYN114" s="395"/>
      <c r="OYO114" s="395"/>
      <c r="OYP114" s="395"/>
      <c r="OYQ114" s="395"/>
      <c r="OYR114" s="395"/>
      <c r="OYS114" s="395"/>
      <c r="OYT114" s="395"/>
      <c r="OYU114" s="395"/>
      <c r="OYV114" s="395"/>
      <c r="OYW114" s="395"/>
      <c r="OYX114" s="395"/>
      <c r="OYY114" s="395"/>
      <c r="OYZ114" s="395"/>
      <c r="OZA114" s="395"/>
      <c r="OZB114" s="395"/>
      <c r="OZC114" s="395"/>
      <c r="OZD114" s="395"/>
      <c r="OZE114" s="395"/>
      <c r="OZF114" s="395"/>
      <c r="OZG114" s="395"/>
      <c r="OZH114" s="395"/>
      <c r="OZI114" s="395"/>
      <c r="OZJ114" s="395"/>
      <c r="OZK114" s="396"/>
      <c r="OZL114" s="394"/>
      <c r="OZM114" s="395"/>
      <c r="OZN114" s="395"/>
      <c r="OZO114" s="395"/>
      <c r="OZP114" s="395"/>
      <c r="OZQ114" s="395"/>
      <c r="OZR114" s="395"/>
      <c r="OZS114" s="395"/>
      <c r="OZT114" s="395"/>
      <c r="OZU114" s="395"/>
      <c r="OZV114" s="395"/>
      <c r="OZW114" s="395"/>
      <c r="OZX114" s="395"/>
      <c r="OZY114" s="395"/>
      <c r="OZZ114" s="395"/>
      <c r="PAA114" s="395"/>
      <c r="PAB114" s="395"/>
      <c r="PAC114" s="395"/>
      <c r="PAD114" s="395"/>
      <c r="PAE114" s="395"/>
      <c r="PAF114" s="395"/>
      <c r="PAG114" s="395"/>
      <c r="PAH114" s="395"/>
      <c r="PAI114" s="395"/>
      <c r="PAJ114" s="395"/>
      <c r="PAK114" s="395"/>
      <c r="PAL114" s="396"/>
      <c r="PAM114" s="394"/>
      <c r="PAN114" s="395"/>
      <c r="PAO114" s="395"/>
      <c r="PAP114" s="395"/>
      <c r="PAQ114" s="395"/>
      <c r="PAR114" s="395"/>
      <c r="PAS114" s="395"/>
      <c r="PAT114" s="395"/>
      <c r="PAU114" s="395"/>
      <c r="PAV114" s="395"/>
      <c r="PAW114" s="395"/>
      <c r="PAX114" s="395"/>
      <c r="PAY114" s="395"/>
      <c r="PAZ114" s="395"/>
      <c r="PBA114" s="395"/>
      <c r="PBB114" s="395"/>
      <c r="PBC114" s="395"/>
      <c r="PBD114" s="395"/>
      <c r="PBE114" s="395"/>
      <c r="PBF114" s="395"/>
      <c r="PBG114" s="395"/>
      <c r="PBH114" s="395"/>
      <c r="PBI114" s="395"/>
      <c r="PBJ114" s="395"/>
      <c r="PBK114" s="395"/>
      <c r="PBL114" s="395"/>
      <c r="PBM114" s="396"/>
      <c r="PBN114" s="394"/>
      <c r="PBO114" s="395"/>
      <c r="PBP114" s="395"/>
      <c r="PBQ114" s="395"/>
      <c r="PBR114" s="395"/>
      <c r="PBS114" s="395"/>
      <c r="PBT114" s="395"/>
      <c r="PBU114" s="395"/>
      <c r="PBV114" s="395"/>
      <c r="PBW114" s="395"/>
      <c r="PBX114" s="395"/>
      <c r="PBY114" s="395"/>
      <c r="PBZ114" s="395"/>
      <c r="PCA114" s="395"/>
      <c r="PCB114" s="395"/>
      <c r="PCC114" s="395"/>
      <c r="PCD114" s="395"/>
      <c r="PCE114" s="395"/>
      <c r="PCF114" s="395"/>
      <c r="PCG114" s="395"/>
      <c r="PCH114" s="395"/>
      <c r="PCI114" s="395"/>
      <c r="PCJ114" s="395"/>
      <c r="PCK114" s="395"/>
      <c r="PCL114" s="395"/>
      <c r="PCM114" s="395"/>
      <c r="PCN114" s="396"/>
      <c r="PCO114" s="394"/>
      <c r="PCP114" s="395"/>
      <c r="PCQ114" s="395"/>
      <c r="PCR114" s="395"/>
      <c r="PCS114" s="395"/>
      <c r="PCT114" s="395"/>
      <c r="PCU114" s="395"/>
      <c r="PCV114" s="395"/>
      <c r="PCW114" s="395"/>
      <c r="PCX114" s="395"/>
      <c r="PCY114" s="395"/>
      <c r="PCZ114" s="395"/>
      <c r="PDA114" s="395"/>
      <c r="PDB114" s="395"/>
      <c r="PDC114" s="395"/>
      <c r="PDD114" s="395"/>
      <c r="PDE114" s="395"/>
      <c r="PDF114" s="395"/>
      <c r="PDG114" s="395"/>
      <c r="PDH114" s="395"/>
      <c r="PDI114" s="395"/>
      <c r="PDJ114" s="395"/>
      <c r="PDK114" s="395"/>
      <c r="PDL114" s="395"/>
      <c r="PDM114" s="395"/>
      <c r="PDN114" s="395"/>
      <c r="PDO114" s="396"/>
      <c r="PDP114" s="394"/>
      <c r="PDQ114" s="395"/>
      <c r="PDR114" s="395"/>
      <c r="PDS114" s="395"/>
      <c r="PDT114" s="395"/>
      <c r="PDU114" s="395"/>
      <c r="PDV114" s="395"/>
      <c r="PDW114" s="395"/>
      <c r="PDX114" s="395"/>
      <c r="PDY114" s="395"/>
      <c r="PDZ114" s="395"/>
      <c r="PEA114" s="395"/>
      <c r="PEB114" s="395"/>
      <c r="PEC114" s="395"/>
      <c r="PED114" s="395"/>
      <c r="PEE114" s="395"/>
      <c r="PEF114" s="395"/>
      <c r="PEG114" s="395"/>
      <c r="PEH114" s="395"/>
      <c r="PEI114" s="395"/>
      <c r="PEJ114" s="395"/>
      <c r="PEK114" s="395"/>
      <c r="PEL114" s="395"/>
      <c r="PEM114" s="395"/>
      <c r="PEN114" s="395"/>
      <c r="PEO114" s="395"/>
      <c r="PEP114" s="396"/>
      <c r="PEQ114" s="394"/>
      <c r="PER114" s="395"/>
      <c r="PES114" s="395"/>
      <c r="PET114" s="395"/>
      <c r="PEU114" s="395"/>
      <c r="PEV114" s="395"/>
      <c r="PEW114" s="395"/>
      <c r="PEX114" s="395"/>
      <c r="PEY114" s="395"/>
      <c r="PEZ114" s="395"/>
      <c r="PFA114" s="395"/>
      <c r="PFB114" s="395"/>
      <c r="PFC114" s="395"/>
      <c r="PFD114" s="395"/>
      <c r="PFE114" s="395"/>
      <c r="PFF114" s="395"/>
      <c r="PFG114" s="395"/>
      <c r="PFH114" s="395"/>
      <c r="PFI114" s="395"/>
      <c r="PFJ114" s="395"/>
      <c r="PFK114" s="395"/>
      <c r="PFL114" s="395"/>
      <c r="PFM114" s="395"/>
      <c r="PFN114" s="395"/>
      <c r="PFO114" s="395"/>
      <c r="PFP114" s="395"/>
      <c r="PFQ114" s="396"/>
      <c r="PFR114" s="394"/>
      <c r="PFS114" s="395"/>
      <c r="PFT114" s="395"/>
      <c r="PFU114" s="395"/>
      <c r="PFV114" s="395"/>
      <c r="PFW114" s="395"/>
      <c r="PFX114" s="395"/>
      <c r="PFY114" s="395"/>
      <c r="PFZ114" s="395"/>
      <c r="PGA114" s="395"/>
      <c r="PGB114" s="395"/>
      <c r="PGC114" s="395"/>
      <c r="PGD114" s="395"/>
      <c r="PGE114" s="395"/>
      <c r="PGF114" s="395"/>
      <c r="PGG114" s="395"/>
      <c r="PGH114" s="395"/>
      <c r="PGI114" s="395"/>
      <c r="PGJ114" s="395"/>
      <c r="PGK114" s="395"/>
      <c r="PGL114" s="395"/>
      <c r="PGM114" s="395"/>
      <c r="PGN114" s="395"/>
      <c r="PGO114" s="395"/>
      <c r="PGP114" s="395"/>
      <c r="PGQ114" s="395"/>
      <c r="PGR114" s="396"/>
      <c r="PGS114" s="394"/>
      <c r="PGT114" s="395"/>
      <c r="PGU114" s="395"/>
      <c r="PGV114" s="395"/>
      <c r="PGW114" s="395"/>
      <c r="PGX114" s="395"/>
      <c r="PGY114" s="395"/>
      <c r="PGZ114" s="395"/>
      <c r="PHA114" s="395"/>
      <c r="PHB114" s="395"/>
      <c r="PHC114" s="395"/>
      <c r="PHD114" s="395"/>
      <c r="PHE114" s="395"/>
      <c r="PHF114" s="395"/>
      <c r="PHG114" s="395"/>
      <c r="PHH114" s="395"/>
      <c r="PHI114" s="395"/>
      <c r="PHJ114" s="395"/>
      <c r="PHK114" s="395"/>
      <c r="PHL114" s="395"/>
      <c r="PHM114" s="395"/>
      <c r="PHN114" s="395"/>
      <c r="PHO114" s="395"/>
      <c r="PHP114" s="395"/>
      <c r="PHQ114" s="395"/>
      <c r="PHR114" s="395"/>
      <c r="PHS114" s="396"/>
      <c r="PHT114" s="394"/>
      <c r="PHU114" s="395"/>
      <c r="PHV114" s="395"/>
      <c r="PHW114" s="395"/>
      <c r="PHX114" s="395"/>
      <c r="PHY114" s="395"/>
      <c r="PHZ114" s="395"/>
      <c r="PIA114" s="395"/>
      <c r="PIB114" s="395"/>
      <c r="PIC114" s="395"/>
      <c r="PID114" s="395"/>
      <c r="PIE114" s="395"/>
      <c r="PIF114" s="395"/>
      <c r="PIG114" s="395"/>
      <c r="PIH114" s="395"/>
      <c r="PII114" s="395"/>
      <c r="PIJ114" s="395"/>
      <c r="PIK114" s="395"/>
      <c r="PIL114" s="395"/>
      <c r="PIM114" s="395"/>
      <c r="PIN114" s="395"/>
      <c r="PIO114" s="395"/>
      <c r="PIP114" s="395"/>
      <c r="PIQ114" s="395"/>
      <c r="PIR114" s="395"/>
      <c r="PIS114" s="395"/>
      <c r="PIT114" s="396"/>
      <c r="PIU114" s="394"/>
      <c r="PIV114" s="395"/>
      <c r="PIW114" s="395"/>
      <c r="PIX114" s="395"/>
      <c r="PIY114" s="395"/>
      <c r="PIZ114" s="395"/>
      <c r="PJA114" s="395"/>
      <c r="PJB114" s="395"/>
      <c r="PJC114" s="395"/>
      <c r="PJD114" s="395"/>
      <c r="PJE114" s="395"/>
      <c r="PJF114" s="395"/>
      <c r="PJG114" s="395"/>
      <c r="PJH114" s="395"/>
      <c r="PJI114" s="395"/>
      <c r="PJJ114" s="395"/>
      <c r="PJK114" s="395"/>
      <c r="PJL114" s="395"/>
      <c r="PJM114" s="395"/>
      <c r="PJN114" s="395"/>
      <c r="PJO114" s="395"/>
      <c r="PJP114" s="395"/>
      <c r="PJQ114" s="395"/>
      <c r="PJR114" s="395"/>
      <c r="PJS114" s="395"/>
      <c r="PJT114" s="395"/>
      <c r="PJU114" s="396"/>
      <c r="PJV114" s="394"/>
      <c r="PJW114" s="395"/>
      <c r="PJX114" s="395"/>
      <c r="PJY114" s="395"/>
      <c r="PJZ114" s="395"/>
      <c r="PKA114" s="395"/>
      <c r="PKB114" s="395"/>
      <c r="PKC114" s="395"/>
      <c r="PKD114" s="395"/>
      <c r="PKE114" s="395"/>
      <c r="PKF114" s="395"/>
      <c r="PKG114" s="395"/>
      <c r="PKH114" s="395"/>
      <c r="PKI114" s="395"/>
      <c r="PKJ114" s="395"/>
      <c r="PKK114" s="395"/>
      <c r="PKL114" s="395"/>
      <c r="PKM114" s="395"/>
      <c r="PKN114" s="395"/>
      <c r="PKO114" s="395"/>
      <c r="PKP114" s="395"/>
      <c r="PKQ114" s="395"/>
      <c r="PKR114" s="395"/>
      <c r="PKS114" s="395"/>
      <c r="PKT114" s="395"/>
      <c r="PKU114" s="395"/>
      <c r="PKV114" s="396"/>
      <c r="PKW114" s="394"/>
      <c r="PKX114" s="395"/>
      <c r="PKY114" s="395"/>
      <c r="PKZ114" s="395"/>
      <c r="PLA114" s="395"/>
      <c r="PLB114" s="395"/>
      <c r="PLC114" s="395"/>
      <c r="PLD114" s="395"/>
      <c r="PLE114" s="395"/>
      <c r="PLF114" s="395"/>
      <c r="PLG114" s="395"/>
      <c r="PLH114" s="395"/>
      <c r="PLI114" s="395"/>
      <c r="PLJ114" s="395"/>
      <c r="PLK114" s="395"/>
      <c r="PLL114" s="395"/>
      <c r="PLM114" s="395"/>
      <c r="PLN114" s="395"/>
      <c r="PLO114" s="395"/>
      <c r="PLP114" s="395"/>
      <c r="PLQ114" s="395"/>
      <c r="PLR114" s="395"/>
      <c r="PLS114" s="395"/>
      <c r="PLT114" s="395"/>
      <c r="PLU114" s="395"/>
      <c r="PLV114" s="395"/>
      <c r="PLW114" s="396"/>
      <c r="PLX114" s="394"/>
      <c r="PLY114" s="395"/>
      <c r="PLZ114" s="395"/>
      <c r="PMA114" s="395"/>
      <c r="PMB114" s="395"/>
      <c r="PMC114" s="395"/>
      <c r="PMD114" s="395"/>
      <c r="PME114" s="395"/>
      <c r="PMF114" s="395"/>
      <c r="PMG114" s="395"/>
      <c r="PMH114" s="395"/>
      <c r="PMI114" s="395"/>
      <c r="PMJ114" s="395"/>
      <c r="PMK114" s="395"/>
      <c r="PML114" s="395"/>
      <c r="PMM114" s="395"/>
      <c r="PMN114" s="395"/>
      <c r="PMO114" s="395"/>
      <c r="PMP114" s="395"/>
      <c r="PMQ114" s="395"/>
      <c r="PMR114" s="395"/>
      <c r="PMS114" s="395"/>
      <c r="PMT114" s="395"/>
      <c r="PMU114" s="395"/>
      <c r="PMV114" s="395"/>
      <c r="PMW114" s="395"/>
      <c r="PMX114" s="396"/>
      <c r="PMY114" s="394"/>
      <c r="PMZ114" s="395"/>
      <c r="PNA114" s="395"/>
      <c r="PNB114" s="395"/>
      <c r="PNC114" s="395"/>
      <c r="PND114" s="395"/>
      <c r="PNE114" s="395"/>
      <c r="PNF114" s="395"/>
      <c r="PNG114" s="395"/>
      <c r="PNH114" s="395"/>
      <c r="PNI114" s="395"/>
      <c r="PNJ114" s="395"/>
      <c r="PNK114" s="395"/>
      <c r="PNL114" s="395"/>
      <c r="PNM114" s="395"/>
      <c r="PNN114" s="395"/>
      <c r="PNO114" s="395"/>
      <c r="PNP114" s="395"/>
      <c r="PNQ114" s="395"/>
      <c r="PNR114" s="395"/>
      <c r="PNS114" s="395"/>
      <c r="PNT114" s="395"/>
      <c r="PNU114" s="395"/>
      <c r="PNV114" s="395"/>
      <c r="PNW114" s="395"/>
      <c r="PNX114" s="395"/>
      <c r="PNY114" s="396"/>
      <c r="PNZ114" s="394"/>
      <c r="POA114" s="395"/>
      <c r="POB114" s="395"/>
      <c r="POC114" s="395"/>
      <c r="POD114" s="395"/>
      <c r="POE114" s="395"/>
      <c r="POF114" s="395"/>
      <c r="POG114" s="395"/>
      <c r="POH114" s="395"/>
      <c r="POI114" s="395"/>
      <c r="POJ114" s="395"/>
      <c r="POK114" s="395"/>
      <c r="POL114" s="395"/>
      <c r="POM114" s="395"/>
      <c r="PON114" s="395"/>
      <c r="POO114" s="395"/>
      <c r="POP114" s="395"/>
      <c r="POQ114" s="395"/>
      <c r="POR114" s="395"/>
      <c r="POS114" s="395"/>
      <c r="POT114" s="395"/>
      <c r="POU114" s="395"/>
      <c r="POV114" s="395"/>
      <c r="POW114" s="395"/>
      <c r="POX114" s="395"/>
      <c r="POY114" s="395"/>
      <c r="POZ114" s="396"/>
      <c r="PPA114" s="394"/>
      <c r="PPB114" s="395"/>
      <c r="PPC114" s="395"/>
      <c r="PPD114" s="395"/>
      <c r="PPE114" s="395"/>
      <c r="PPF114" s="395"/>
      <c r="PPG114" s="395"/>
      <c r="PPH114" s="395"/>
      <c r="PPI114" s="395"/>
      <c r="PPJ114" s="395"/>
      <c r="PPK114" s="395"/>
      <c r="PPL114" s="395"/>
      <c r="PPM114" s="395"/>
      <c r="PPN114" s="395"/>
      <c r="PPO114" s="395"/>
      <c r="PPP114" s="395"/>
      <c r="PPQ114" s="395"/>
      <c r="PPR114" s="395"/>
      <c r="PPS114" s="395"/>
      <c r="PPT114" s="395"/>
      <c r="PPU114" s="395"/>
      <c r="PPV114" s="395"/>
      <c r="PPW114" s="395"/>
      <c r="PPX114" s="395"/>
      <c r="PPY114" s="395"/>
      <c r="PPZ114" s="395"/>
      <c r="PQA114" s="396"/>
      <c r="PQB114" s="394"/>
      <c r="PQC114" s="395"/>
      <c r="PQD114" s="395"/>
      <c r="PQE114" s="395"/>
      <c r="PQF114" s="395"/>
      <c r="PQG114" s="395"/>
      <c r="PQH114" s="395"/>
      <c r="PQI114" s="395"/>
      <c r="PQJ114" s="395"/>
      <c r="PQK114" s="395"/>
      <c r="PQL114" s="395"/>
      <c r="PQM114" s="395"/>
      <c r="PQN114" s="395"/>
      <c r="PQO114" s="395"/>
      <c r="PQP114" s="395"/>
      <c r="PQQ114" s="395"/>
      <c r="PQR114" s="395"/>
      <c r="PQS114" s="395"/>
      <c r="PQT114" s="395"/>
      <c r="PQU114" s="395"/>
      <c r="PQV114" s="395"/>
      <c r="PQW114" s="395"/>
      <c r="PQX114" s="395"/>
      <c r="PQY114" s="395"/>
      <c r="PQZ114" s="395"/>
      <c r="PRA114" s="395"/>
      <c r="PRB114" s="396"/>
      <c r="PRC114" s="394"/>
      <c r="PRD114" s="395"/>
      <c r="PRE114" s="395"/>
      <c r="PRF114" s="395"/>
      <c r="PRG114" s="395"/>
      <c r="PRH114" s="395"/>
      <c r="PRI114" s="395"/>
      <c r="PRJ114" s="395"/>
      <c r="PRK114" s="395"/>
      <c r="PRL114" s="395"/>
      <c r="PRM114" s="395"/>
      <c r="PRN114" s="395"/>
      <c r="PRO114" s="395"/>
      <c r="PRP114" s="395"/>
      <c r="PRQ114" s="395"/>
      <c r="PRR114" s="395"/>
      <c r="PRS114" s="395"/>
      <c r="PRT114" s="395"/>
      <c r="PRU114" s="395"/>
      <c r="PRV114" s="395"/>
      <c r="PRW114" s="395"/>
      <c r="PRX114" s="395"/>
      <c r="PRY114" s="395"/>
      <c r="PRZ114" s="395"/>
      <c r="PSA114" s="395"/>
      <c r="PSB114" s="395"/>
      <c r="PSC114" s="396"/>
      <c r="PSD114" s="394"/>
      <c r="PSE114" s="395"/>
      <c r="PSF114" s="395"/>
      <c r="PSG114" s="395"/>
      <c r="PSH114" s="395"/>
      <c r="PSI114" s="395"/>
      <c r="PSJ114" s="395"/>
      <c r="PSK114" s="395"/>
      <c r="PSL114" s="395"/>
      <c r="PSM114" s="395"/>
      <c r="PSN114" s="395"/>
      <c r="PSO114" s="395"/>
      <c r="PSP114" s="395"/>
      <c r="PSQ114" s="395"/>
      <c r="PSR114" s="395"/>
      <c r="PSS114" s="395"/>
      <c r="PST114" s="395"/>
      <c r="PSU114" s="395"/>
      <c r="PSV114" s="395"/>
      <c r="PSW114" s="395"/>
      <c r="PSX114" s="395"/>
      <c r="PSY114" s="395"/>
      <c r="PSZ114" s="395"/>
      <c r="PTA114" s="395"/>
      <c r="PTB114" s="395"/>
      <c r="PTC114" s="395"/>
      <c r="PTD114" s="396"/>
      <c r="PTE114" s="394"/>
      <c r="PTF114" s="395"/>
      <c r="PTG114" s="395"/>
      <c r="PTH114" s="395"/>
      <c r="PTI114" s="395"/>
      <c r="PTJ114" s="395"/>
      <c r="PTK114" s="395"/>
      <c r="PTL114" s="395"/>
      <c r="PTM114" s="395"/>
      <c r="PTN114" s="395"/>
      <c r="PTO114" s="395"/>
      <c r="PTP114" s="395"/>
      <c r="PTQ114" s="395"/>
      <c r="PTR114" s="395"/>
      <c r="PTS114" s="395"/>
      <c r="PTT114" s="395"/>
      <c r="PTU114" s="395"/>
      <c r="PTV114" s="395"/>
      <c r="PTW114" s="395"/>
      <c r="PTX114" s="395"/>
      <c r="PTY114" s="395"/>
      <c r="PTZ114" s="395"/>
      <c r="PUA114" s="395"/>
      <c r="PUB114" s="395"/>
      <c r="PUC114" s="395"/>
      <c r="PUD114" s="395"/>
      <c r="PUE114" s="396"/>
      <c r="PUF114" s="394"/>
      <c r="PUG114" s="395"/>
      <c r="PUH114" s="395"/>
      <c r="PUI114" s="395"/>
      <c r="PUJ114" s="395"/>
      <c r="PUK114" s="395"/>
      <c r="PUL114" s="395"/>
      <c r="PUM114" s="395"/>
      <c r="PUN114" s="395"/>
      <c r="PUO114" s="395"/>
      <c r="PUP114" s="395"/>
      <c r="PUQ114" s="395"/>
      <c r="PUR114" s="395"/>
      <c r="PUS114" s="395"/>
      <c r="PUT114" s="395"/>
      <c r="PUU114" s="395"/>
      <c r="PUV114" s="395"/>
      <c r="PUW114" s="395"/>
      <c r="PUX114" s="395"/>
      <c r="PUY114" s="395"/>
      <c r="PUZ114" s="395"/>
      <c r="PVA114" s="395"/>
      <c r="PVB114" s="395"/>
      <c r="PVC114" s="395"/>
      <c r="PVD114" s="395"/>
      <c r="PVE114" s="395"/>
      <c r="PVF114" s="396"/>
      <c r="PVG114" s="394"/>
      <c r="PVH114" s="395"/>
      <c r="PVI114" s="395"/>
      <c r="PVJ114" s="395"/>
      <c r="PVK114" s="395"/>
      <c r="PVL114" s="395"/>
      <c r="PVM114" s="395"/>
      <c r="PVN114" s="395"/>
      <c r="PVO114" s="395"/>
      <c r="PVP114" s="395"/>
      <c r="PVQ114" s="395"/>
      <c r="PVR114" s="395"/>
      <c r="PVS114" s="395"/>
      <c r="PVT114" s="395"/>
      <c r="PVU114" s="395"/>
      <c r="PVV114" s="395"/>
      <c r="PVW114" s="395"/>
      <c r="PVX114" s="395"/>
      <c r="PVY114" s="395"/>
      <c r="PVZ114" s="395"/>
      <c r="PWA114" s="395"/>
      <c r="PWB114" s="395"/>
      <c r="PWC114" s="395"/>
      <c r="PWD114" s="395"/>
      <c r="PWE114" s="395"/>
      <c r="PWF114" s="395"/>
      <c r="PWG114" s="396"/>
      <c r="PWH114" s="394"/>
      <c r="PWI114" s="395"/>
      <c r="PWJ114" s="395"/>
      <c r="PWK114" s="395"/>
      <c r="PWL114" s="395"/>
      <c r="PWM114" s="395"/>
      <c r="PWN114" s="395"/>
      <c r="PWO114" s="395"/>
      <c r="PWP114" s="395"/>
      <c r="PWQ114" s="395"/>
      <c r="PWR114" s="395"/>
      <c r="PWS114" s="395"/>
      <c r="PWT114" s="395"/>
      <c r="PWU114" s="395"/>
      <c r="PWV114" s="395"/>
      <c r="PWW114" s="395"/>
      <c r="PWX114" s="395"/>
      <c r="PWY114" s="395"/>
      <c r="PWZ114" s="395"/>
      <c r="PXA114" s="395"/>
      <c r="PXB114" s="395"/>
      <c r="PXC114" s="395"/>
      <c r="PXD114" s="395"/>
      <c r="PXE114" s="395"/>
      <c r="PXF114" s="395"/>
      <c r="PXG114" s="395"/>
      <c r="PXH114" s="396"/>
      <c r="PXI114" s="394"/>
      <c r="PXJ114" s="395"/>
      <c r="PXK114" s="395"/>
      <c r="PXL114" s="395"/>
      <c r="PXM114" s="395"/>
      <c r="PXN114" s="395"/>
      <c r="PXO114" s="395"/>
      <c r="PXP114" s="395"/>
      <c r="PXQ114" s="395"/>
      <c r="PXR114" s="395"/>
      <c r="PXS114" s="395"/>
      <c r="PXT114" s="395"/>
      <c r="PXU114" s="395"/>
      <c r="PXV114" s="395"/>
      <c r="PXW114" s="395"/>
      <c r="PXX114" s="395"/>
      <c r="PXY114" s="395"/>
      <c r="PXZ114" s="395"/>
      <c r="PYA114" s="395"/>
      <c r="PYB114" s="395"/>
      <c r="PYC114" s="395"/>
      <c r="PYD114" s="395"/>
      <c r="PYE114" s="395"/>
      <c r="PYF114" s="395"/>
      <c r="PYG114" s="395"/>
      <c r="PYH114" s="395"/>
      <c r="PYI114" s="396"/>
      <c r="PYJ114" s="394"/>
      <c r="PYK114" s="395"/>
      <c r="PYL114" s="395"/>
      <c r="PYM114" s="395"/>
      <c r="PYN114" s="395"/>
      <c r="PYO114" s="395"/>
      <c r="PYP114" s="395"/>
      <c r="PYQ114" s="395"/>
      <c r="PYR114" s="395"/>
      <c r="PYS114" s="395"/>
      <c r="PYT114" s="395"/>
      <c r="PYU114" s="395"/>
      <c r="PYV114" s="395"/>
      <c r="PYW114" s="395"/>
      <c r="PYX114" s="395"/>
      <c r="PYY114" s="395"/>
      <c r="PYZ114" s="395"/>
      <c r="PZA114" s="395"/>
      <c r="PZB114" s="395"/>
      <c r="PZC114" s="395"/>
      <c r="PZD114" s="395"/>
      <c r="PZE114" s="395"/>
      <c r="PZF114" s="395"/>
      <c r="PZG114" s="395"/>
      <c r="PZH114" s="395"/>
      <c r="PZI114" s="395"/>
      <c r="PZJ114" s="396"/>
      <c r="PZK114" s="394"/>
      <c r="PZL114" s="395"/>
      <c r="PZM114" s="395"/>
      <c r="PZN114" s="395"/>
      <c r="PZO114" s="395"/>
      <c r="PZP114" s="395"/>
      <c r="PZQ114" s="395"/>
      <c r="PZR114" s="395"/>
      <c r="PZS114" s="395"/>
      <c r="PZT114" s="395"/>
      <c r="PZU114" s="395"/>
      <c r="PZV114" s="395"/>
      <c r="PZW114" s="395"/>
      <c r="PZX114" s="395"/>
      <c r="PZY114" s="395"/>
      <c r="PZZ114" s="395"/>
      <c r="QAA114" s="395"/>
      <c r="QAB114" s="395"/>
      <c r="QAC114" s="395"/>
      <c r="QAD114" s="395"/>
      <c r="QAE114" s="395"/>
      <c r="QAF114" s="395"/>
      <c r="QAG114" s="395"/>
      <c r="QAH114" s="395"/>
      <c r="QAI114" s="395"/>
      <c r="QAJ114" s="395"/>
      <c r="QAK114" s="396"/>
      <c r="QAL114" s="394"/>
      <c r="QAM114" s="395"/>
      <c r="QAN114" s="395"/>
      <c r="QAO114" s="395"/>
      <c r="QAP114" s="395"/>
      <c r="QAQ114" s="395"/>
      <c r="QAR114" s="395"/>
      <c r="QAS114" s="395"/>
      <c r="QAT114" s="395"/>
      <c r="QAU114" s="395"/>
      <c r="QAV114" s="395"/>
      <c r="QAW114" s="395"/>
      <c r="QAX114" s="395"/>
      <c r="QAY114" s="395"/>
      <c r="QAZ114" s="395"/>
      <c r="QBA114" s="395"/>
      <c r="QBB114" s="395"/>
      <c r="QBC114" s="395"/>
      <c r="QBD114" s="395"/>
      <c r="QBE114" s="395"/>
      <c r="QBF114" s="395"/>
      <c r="QBG114" s="395"/>
      <c r="QBH114" s="395"/>
      <c r="QBI114" s="395"/>
      <c r="QBJ114" s="395"/>
      <c r="QBK114" s="395"/>
      <c r="QBL114" s="396"/>
      <c r="QBM114" s="394"/>
      <c r="QBN114" s="395"/>
      <c r="QBO114" s="395"/>
      <c r="QBP114" s="395"/>
      <c r="QBQ114" s="395"/>
      <c r="QBR114" s="395"/>
      <c r="QBS114" s="395"/>
      <c r="QBT114" s="395"/>
      <c r="QBU114" s="395"/>
      <c r="QBV114" s="395"/>
      <c r="QBW114" s="395"/>
      <c r="QBX114" s="395"/>
      <c r="QBY114" s="395"/>
      <c r="QBZ114" s="395"/>
      <c r="QCA114" s="395"/>
      <c r="QCB114" s="395"/>
      <c r="QCC114" s="395"/>
      <c r="QCD114" s="395"/>
      <c r="QCE114" s="395"/>
      <c r="QCF114" s="395"/>
      <c r="QCG114" s="395"/>
      <c r="QCH114" s="395"/>
      <c r="QCI114" s="395"/>
      <c r="QCJ114" s="395"/>
      <c r="QCK114" s="395"/>
      <c r="QCL114" s="395"/>
      <c r="QCM114" s="396"/>
      <c r="QCN114" s="394"/>
      <c r="QCO114" s="395"/>
      <c r="QCP114" s="395"/>
      <c r="QCQ114" s="395"/>
      <c r="QCR114" s="395"/>
      <c r="QCS114" s="395"/>
      <c r="QCT114" s="395"/>
      <c r="QCU114" s="395"/>
      <c r="QCV114" s="395"/>
      <c r="QCW114" s="395"/>
      <c r="QCX114" s="395"/>
      <c r="QCY114" s="395"/>
      <c r="QCZ114" s="395"/>
      <c r="QDA114" s="395"/>
      <c r="QDB114" s="395"/>
      <c r="QDC114" s="395"/>
      <c r="QDD114" s="395"/>
      <c r="QDE114" s="395"/>
      <c r="QDF114" s="395"/>
      <c r="QDG114" s="395"/>
      <c r="QDH114" s="395"/>
      <c r="QDI114" s="395"/>
      <c r="QDJ114" s="395"/>
      <c r="QDK114" s="395"/>
      <c r="QDL114" s="395"/>
      <c r="QDM114" s="395"/>
      <c r="QDN114" s="396"/>
      <c r="QDO114" s="394"/>
      <c r="QDP114" s="395"/>
      <c r="QDQ114" s="395"/>
      <c r="QDR114" s="395"/>
      <c r="QDS114" s="395"/>
      <c r="QDT114" s="395"/>
      <c r="QDU114" s="395"/>
      <c r="QDV114" s="395"/>
      <c r="QDW114" s="395"/>
      <c r="QDX114" s="395"/>
      <c r="QDY114" s="395"/>
      <c r="QDZ114" s="395"/>
      <c r="QEA114" s="395"/>
      <c r="QEB114" s="395"/>
      <c r="QEC114" s="395"/>
      <c r="QED114" s="395"/>
      <c r="QEE114" s="395"/>
      <c r="QEF114" s="395"/>
      <c r="QEG114" s="395"/>
      <c r="QEH114" s="395"/>
      <c r="QEI114" s="395"/>
      <c r="QEJ114" s="395"/>
      <c r="QEK114" s="395"/>
      <c r="QEL114" s="395"/>
      <c r="QEM114" s="395"/>
      <c r="QEN114" s="395"/>
      <c r="QEO114" s="396"/>
      <c r="QEP114" s="394"/>
      <c r="QEQ114" s="395"/>
      <c r="QER114" s="395"/>
      <c r="QES114" s="395"/>
      <c r="QET114" s="395"/>
      <c r="QEU114" s="395"/>
      <c r="QEV114" s="395"/>
      <c r="QEW114" s="395"/>
      <c r="QEX114" s="395"/>
      <c r="QEY114" s="395"/>
      <c r="QEZ114" s="395"/>
      <c r="QFA114" s="395"/>
      <c r="QFB114" s="395"/>
      <c r="QFC114" s="395"/>
      <c r="QFD114" s="395"/>
      <c r="QFE114" s="395"/>
      <c r="QFF114" s="395"/>
      <c r="QFG114" s="395"/>
      <c r="QFH114" s="395"/>
      <c r="QFI114" s="395"/>
      <c r="QFJ114" s="395"/>
      <c r="QFK114" s="395"/>
      <c r="QFL114" s="395"/>
      <c r="QFM114" s="395"/>
      <c r="QFN114" s="395"/>
      <c r="QFO114" s="395"/>
      <c r="QFP114" s="396"/>
      <c r="QFQ114" s="394"/>
      <c r="QFR114" s="395"/>
      <c r="QFS114" s="395"/>
      <c r="QFT114" s="395"/>
      <c r="QFU114" s="395"/>
      <c r="QFV114" s="395"/>
      <c r="QFW114" s="395"/>
      <c r="QFX114" s="395"/>
      <c r="QFY114" s="395"/>
      <c r="QFZ114" s="395"/>
      <c r="QGA114" s="395"/>
      <c r="QGB114" s="395"/>
      <c r="QGC114" s="395"/>
      <c r="QGD114" s="395"/>
      <c r="QGE114" s="395"/>
      <c r="QGF114" s="395"/>
      <c r="QGG114" s="395"/>
      <c r="QGH114" s="395"/>
      <c r="QGI114" s="395"/>
      <c r="QGJ114" s="395"/>
      <c r="QGK114" s="395"/>
      <c r="QGL114" s="395"/>
      <c r="QGM114" s="395"/>
      <c r="QGN114" s="395"/>
      <c r="QGO114" s="395"/>
      <c r="QGP114" s="395"/>
      <c r="QGQ114" s="396"/>
      <c r="QGR114" s="394"/>
      <c r="QGS114" s="395"/>
      <c r="QGT114" s="395"/>
      <c r="QGU114" s="395"/>
      <c r="QGV114" s="395"/>
      <c r="QGW114" s="395"/>
      <c r="QGX114" s="395"/>
      <c r="QGY114" s="395"/>
      <c r="QGZ114" s="395"/>
      <c r="QHA114" s="395"/>
      <c r="QHB114" s="395"/>
      <c r="QHC114" s="395"/>
      <c r="QHD114" s="395"/>
      <c r="QHE114" s="395"/>
      <c r="QHF114" s="395"/>
      <c r="QHG114" s="395"/>
      <c r="QHH114" s="395"/>
      <c r="QHI114" s="395"/>
      <c r="QHJ114" s="395"/>
      <c r="QHK114" s="395"/>
      <c r="QHL114" s="395"/>
      <c r="QHM114" s="395"/>
      <c r="QHN114" s="395"/>
      <c r="QHO114" s="395"/>
      <c r="QHP114" s="395"/>
      <c r="QHQ114" s="395"/>
      <c r="QHR114" s="396"/>
      <c r="QHS114" s="394"/>
      <c r="QHT114" s="395"/>
      <c r="QHU114" s="395"/>
      <c r="QHV114" s="395"/>
      <c r="QHW114" s="395"/>
      <c r="QHX114" s="395"/>
      <c r="QHY114" s="395"/>
      <c r="QHZ114" s="395"/>
      <c r="QIA114" s="395"/>
      <c r="QIB114" s="395"/>
      <c r="QIC114" s="395"/>
      <c r="QID114" s="395"/>
      <c r="QIE114" s="395"/>
      <c r="QIF114" s="395"/>
      <c r="QIG114" s="395"/>
      <c r="QIH114" s="395"/>
      <c r="QII114" s="395"/>
      <c r="QIJ114" s="395"/>
      <c r="QIK114" s="395"/>
      <c r="QIL114" s="395"/>
      <c r="QIM114" s="395"/>
      <c r="QIN114" s="395"/>
      <c r="QIO114" s="395"/>
      <c r="QIP114" s="395"/>
      <c r="QIQ114" s="395"/>
      <c r="QIR114" s="395"/>
      <c r="QIS114" s="396"/>
      <c r="QIT114" s="394"/>
      <c r="QIU114" s="395"/>
      <c r="QIV114" s="395"/>
      <c r="QIW114" s="395"/>
      <c r="QIX114" s="395"/>
      <c r="QIY114" s="395"/>
      <c r="QIZ114" s="395"/>
      <c r="QJA114" s="395"/>
      <c r="QJB114" s="395"/>
      <c r="QJC114" s="395"/>
      <c r="QJD114" s="395"/>
      <c r="QJE114" s="395"/>
      <c r="QJF114" s="395"/>
      <c r="QJG114" s="395"/>
      <c r="QJH114" s="395"/>
      <c r="QJI114" s="395"/>
      <c r="QJJ114" s="395"/>
      <c r="QJK114" s="395"/>
      <c r="QJL114" s="395"/>
      <c r="QJM114" s="395"/>
      <c r="QJN114" s="395"/>
      <c r="QJO114" s="395"/>
      <c r="QJP114" s="395"/>
      <c r="QJQ114" s="395"/>
      <c r="QJR114" s="395"/>
      <c r="QJS114" s="395"/>
      <c r="QJT114" s="396"/>
      <c r="QJU114" s="394"/>
      <c r="QJV114" s="395"/>
      <c r="QJW114" s="395"/>
      <c r="QJX114" s="395"/>
      <c r="QJY114" s="395"/>
      <c r="QJZ114" s="395"/>
      <c r="QKA114" s="395"/>
      <c r="QKB114" s="395"/>
      <c r="QKC114" s="395"/>
      <c r="QKD114" s="395"/>
      <c r="QKE114" s="395"/>
      <c r="QKF114" s="395"/>
      <c r="QKG114" s="395"/>
      <c r="QKH114" s="395"/>
      <c r="QKI114" s="395"/>
      <c r="QKJ114" s="395"/>
      <c r="QKK114" s="395"/>
      <c r="QKL114" s="395"/>
      <c r="QKM114" s="395"/>
      <c r="QKN114" s="395"/>
      <c r="QKO114" s="395"/>
      <c r="QKP114" s="395"/>
      <c r="QKQ114" s="395"/>
      <c r="QKR114" s="395"/>
      <c r="QKS114" s="395"/>
      <c r="QKT114" s="395"/>
      <c r="QKU114" s="396"/>
      <c r="QKV114" s="394"/>
      <c r="QKW114" s="395"/>
      <c r="QKX114" s="395"/>
      <c r="QKY114" s="395"/>
      <c r="QKZ114" s="395"/>
      <c r="QLA114" s="395"/>
      <c r="QLB114" s="395"/>
      <c r="QLC114" s="395"/>
      <c r="QLD114" s="395"/>
      <c r="QLE114" s="395"/>
      <c r="QLF114" s="395"/>
      <c r="QLG114" s="395"/>
      <c r="QLH114" s="395"/>
      <c r="QLI114" s="395"/>
      <c r="QLJ114" s="395"/>
      <c r="QLK114" s="395"/>
      <c r="QLL114" s="395"/>
      <c r="QLM114" s="395"/>
      <c r="QLN114" s="395"/>
      <c r="QLO114" s="395"/>
      <c r="QLP114" s="395"/>
      <c r="QLQ114" s="395"/>
      <c r="QLR114" s="395"/>
      <c r="QLS114" s="395"/>
      <c r="QLT114" s="395"/>
      <c r="QLU114" s="395"/>
      <c r="QLV114" s="396"/>
      <c r="QLW114" s="394"/>
      <c r="QLX114" s="395"/>
      <c r="QLY114" s="395"/>
      <c r="QLZ114" s="395"/>
      <c r="QMA114" s="395"/>
      <c r="QMB114" s="395"/>
      <c r="QMC114" s="395"/>
      <c r="QMD114" s="395"/>
      <c r="QME114" s="395"/>
      <c r="QMF114" s="395"/>
      <c r="QMG114" s="395"/>
      <c r="QMH114" s="395"/>
      <c r="QMI114" s="395"/>
      <c r="QMJ114" s="395"/>
      <c r="QMK114" s="395"/>
      <c r="QML114" s="395"/>
      <c r="QMM114" s="395"/>
      <c r="QMN114" s="395"/>
      <c r="QMO114" s="395"/>
      <c r="QMP114" s="395"/>
      <c r="QMQ114" s="395"/>
      <c r="QMR114" s="395"/>
      <c r="QMS114" s="395"/>
      <c r="QMT114" s="395"/>
      <c r="QMU114" s="395"/>
      <c r="QMV114" s="395"/>
      <c r="QMW114" s="396"/>
      <c r="QMX114" s="394"/>
      <c r="QMY114" s="395"/>
      <c r="QMZ114" s="395"/>
      <c r="QNA114" s="395"/>
      <c r="QNB114" s="395"/>
      <c r="QNC114" s="395"/>
      <c r="QND114" s="395"/>
      <c r="QNE114" s="395"/>
      <c r="QNF114" s="395"/>
      <c r="QNG114" s="395"/>
      <c r="QNH114" s="395"/>
      <c r="QNI114" s="395"/>
      <c r="QNJ114" s="395"/>
      <c r="QNK114" s="395"/>
      <c r="QNL114" s="395"/>
      <c r="QNM114" s="395"/>
      <c r="QNN114" s="395"/>
      <c r="QNO114" s="395"/>
      <c r="QNP114" s="395"/>
      <c r="QNQ114" s="395"/>
      <c r="QNR114" s="395"/>
      <c r="QNS114" s="395"/>
      <c r="QNT114" s="395"/>
      <c r="QNU114" s="395"/>
      <c r="QNV114" s="395"/>
      <c r="QNW114" s="395"/>
      <c r="QNX114" s="396"/>
      <c r="QNY114" s="394"/>
      <c r="QNZ114" s="395"/>
      <c r="QOA114" s="395"/>
      <c r="QOB114" s="395"/>
      <c r="QOC114" s="395"/>
      <c r="QOD114" s="395"/>
      <c r="QOE114" s="395"/>
      <c r="QOF114" s="395"/>
      <c r="QOG114" s="395"/>
      <c r="QOH114" s="395"/>
      <c r="QOI114" s="395"/>
      <c r="QOJ114" s="395"/>
      <c r="QOK114" s="395"/>
      <c r="QOL114" s="395"/>
      <c r="QOM114" s="395"/>
      <c r="QON114" s="395"/>
      <c r="QOO114" s="395"/>
      <c r="QOP114" s="395"/>
      <c r="QOQ114" s="395"/>
      <c r="QOR114" s="395"/>
      <c r="QOS114" s="395"/>
      <c r="QOT114" s="395"/>
      <c r="QOU114" s="395"/>
      <c r="QOV114" s="395"/>
      <c r="QOW114" s="395"/>
      <c r="QOX114" s="395"/>
      <c r="QOY114" s="396"/>
      <c r="QOZ114" s="394"/>
      <c r="QPA114" s="395"/>
      <c r="QPB114" s="395"/>
      <c r="QPC114" s="395"/>
      <c r="QPD114" s="395"/>
      <c r="QPE114" s="395"/>
      <c r="QPF114" s="395"/>
      <c r="QPG114" s="395"/>
      <c r="QPH114" s="395"/>
      <c r="QPI114" s="395"/>
      <c r="QPJ114" s="395"/>
      <c r="QPK114" s="395"/>
      <c r="QPL114" s="395"/>
      <c r="QPM114" s="395"/>
      <c r="QPN114" s="395"/>
      <c r="QPO114" s="395"/>
      <c r="QPP114" s="395"/>
      <c r="QPQ114" s="395"/>
      <c r="QPR114" s="395"/>
      <c r="QPS114" s="395"/>
      <c r="QPT114" s="395"/>
      <c r="QPU114" s="395"/>
      <c r="QPV114" s="395"/>
      <c r="QPW114" s="395"/>
      <c r="QPX114" s="395"/>
      <c r="QPY114" s="395"/>
      <c r="QPZ114" s="396"/>
      <c r="QQA114" s="394"/>
      <c r="QQB114" s="395"/>
      <c r="QQC114" s="395"/>
      <c r="QQD114" s="395"/>
      <c r="QQE114" s="395"/>
      <c r="QQF114" s="395"/>
      <c r="QQG114" s="395"/>
      <c r="QQH114" s="395"/>
      <c r="QQI114" s="395"/>
      <c r="QQJ114" s="395"/>
      <c r="QQK114" s="395"/>
      <c r="QQL114" s="395"/>
      <c r="QQM114" s="395"/>
      <c r="QQN114" s="395"/>
      <c r="QQO114" s="395"/>
      <c r="QQP114" s="395"/>
      <c r="QQQ114" s="395"/>
      <c r="QQR114" s="395"/>
      <c r="QQS114" s="395"/>
      <c r="QQT114" s="395"/>
      <c r="QQU114" s="395"/>
      <c r="QQV114" s="395"/>
      <c r="QQW114" s="395"/>
      <c r="QQX114" s="395"/>
      <c r="QQY114" s="395"/>
      <c r="QQZ114" s="395"/>
      <c r="QRA114" s="396"/>
      <c r="QRB114" s="394"/>
      <c r="QRC114" s="395"/>
      <c r="QRD114" s="395"/>
      <c r="QRE114" s="395"/>
      <c r="QRF114" s="395"/>
      <c r="QRG114" s="395"/>
      <c r="QRH114" s="395"/>
      <c r="QRI114" s="395"/>
      <c r="QRJ114" s="395"/>
      <c r="QRK114" s="395"/>
      <c r="QRL114" s="395"/>
      <c r="QRM114" s="395"/>
      <c r="QRN114" s="395"/>
      <c r="QRO114" s="395"/>
      <c r="QRP114" s="395"/>
      <c r="QRQ114" s="395"/>
      <c r="QRR114" s="395"/>
      <c r="QRS114" s="395"/>
      <c r="QRT114" s="395"/>
      <c r="QRU114" s="395"/>
      <c r="QRV114" s="395"/>
      <c r="QRW114" s="395"/>
      <c r="QRX114" s="395"/>
      <c r="QRY114" s="395"/>
      <c r="QRZ114" s="395"/>
      <c r="QSA114" s="395"/>
      <c r="QSB114" s="396"/>
      <c r="QSC114" s="394"/>
      <c r="QSD114" s="395"/>
      <c r="QSE114" s="395"/>
      <c r="QSF114" s="395"/>
      <c r="QSG114" s="395"/>
      <c r="QSH114" s="395"/>
      <c r="QSI114" s="395"/>
      <c r="QSJ114" s="395"/>
      <c r="QSK114" s="395"/>
      <c r="QSL114" s="395"/>
      <c r="QSM114" s="395"/>
      <c r="QSN114" s="395"/>
      <c r="QSO114" s="395"/>
      <c r="QSP114" s="395"/>
      <c r="QSQ114" s="395"/>
      <c r="QSR114" s="395"/>
      <c r="QSS114" s="395"/>
      <c r="QST114" s="395"/>
      <c r="QSU114" s="395"/>
      <c r="QSV114" s="395"/>
      <c r="QSW114" s="395"/>
      <c r="QSX114" s="395"/>
      <c r="QSY114" s="395"/>
      <c r="QSZ114" s="395"/>
      <c r="QTA114" s="395"/>
      <c r="QTB114" s="395"/>
      <c r="QTC114" s="396"/>
      <c r="QTD114" s="394"/>
      <c r="QTE114" s="395"/>
      <c r="QTF114" s="395"/>
      <c r="QTG114" s="395"/>
      <c r="QTH114" s="395"/>
      <c r="QTI114" s="395"/>
      <c r="QTJ114" s="395"/>
      <c r="QTK114" s="395"/>
      <c r="QTL114" s="395"/>
      <c r="QTM114" s="395"/>
      <c r="QTN114" s="395"/>
      <c r="QTO114" s="395"/>
      <c r="QTP114" s="395"/>
      <c r="QTQ114" s="395"/>
      <c r="QTR114" s="395"/>
      <c r="QTS114" s="395"/>
      <c r="QTT114" s="395"/>
      <c r="QTU114" s="395"/>
      <c r="QTV114" s="395"/>
      <c r="QTW114" s="395"/>
      <c r="QTX114" s="395"/>
      <c r="QTY114" s="395"/>
      <c r="QTZ114" s="395"/>
      <c r="QUA114" s="395"/>
      <c r="QUB114" s="395"/>
      <c r="QUC114" s="395"/>
      <c r="QUD114" s="396"/>
      <c r="QUE114" s="394"/>
      <c r="QUF114" s="395"/>
      <c r="QUG114" s="395"/>
      <c r="QUH114" s="395"/>
      <c r="QUI114" s="395"/>
      <c r="QUJ114" s="395"/>
      <c r="QUK114" s="395"/>
      <c r="QUL114" s="395"/>
      <c r="QUM114" s="395"/>
      <c r="QUN114" s="395"/>
      <c r="QUO114" s="395"/>
      <c r="QUP114" s="395"/>
      <c r="QUQ114" s="395"/>
      <c r="QUR114" s="395"/>
      <c r="QUS114" s="395"/>
      <c r="QUT114" s="395"/>
      <c r="QUU114" s="395"/>
      <c r="QUV114" s="395"/>
      <c r="QUW114" s="395"/>
      <c r="QUX114" s="395"/>
      <c r="QUY114" s="395"/>
      <c r="QUZ114" s="395"/>
      <c r="QVA114" s="395"/>
      <c r="QVB114" s="395"/>
      <c r="QVC114" s="395"/>
      <c r="QVD114" s="395"/>
      <c r="QVE114" s="396"/>
      <c r="QVF114" s="394"/>
      <c r="QVG114" s="395"/>
      <c r="QVH114" s="395"/>
      <c r="QVI114" s="395"/>
      <c r="QVJ114" s="395"/>
      <c r="QVK114" s="395"/>
      <c r="QVL114" s="395"/>
      <c r="QVM114" s="395"/>
      <c r="QVN114" s="395"/>
      <c r="QVO114" s="395"/>
      <c r="QVP114" s="395"/>
      <c r="QVQ114" s="395"/>
      <c r="QVR114" s="395"/>
      <c r="QVS114" s="395"/>
      <c r="QVT114" s="395"/>
      <c r="QVU114" s="395"/>
      <c r="QVV114" s="395"/>
      <c r="QVW114" s="395"/>
      <c r="QVX114" s="395"/>
      <c r="QVY114" s="395"/>
      <c r="QVZ114" s="395"/>
      <c r="QWA114" s="395"/>
      <c r="QWB114" s="395"/>
      <c r="QWC114" s="395"/>
      <c r="QWD114" s="395"/>
      <c r="QWE114" s="395"/>
      <c r="QWF114" s="396"/>
      <c r="QWG114" s="394"/>
      <c r="QWH114" s="395"/>
      <c r="QWI114" s="395"/>
      <c r="QWJ114" s="395"/>
      <c r="QWK114" s="395"/>
      <c r="QWL114" s="395"/>
      <c r="QWM114" s="395"/>
      <c r="QWN114" s="395"/>
      <c r="QWO114" s="395"/>
      <c r="QWP114" s="395"/>
      <c r="QWQ114" s="395"/>
      <c r="QWR114" s="395"/>
      <c r="QWS114" s="395"/>
      <c r="QWT114" s="395"/>
      <c r="QWU114" s="395"/>
      <c r="QWV114" s="395"/>
      <c r="QWW114" s="395"/>
      <c r="QWX114" s="395"/>
      <c r="QWY114" s="395"/>
      <c r="QWZ114" s="395"/>
      <c r="QXA114" s="395"/>
      <c r="QXB114" s="395"/>
      <c r="QXC114" s="395"/>
      <c r="QXD114" s="395"/>
      <c r="QXE114" s="395"/>
      <c r="QXF114" s="395"/>
      <c r="QXG114" s="396"/>
      <c r="QXH114" s="394"/>
      <c r="QXI114" s="395"/>
      <c r="QXJ114" s="395"/>
      <c r="QXK114" s="395"/>
      <c r="QXL114" s="395"/>
      <c r="QXM114" s="395"/>
      <c r="QXN114" s="395"/>
      <c r="QXO114" s="395"/>
      <c r="QXP114" s="395"/>
      <c r="QXQ114" s="395"/>
      <c r="QXR114" s="395"/>
      <c r="QXS114" s="395"/>
      <c r="QXT114" s="395"/>
      <c r="QXU114" s="395"/>
      <c r="QXV114" s="395"/>
      <c r="QXW114" s="395"/>
      <c r="QXX114" s="395"/>
      <c r="QXY114" s="395"/>
      <c r="QXZ114" s="395"/>
      <c r="QYA114" s="395"/>
      <c r="QYB114" s="395"/>
      <c r="QYC114" s="395"/>
      <c r="QYD114" s="395"/>
      <c r="QYE114" s="395"/>
      <c r="QYF114" s="395"/>
      <c r="QYG114" s="395"/>
      <c r="QYH114" s="396"/>
      <c r="QYI114" s="394"/>
      <c r="QYJ114" s="395"/>
      <c r="QYK114" s="395"/>
      <c r="QYL114" s="395"/>
      <c r="QYM114" s="395"/>
      <c r="QYN114" s="395"/>
      <c r="QYO114" s="395"/>
      <c r="QYP114" s="395"/>
      <c r="QYQ114" s="395"/>
      <c r="QYR114" s="395"/>
      <c r="QYS114" s="395"/>
      <c r="QYT114" s="395"/>
      <c r="QYU114" s="395"/>
      <c r="QYV114" s="395"/>
      <c r="QYW114" s="395"/>
      <c r="QYX114" s="395"/>
      <c r="QYY114" s="395"/>
      <c r="QYZ114" s="395"/>
      <c r="QZA114" s="395"/>
      <c r="QZB114" s="395"/>
      <c r="QZC114" s="395"/>
      <c r="QZD114" s="395"/>
      <c r="QZE114" s="395"/>
      <c r="QZF114" s="395"/>
      <c r="QZG114" s="395"/>
      <c r="QZH114" s="395"/>
      <c r="QZI114" s="396"/>
      <c r="QZJ114" s="394"/>
      <c r="QZK114" s="395"/>
      <c r="QZL114" s="395"/>
      <c r="QZM114" s="395"/>
      <c r="QZN114" s="395"/>
      <c r="QZO114" s="395"/>
      <c r="QZP114" s="395"/>
      <c r="QZQ114" s="395"/>
      <c r="QZR114" s="395"/>
      <c r="QZS114" s="395"/>
      <c r="QZT114" s="395"/>
      <c r="QZU114" s="395"/>
      <c r="QZV114" s="395"/>
      <c r="QZW114" s="395"/>
      <c r="QZX114" s="395"/>
      <c r="QZY114" s="395"/>
      <c r="QZZ114" s="395"/>
      <c r="RAA114" s="395"/>
      <c r="RAB114" s="395"/>
      <c r="RAC114" s="395"/>
      <c r="RAD114" s="395"/>
      <c r="RAE114" s="395"/>
      <c r="RAF114" s="395"/>
      <c r="RAG114" s="395"/>
      <c r="RAH114" s="395"/>
      <c r="RAI114" s="395"/>
      <c r="RAJ114" s="396"/>
      <c r="RAK114" s="394"/>
      <c r="RAL114" s="395"/>
      <c r="RAM114" s="395"/>
      <c r="RAN114" s="395"/>
      <c r="RAO114" s="395"/>
      <c r="RAP114" s="395"/>
      <c r="RAQ114" s="395"/>
      <c r="RAR114" s="395"/>
      <c r="RAS114" s="395"/>
      <c r="RAT114" s="395"/>
      <c r="RAU114" s="395"/>
      <c r="RAV114" s="395"/>
      <c r="RAW114" s="395"/>
      <c r="RAX114" s="395"/>
      <c r="RAY114" s="395"/>
      <c r="RAZ114" s="395"/>
      <c r="RBA114" s="395"/>
      <c r="RBB114" s="395"/>
      <c r="RBC114" s="395"/>
      <c r="RBD114" s="395"/>
      <c r="RBE114" s="395"/>
      <c r="RBF114" s="395"/>
      <c r="RBG114" s="395"/>
      <c r="RBH114" s="395"/>
      <c r="RBI114" s="395"/>
      <c r="RBJ114" s="395"/>
      <c r="RBK114" s="396"/>
      <c r="RBL114" s="394"/>
      <c r="RBM114" s="395"/>
      <c r="RBN114" s="395"/>
      <c r="RBO114" s="395"/>
      <c r="RBP114" s="395"/>
      <c r="RBQ114" s="395"/>
      <c r="RBR114" s="395"/>
      <c r="RBS114" s="395"/>
      <c r="RBT114" s="395"/>
      <c r="RBU114" s="395"/>
      <c r="RBV114" s="395"/>
      <c r="RBW114" s="395"/>
      <c r="RBX114" s="395"/>
      <c r="RBY114" s="395"/>
      <c r="RBZ114" s="395"/>
      <c r="RCA114" s="395"/>
      <c r="RCB114" s="395"/>
      <c r="RCC114" s="395"/>
      <c r="RCD114" s="395"/>
      <c r="RCE114" s="395"/>
      <c r="RCF114" s="395"/>
      <c r="RCG114" s="395"/>
      <c r="RCH114" s="395"/>
      <c r="RCI114" s="395"/>
      <c r="RCJ114" s="395"/>
      <c r="RCK114" s="395"/>
      <c r="RCL114" s="396"/>
      <c r="RCM114" s="394"/>
      <c r="RCN114" s="395"/>
      <c r="RCO114" s="395"/>
      <c r="RCP114" s="395"/>
      <c r="RCQ114" s="395"/>
      <c r="RCR114" s="395"/>
      <c r="RCS114" s="395"/>
      <c r="RCT114" s="395"/>
      <c r="RCU114" s="395"/>
      <c r="RCV114" s="395"/>
      <c r="RCW114" s="395"/>
      <c r="RCX114" s="395"/>
      <c r="RCY114" s="395"/>
      <c r="RCZ114" s="395"/>
      <c r="RDA114" s="395"/>
      <c r="RDB114" s="395"/>
      <c r="RDC114" s="395"/>
      <c r="RDD114" s="395"/>
      <c r="RDE114" s="395"/>
      <c r="RDF114" s="395"/>
      <c r="RDG114" s="395"/>
      <c r="RDH114" s="395"/>
      <c r="RDI114" s="395"/>
      <c r="RDJ114" s="395"/>
      <c r="RDK114" s="395"/>
      <c r="RDL114" s="395"/>
      <c r="RDM114" s="396"/>
      <c r="RDN114" s="394"/>
      <c r="RDO114" s="395"/>
      <c r="RDP114" s="395"/>
      <c r="RDQ114" s="395"/>
      <c r="RDR114" s="395"/>
      <c r="RDS114" s="395"/>
      <c r="RDT114" s="395"/>
      <c r="RDU114" s="395"/>
      <c r="RDV114" s="395"/>
      <c r="RDW114" s="395"/>
      <c r="RDX114" s="395"/>
      <c r="RDY114" s="395"/>
      <c r="RDZ114" s="395"/>
      <c r="REA114" s="395"/>
      <c r="REB114" s="395"/>
      <c r="REC114" s="395"/>
      <c r="RED114" s="395"/>
      <c r="REE114" s="395"/>
      <c r="REF114" s="395"/>
      <c r="REG114" s="395"/>
      <c r="REH114" s="395"/>
      <c r="REI114" s="395"/>
      <c r="REJ114" s="395"/>
      <c r="REK114" s="395"/>
      <c r="REL114" s="395"/>
      <c r="REM114" s="395"/>
      <c r="REN114" s="396"/>
      <c r="REO114" s="394"/>
      <c r="REP114" s="395"/>
      <c r="REQ114" s="395"/>
      <c r="RER114" s="395"/>
      <c r="RES114" s="395"/>
      <c r="RET114" s="395"/>
      <c r="REU114" s="395"/>
      <c r="REV114" s="395"/>
      <c r="REW114" s="395"/>
      <c r="REX114" s="395"/>
      <c r="REY114" s="395"/>
      <c r="REZ114" s="395"/>
      <c r="RFA114" s="395"/>
      <c r="RFB114" s="395"/>
      <c r="RFC114" s="395"/>
      <c r="RFD114" s="395"/>
      <c r="RFE114" s="395"/>
      <c r="RFF114" s="395"/>
      <c r="RFG114" s="395"/>
      <c r="RFH114" s="395"/>
      <c r="RFI114" s="395"/>
      <c r="RFJ114" s="395"/>
      <c r="RFK114" s="395"/>
      <c r="RFL114" s="395"/>
      <c r="RFM114" s="395"/>
      <c r="RFN114" s="395"/>
      <c r="RFO114" s="396"/>
      <c r="RFP114" s="394"/>
      <c r="RFQ114" s="395"/>
      <c r="RFR114" s="395"/>
      <c r="RFS114" s="395"/>
      <c r="RFT114" s="395"/>
      <c r="RFU114" s="395"/>
      <c r="RFV114" s="395"/>
      <c r="RFW114" s="395"/>
      <c r="RFX114" s="395"/>
      <c r="RFY114" s="395"/>
      <c r="RFZ114" s="395"/>
      <c r="RGA114" s="395"/>
      <c r="RGB114" s="395"/>
      <c r="RGC114" s="395"/>
      <c r="RGD114" s="395"/>
      <c r="RGE114" s="395"/>
      <c r="RGF114" s="395"/>
      <c r="RGG114" s="395"/>
      <c r="RGH114" s="395"/>
      <c r="RGI114" s="395"/>
      <c r="RGJ114" s="395"/>
      <c r="RGK114" s="395"/>
      <c r="RGL114" s="395"/>
      <c r="RGM114" s="395"/>
      <c r="RGN114" s="395"/>
      <c r="RGO114" s="395"/>
      <c r="RGP114" s="396"/>
      <c r="RGQ114" s="394"/>
      <c r="RGR114" s="395"/>
      <c r="RGS114" s="395"/>
      <c r="RGT114" s="395"/>
      <c r="RGU114" s="395"/>
      <c r="RGV114" s="395"/>
      <c r="RGW114" s="395"/>
      <c r="RGX114" s="395"/>
      <c r="RGY114" s="395"/>
      <c r="RGZ114" s="395"/>
      <c r="RHA114" s="395"/>
      <c r="RHB114" s="395"/>
      <c r="RHC114" s="395"/>
      <c r="RHD114" s="395"/>
      <c r="RHE114" s="395"/>
      <c r="RHF114" s="395"/>
      <c r="RHG114" s="395"/>
      <c r="RHH114" s="395"/>
      <c r="RHI114" s="395"/>
      <c r="RHJ114" s="395"/>
      <c r="RHK114" s="395"/>
      <c r="RHL114" s="395"/>
      <c r="RHM114" s="395"/>
      <c r="RHN114" s="395"/>
      <c r="RHO114" s="395"/>
      <c r="RHP114" s="395"/>
      <c r="RHQ114" s="396"/>
      <c r="RHR114" s="394"/>
      <c r="RHS114" s="395"/>
      <c r="RHT114" s="395"/>
      <c r="RHU114" s="395"/>
      <c r="RHV114" s="395"/>
      <c r="RHW114" s="395"/>
      <c r="RHX114" s="395"/>
      <c r="RHY114" s="395"/>
      <c r="RHZ114" s="395"/>
      <c r="RIA114" s="395"/>
      <c r="RIB114" s="395"/>
      <c r="RIC114" s="395"/>
      <c r="RID114" s="395"/>
      <c r="RIE114" s="395"/>
      <c r="RIF114" s="395"/>
      <c r="RIG114" s="395"/>
      <c r="RIH114" s="395"/>
      <c r="RII114" s="395"/>
      <c r="RIJ114" s="395"/>
      <c r="RIK114" s="395"/>
      <c r="RIL114" s="395"/>
      <c r="RIM114" s="395"/>
      <c r="RIN114" s="395"/>
      <c r="RIO114" s="395"/>
      <c r="RIP114" s="395"/>
      <c r="RIQ114" s="395"/>
      <c r="RIR114" s="396"/>
      <c r="RIS114" s="394"/>
      <c r="RIT114" s="395"/>
      <c r="RIU114" s="395"/>
      <c r="RIV114" s="395"/>
      <c r="RIW114" s="395"/>
      <c r="RIX114" s="395"/>
      <c r="RIY114" s="395"/>
      <c r="RIZ114" s="395"/>
      <c r="RJA114" s="395"/>
      <c r="RJB114" s="395"/>
      <c r="RJC114" s="395"/>
      <c r="RJD114" s="395"/>
      <c r="RJE114" s="395"/>
      <c r="RJF114" s="395"/>
      <c r="RJG114" s="395"/>
      <c r="RJH114" s="395"/>
      <c r="RJI114" s="395"/>
      <c r="RJJ114" s="395"/>
      <c r="RJK114" s="395"/>
      <c r="RJL114" s="395"/>
      <c r="RJM114" s="395"/>
      <c r="RJN114" s="395"/>
      <c r="RJO114" s="395"/>
      <c r="RJP114" s="395"/>
      <c r="RJQ114" s="395"/>
      <c r="RJR114" s="395"/>
      <c r="RJS114" s="396"/>
      <c r="RJT114" s="394"/>
      <c r="RJU114" s="395"/>
      <c r="RJV114" s="395"/>
      <c r="RJW114" s="395"/>
      <c r="RJX114" s="395"/>
      <c r="RJY114" s="395"/>
      <c r="RJZ114" s="395"/>
      <c r="RKA114" s="395"/>
      <c r="RKB114" s="395"/>
      <c r="RKC114" s="395"/>
      <c r="RKD114" s="395"/>
      <c r="RKE114" s="395"/>
      <c r="RKF114" s="395"/>
      <c r="RKG114" s="395"/>
      <c r="RKH114" s="395"/>
      <c r="RKI114" s="395"/>
      <c r="RKJ114" s="395"/>
      <c r="RKK114" s="395"/>
      <c r="RKL114" s="395"/>
      <c r="RKM114" s="395"/>
      <c r="RKN114" s="395"/>
      <c r="RKO114" s="395"/>
      <c r="RKP114" s="395"/>
      <c r="RKQ114" s="395"/>
      <c r="RKR114" s="395"/>
      <c r="RKS114" s="395"/>
      <c r="RKT114" s="396"/>
      <c r="RKU114" s="394"/>
      <c r="RKV114" s="395"/>
      <c r="RKW114" s="395"/>
      <c r="RKX114" s="395"/>
      <c r="RKY114" s="395"/>
      <c r="RKZ114" s="395"/>
      <c r="RLA114" s="395"/>
      <c r="RLB114" s="395"/>
      <c r="RLC114" s="395"/>
      <c r="RLD114" s="395"/>
      <c r="RLE114" s="395"/>
      <c r="RLF114" s="395"/>
      <c r="RLG114" s="395"/>
      <c r="RLH114" s="395"/>
      <c r="RLI114" s="395"/>
      <c r="RLJ114" s="395"/>
      <c r="RLK114" s="395"/>
      <c r="RLL114" s="395"/>
      <c r="RLM114" s="395"/>
      <c r="RLN114" s="395"/>
      <c r="RLO114" s="395"/>
      <c r="RLP114" s="395"/>
      <c r="RLQ114" s="395"/>
      <c r="RLR114" s="395"/>
      <c r="RLS114" s="395"/>
      <c r="RLT114" s="395"/>
      <c r="RLU114" s="396"/>
      <c r="RLV114" s="394"/>
      <c r="RLW114" s="395"/>
      <c r="RLX114" s="395"/>
      <c r="RLY114" s="395"/>
      <c r="RLZ114" s="395"/>
      <c r="RMA114" s="395"/>
      <c r="RMB114" s="395"/>
      <c r="RMC114" s="395"/>
      <c r="RMD114" s="395"/>
      <c r="RME114" s="395"/>
      <c r="RMF114" s="395"/>
      <c r="RMG114" s="395"/>
      <c r="RMH114" s="395"/>
      <c r="RMI114" s="395"/>
      <c r="RMJ114" s="395"/>
      <c r="RMK114" s="395"/>
      <c r="RML114" s="395"/>
      <c r="RMM114" s="395"/>
      <c r="RMN114" s="395"/>
      <c r="RMO114" s="395"/>
      <c r="RMP114" s="395"/>
      <c r="RMQ114" s="395"/>
      <c r="RMR114" s="395"/>
      <c r="RMS114" s="395"/>
      <c r="RMT114" s="395"/>
      <c r="RMU114" s="395"/>
      <c r="RMV114" s="396"/>
      <c r="RMW114" s="394"/>
      <c r="RMX114" s="395"/>
      <c r="RMY114" s="395"/>
      <c r="RMZ114" s="395"/>
      <c r="RNA114" s="395"/>
      <c r="RNB114" s="395"/>
      <c r="RNC114" s="395"/>
      <c r="RND114" s="395"/>
      <c r="RNE114" s="395"/>
      <c r="RNF114" s="395"/>
      <c r="RNG114" s="395"/>
      <c r="RNH114" s="395"/>
      <c r="RNI114" s="395"/>
      <c r="RNJ114" s="395"/>
      <c r="RNK114" s="395"/>
      <c r="RNL114" s="395"/>
      <c r="RNM114" s="395"/>
      <c r="RNN114" s="395"/>
      <c r="RNO114" s="395"/>
      <c r="RNP114" s="395"/>
      <c r="RNQ114" s="395"/>
      <c r="RNR114" s="395"/>
      <c r="RNS114" s="395"/>
      <c r="RNT114" s="395"/>
      <c r="RNU114" s="395"/>
      <c r="RNV114" s="395"/>
      <c r="RNW114" s="396"/>
      <c r="RNX114" s="394"/>
      <c r="RNY114" s="395"/>
      <c r="RNZ114" s="395"/>
      <c r="ROA114" s="395"/>
      <c r="ROB114" s="395"/>
      <c r="ROC114" s="395"/>
      <c r="ROD114" s="395"/>
      <c r="ROE114" s="395"/>
      <c r="ROF114" s="395"/>
      <c r="ROG114" s="395"/>
      <c r="ROH114" s="395"/>
      <c r="ROI114" s="395"/>
      <c r="ROJ114" s="395"/>
      <c r="ROK114" s="395"/>
      <c r="ROL114" s="395"/>
      <c r="ROM114" s="395"/>
      <c r="RON114" s="395"/>
      <c r="ROO114" s="395"/>
      <c r="ROP114" s="395"/>
      <c r="ROQ114" s="395"/>
      <c r="ROR114" s="395"/>
      <c r="ROS114" s="395"/>
      <c r="ROT114" s="395"/>
      <c r="ROU114" s="395"/>
      <c r="ROV114" s="395"/>
      <c r="ROW114" s="395"/>
      <c r="ROX114" s="396"/>
      <c r="ROY114" s="394"/>
      <c r="ROZ114" s="395"/>
      <c r="RPA114" s="395"/>
      <c r="RPB114" s="395"/>
      <c r="RPC114" s="395"/>
      <c r="RPD114" s="395"/>
      <c r="RPE114" s="395"/>
      <c r="RPF114" s="395"/>
      <c r="RPG114" s="395"/>
      <c r="RPH114" s="395"/>
      <c r="RPI114" s="395"/>
      <c r="RPJ114" s="395"/>
      <c r="RPK114" s="395"/>
      <c r="RPL114" s="395"/>
      <c r="RPM114" s="395"/>
      <c r="RPN114" s="395"/>
      <c r="RPO114" s="395"/>
      <c r="RPP114" s="395"/>
      <c r="RPQ114" s="395"/>
      <c r="RPR114" s="395"/>
      <c r="RPS114" s="395"/>
      <c r="RPT114" s="395"/>
      <c r="RPU114" s="395"/>
      <c r="RPV114" s="395"/>
      <c r="RPW114" s="395"/>
      <c r="RPX114" s="395"/>
      <c r="RPY114" s="396"/>
      <c r="RPZ114" s="394"/>
      <c r="RQA114" s="395"/>
      <c r="RQB114" s="395"/>
      <c r="RQC114" s="395"/>
      <c r="RQD114" s="395"/>
      <c r="RQE114" s="395"/>
      <c r="RQF114" s="395"/>
      <c r="RQG114" s="395"/>
      <c r="RQH114" s="395"/>
      <c r="RQI114" s="395"/>
      <c r="RQJ114" s="395"/>
      <c r="RQK114" s="395"/>
      <c r="RQL114" s="395"/>
      <c r="RQM114" s="395"/>
      <c r="RQN114" s="395"/>
      <c r="RQO114" s="395"/>
      <c r="RQP114" s="395"/>
      <c r="RQQ114" s="395"/>
      <c r="RQR114" s="395"/>
      <c r="RQS114" s="395"/>
      <c r="RQT114" s="395"/>
      <c r="RQU114" s="395"/>
      <c r="RQV114" s="395"/>
      <c r="RQW114" s="395"/>
      <c r="RQX114" s="395"/>
      <c r="RQY114" s="395"/>
      <c r="RQZ114" s="396"/>
      <c r="RRA114" s="394"/>
      <c r="RRB114" s="395"/>
      <c r="RRC114" s="395"/>
      <c r="RRD114" s="395"/>
      <c r="RRE114" s="395"/>
      <c r="RRF114" s="395"/>
      <c r="RRG114" s="395"/>
      <c r="RRH114" s="395"/>
      <c r="RRI114" s="395"/>
      <c r="RRJ114" s="395"/>
      <c r="RRK114" s="395"/>
      <c r="RRL114" s="395"/>
      <c r="RRM114" s="395"/>
      <c r="RRN114" s="395"/>
      <c r="RRO114" s="395"/>
      <c r="RRP114" s="395"/>
      <c r="RRQ114" s="395"/>
      <c r="RRR114" s="395"/>
      <c r="RRS114" s="395"/>
      <c r="RRT114" s="395"/>
      <c r="RRU114" s="395"/>
      <c r="RRV114" s="395"/>
      <c r="RRW114" s="395"/>
      <c r="RRX114" s="395"/>
      <c r="RRY114" s="395"/>
      <c r="RRZ114" s="395"/>
      <c r="RSA114" s="396"/>
      <c r="RSB114" s="394"/>
      <c r="RSC114" s="395"/>
      <c r="RSD114" s="395"/>
      <c r="RSE114" s="395"/>
      <c r="RSF114" s="395"/>
      <c r="RSG114" s="395"/>
      <c r="RSH114" s="395"/>
      <c r="RSI114" s="395"/>
      <c r="RSJ114" s="395"/>
      <c r="RSK114" s="395"/>
      <c r="RSL114" s="395"/>
      <c r="RSM114" s="395"/>
      <c r="RSN114" s="395"/>
      <c r="RSO114" s="395"/>
      <c r="RSP114" s="395"/>
      <c r="RSQ114" s="395"/>
      <c r="RSR114" s="395"/>
      <c r="RSS114" s="395"/>
      <c r="RST114" s="395"/>
      <c r="RSU114" s="395"/>
      <c r="RSV114" s="395"/>
      <c r="RSW114" s="395"/>
      <c r="RSX114" s="395"/>
      <c r="RSY114" s="395"/>
      <c r="RSZ114" s="395"/>
      <c r="RTA114" s="395"/>
      <c r="RTB114" s="396"/>
      <c r="RTC114" s="394"/>
      <c r="RTD114" s="395"/>
      <c r="RTE114" s="395"/>
      <c r="RTF114" s="395"/>
      <c r="RTG114" s="395"/>
      <c r="RTH114" s="395"/>
      <c r="RTI114" s="395"/>
      <c r="RTJ114" s="395"/>
      <c r="RTK114" s="395"/>
      <c r="RTL114" s="395"/>
      <c r="RTM114" s="395"/>
      <c r="RTN114" s="395"/>
      <c r="RTO114" s="395"/>
      <c r="RTP114" s="395"/>
      <c r="RTQ114" s="395"/>
      <c r="RTR114" s="395"/>
      <c r="RTS114" s="395"/>
      <c r="RTT114" s="395"/>
      <c r="RTU114" s="395"/>
      <c r="RTV114" s="395"/>
      <c r="RTW114" s="395"/>
      <c r="RTX114" s="395"/>
      <c r="RTY114" s="395"/>
      <c r="RTZ114" s="395"/>
      <c r="RUA114" s="395"/>
      <c r="RUB114" s="395"/>
      <c r="RUC114" s="396"/>
      <c r="RUD114" s="394"/>
      <c r="RUE114" s="395"/>
      <c r="RUF114" s="395"/>
      <c r="RUG114" s="395"/>
      <c r="RUH114" s="395"/>
      <c r="RUI114" s="395"/>
      <c r="RUJ114" s="395"/>
      <c r="RUK114" s="395"/>
      <c r="RUL114" s="395"/>
      <c r="RUM114" s="395"/>
      <c r="RUN114" s="395"/>
      <c r="RUO114" s="395"/>
      <c r="RUP114" s="395"/>
      <c r="RUQ114" s="395"/>
      <c r="RUR114" s="395"/>
      <c r="RUS114" s="395"/>
      <c r="RUT114" s="395"/>
      <c r="RUU114" s="395"/>
      <c r="RUV114" s="395"/>
      <c r="RUW114" s="395"/>
      <c r="RUX114" s="395"/>
      <c r="RUY114" s="395"/>
      <c r="RUZ114" s="395"/>
      <c r="RVA114" s="395"/>
      <c r="RVB114" s="395"/>
      <c r="RVC114" s="395"/>
      <c r="RVD114" s="396"/>
      <c r="RVE114" s="394"/>
      <c r="RVF114" s="395"/>
      <c r="RVG114" s="395"/>
      <c r="RVH114" s="395"/>
      <c r="RVI114" s="395"/>
      <c r="RVJ114" s="395"/>
      <c r="RVK114" s="395"/>
      <c r="RVL114" s="395"/>
      <c r="RVM114" s="395"/>
      <c r="RVN114" s="395"/>
      <c r="RVO114" s="395"/>
      <c r="RVP114" s="395"/>
      <c r="RVQ114" s="395"/>
      <c r="RVR114" s="395"/>
      <c r="RVS114" s="395"/>
      <c r="RVT114" s="395"/>
      <c r="RVU114" s="395"/>
      <c r="RVV114" s="395"/>
      <c r="RVW114" s="395"/>
      <c r="RVX114" s="395"/>
      <c r="RVY114" s="395"/>
      <c r="RVZ114" s="395"/>
      <c r="RWA114" s="395"/>
      <c r="RWB114" s="395"/>
      <c r="RWC114" s="395"/>
      <c r="RWD114" s="395"/>
      <c r="RWE114" s="396"/>
      <c r="RWF114" s="394"/>
      <c r="RWG114" s="395"/>
      <c r="RWH114" s="395"/>
      <c r="RWI114" s="395"/>
      <c r="RWJ114" s="395"/>
      <c r="RWK114" s="395"/>
      <c r="RWL114" s="395"/>
      <c r="RWM114" s="395"/>
      <c r="RWN114" s="395"/>
      <c r="RWO114" s="395"/>
      <c r="RWP114" s="395"/>
      <c r="RWQ114" s="395"/>
      <c r="RWR114" s="395"/>
      <c r="RWS114" s="395"/>
      <c r="RWT114" s="395"/>
      <c r="RWU114" s="395"/>
      <c r="RWV114" s="395"/>
      <c r="RWW114" s="395"/>
      <c r="RWX114" s="395"/>
      <c r="RWY114" s="395"/>
      <c r="RWZ114" s="395"/>
      <c r="RXA114" s="395"/>
      <c r="RXB114" s="395"/>
      <c r="RXC114" s="395"/>
      <c r="RXD114" s="395"/>
      <c r="RXE114" s="395"/>
      <c r="RXF114" s="396"/>
      <c r="RXG114" s="394"/>
      <c r="RXH114" s="395"/>
      <c r="RXI114" s="395"/>
      <c r="RXJ114" s="395"/>
      <c r="RXK114" s="395"/>
      <c r="RXL114" s="395"/>
      <c r="RXM114" s="395"/>
      <c r="RXN114" s="395"/>
      <c r="RXO114" s="395"/>
      <c r="RXP114" s="395"/>
      <c r="RXQ114" s="395"/>
      <c r="RXR114" s="395"/>
      <c r="RXS114" s="395"/>
      <c r="RXT114" s="395"/>
      <c r="RXU114" s="395"/>
      <c r="RXV114" s="395"/>
      <c r="RXW114" s="395"/>
      <c r="RXX114" s="395"/>
      <c r="RXY114" s="395"/>
      <c r="RXZ114" s="395"/>
      <c r="RYA114" s="395"/>
      <c r="RYB114" s="395"/>
      <c r="RYC114" s="395"/>
      <c r="RYD114" s="395"/>
      <c r="RYE114" s="395"/>
      <c r="RYF114" s="395"/>
      <c r="RYG114" s="396"/>
      <c r="RYH114" s="394"/>
      <c r="RYI114" s="395"/>
      <c r="RYJ114" s="395"/>
      <c r="RYK114" s="395"/>
      <c r="RYL114" s="395"/>
      <c r="RYM114" s="395"/>
      <c r="RYN114" s="395"/>
      <c r="RYO114" s="395"/>
      <c r="RYP114" s="395"/>
      <c r="RYQ114" s="395"/>
      <c r="RYR114" s="395"/>
      <c r="RYS114" s="395"/>
      <c r="RYT114" s="395"/>
      <c r="RYU114" s="395"/>
      <c r="RYV114" s="395"/>
      <c r="RYW114" s="395"/>
      <c r="RYX114" s="395"/>
      <c r="RYY114" s="395"/>
      <c r="RYZ114" s="395"/>
      <c r="RZA114" s="395"/>
      <c r="RZB114" s="395"/>
      <c r="RZC114" s="395"/>
      <c r="RZD114" s="395"/>
      <c r="RZE114" s="395"/>
      <c r="RZF114" s="395"/>
      <c r="RZG114" s="395"/>
      <c r="RZH114" s="396"/>
      <c r="RZI114" s="394"/>
      <c r="RZJ114" s="395"/>
      <c r="RZK114" s="395"/>
      <c r="RZL114" s="395"/>
      <c r="RZM114" s="395"/>
      <c r="RZN114" s="395"/>
      <c r="RZO114" s="395"/>
      <c r="RZP114" s="395"/>
      <c r="RZQ114" s="395"/>
      <c r="RZR114" s="395"/>
      <c r="RZS114" s="395"/>
      <c r="RZT114" s="395"/>
      <c r="RZU114" s="395"/>
      <c r="RZV114" s="395"/>
      <c r="RZW114" s="395"/>
      <c r="RZX114" s="395"/>
      <c r="RZY114" s="395"/>
      <c r="RZZ114" s="395"/>
      <c r="SAA114" s="395"/>
      <c r="SAB114" s="395"/>
      <c r="SAC114" s="395"/>
      <c r="SAD114" s="395"/>
      <c r="SAE114" s="395"/>
      <c r="SAF114" s="395"/>
      <c r="SAG114" s="395"/>
      <c r="SAH114" s="395"/>
      <c r="SAI114" s="396"/>
      <c r="SAJ114" s="394"/>
      <c r="SAK114" s="395"/>
      <c r="SAL114" s="395"/>
      <c r="SAM114" s="395"/>
      <c r="SAN114" s="395"/>
      <c r="SAO114" s="395"/>
      <c r="SAP114" s="395"/>
      <c r="SAQ114" s="395"/>
      <c r="SAR114" s="395"/>
      <c r="SAS114" s="395"/>
      <c r="SAT114" s="395"/>
      <c r="SAU114" s="395"/>
      <c r="SAV114" s="395"/>
      <c r="SAW114" s="395"/>
      <c r="SAX114" s="395"/>
      <c r="SAY114" s="395"/>
      <c r="SAZ114" s="395"/>
      <c r="SBA114" s="395"/>
      <c r="SBB114" s="395"/>
      <c r="SBC114" s="395"/>
      <c r="SBD114" s="395"/>
      <c r="SBE114" s="395"/>
      <c r="SBF114" s="395"/>
      <c r="SBG114" s="395"/>
      <c r="SBH114" s="395"/>
      <c r="SBI114" s="395"/>
      <c r="SBJ114" s="396"/>
      <c r="SBK114" s="394"/>
      <c r="SBL114" s="395"/>
      <c r="SBM114" s="395"/>
      <c r="SBN114" s="395"/>
      <c r="SBO114" s="395"/>
      <c r="SBP114" s="395"/>
      <c r="SBQ114" s="395"/>
      <c r="SBR114" s="395"/>
      <c r="SBS114" s="395"/>
      <c r="SBT114" s="395"/>
      <c r="SBU114" s="395"/>
      <c r="SBV114" s="395"/>
      <c r="SBW114" s="395"/>
      <c r="SBX114" s="395"/>
      <c r="SBY114" s="395"/>
      <c r="SBZ114" s="395"/>
      <c r="SCA114" s="395"/>
      <c r="SCB114" s="395"/>
      <c r="SCC114" s="395"/>
      <c r="SCD114" s="395"/>
      <c r="SCE114" s="395"/>
      <c r="SCF114" s="395"/>
      <c r="SCG114" s="395"/>
      <c r="SCH114" s="395"/>
      <c r="SCI114" s="395"/>
      <c r="SCJ114" s="395"/>
      <c r="SCK114" s="396"/>
      <c r="SCL114" s="394"/>
      <c r="SCM114" s="395"/>
      <c r="SCN114" s="395"/>
      <c r="SCO114" s="395"/>
      <c r="SCP114" s="395"/>
      <c r="SCQ114" s="395"/>
      <c r="SCR114" s="395"/>
      <c r="SCS114" s="395"/>
      <c r="SCT114" s="395"/>
      <c r="SCU114" s="395"/>
      <c r="SCV114" s="395"/>
      <c r="SCW114" s="395"/>
      <c r="SCX114" s="395"/>
      <c r="SCY114" s="395"/>
      <c r="SCZ114" s="395"/>
      <c r="SDA114" s="395"/>
      <c r="SDB114" s="395"/>
      <c r="SDC114" s="395"/>
      <c r="SDD114" s="395"/>
      <c r="SDE114" s="395"/>
      <c r="SDF114" s="395"/>
      <c r="SDG114" s="395"/>
      <c r="SDH114" s="395"/>
      <c r="SDI114" s="395"/>
      <c r="SDJ114" s="395"/>
      <c r="SDK114" s="395"/>
      <c r="SDL114" s="396"/>
      <c r="SDM114" s="394"/>
      <c r="SDN114" s="395"/>
      <c r="SDO114" s="395"/>
      <c r="SDP114" s="395"/>
      <c r="SDQ114" s="395"/>
      <c r="SDR114" s="395"/>
      <c r="SDS114" s="395"/>
      <c r="SDT114" s="395"/>
      <c r="SDU114" s="395"/>
      <c r="SDV114" s="395"/>
      <c r="SDW114" s="395"/>
      <c r="SDX114" s="395"/>
      <c r="SDY114" s="395"/>
      <c r="SDZ114" s="395"/>
      <c r="SEA114" s="395"/>
      <c r="SEB114" s="395"/>
      <c r="SEC114" s="395"/>
      <c r="SED114" s="395"/>
      <c r="SEE114" s="395"/>
      <c r="SEF114" s="395"/>
      <c r="SEG114" s="395"/>
      <c r="SEH114" s="395"/>
      <c r="SEI114" s="395"/>
      <c r="SEJ114" s="395"/>
      <c r="SEK114" s="395"/>
      <c r="SEL114" s="395"/>
      <c r="SEM114" s="396"/>
      <c r="SEN114" s="394"/>
      <c r="SEO114" s="395"/>
      <c r="SEP114" s="395"/>
      <c r="SEQ114" s="395"/>
      <c r="SER114" s="395"/>
      <c r="SES114" s="395"/>
      <c r="SET114" s="395"/>
      <c r="SEU114" s="395"/>
      <c r="SEV114" s="395"/>
      <c r="SEW114" s="395"/>
      <c r="SEX114" s="395"/>
      <c r="SEY114" s="395"/>
      <c r="SEZ114" s="395"/>
      <c r="SFA114" s="395"/>
      <c r="SFB114" s="395"/>
      <c r="SFC114" s="395"/>
      <c r="SFD114" s="395"/>
      <c r="SFE114" s="395"/>
      <c r="SFF114" s="395"/>
      <c r="SFG114" s="395"/>
      <c r="SFH114" s="395"/>
      <c r="SFI114" s="395"/>
      <c r="SFJ114" s="395"/>
      <c r="SFK114" s="395"/>
      <c r="SFL114" s="395"/>
      <c r="SFM114" s="395"/>
      <c r="SFN114" s="396"/>
      <c r="SFO114" s="394"/>
      <c r="SFP114" s="395"/>
      <c r="SFQ114" s="395"/>
      <c r="SFR114" s="395"/>
      <c r="SFS114" s="395"/>
      <c r="SFT114" s="395"/>
      <c r="SFU114" s="395"/>
      <c r="SFV114" s="395"/>
      <c r="SFW114" s="395"/>
      <c r="SFX114" s="395"/>
      <c r="SFY114" s="395"/>
      <c r="SFZ114" s="395"/>
      <c r="SGA114" s="395"/>
      <c r="SGB114" s="395"/>
      <c r="SGC114" s="395"/>
      <c r="SGD114" s="395"/>
      <c r="SGE114" s="395"/>
      <c r="SGF114" s="395"/>
      <c r="SGG114" s="395"/>
      <c r="SGH114" s="395"/>
      <c r="SGI114" s="395"/>
      <c r="SGJ114" s="395"/>
      <c r="SGK114" s="395"/>
      <c r="SGL114" s="395"/>
      <c r="SGM114" s="395"/>
      <c r="SGN114" s="395"/>
      <c r="SGO114" s="396"/>
      <c r="SGP114" s="394"/>
      <c r="SGQ114" s="395"/>
      <c r="SGR114" s="395"/>
      <c r="SGS114" s="395"/>
      <c r="SGT114" s="395"/>
      <c r="SGU114" s="395"/>
      <c r="SGV114" s="395"/>
      <c r="SGW114" s="395"/>
      <c r="SGX114" s="395"/>
      <c r="SGY114" s="395"/>
      <c r="SGZ114" s="395"/>
      <c r="SHA114" s="395"/>
      <c r="SHB114" s="395"/>
      <c r="SHC114" s="395"/>
      <c r="SHD114" s="395"/>
      <c r="SHE114" s="395"/>
      <c r="SHF114" s="395"/>
      <c r="SHG114" s="395"/>
      <c r="SHH114" s="395"/>
      <c r="SHI114" s="395"/>
      <c r="SHJ114" s="395"/>
      <c r="SHK114" s="395"/>
      <c r="SHL114" s="395"/>
      <c r="SHM114" s="395"/>
      <c r="SHN114" s="395"/>
      <c r="SHO114" s="395"/>
      <c r="SHP114" s="396"/>
      <c r="SHQ114" s="394"/>
      <c r="SHR114" s="395"/>
      <c r="SHS114" s="395"/>
      <c r="SHT114" s="395"/>
      <c r="SHU114" s="395"/>
      <c r="SHV114" s="395"/>
      <c r="SHW114" s="395"/>
      <c r="SHX114" s="395"/>
      <c r="SHY114" s="395"/>
      <c r="SHZ114" s="395"/>
      <c r="SIA114" s="395"/>
      <c r="SIB114" s="395"/>
      <c r="SIC114" s="395"/>
      <c r="SID114" s="395"/>
      <c r="SIE114" s="395"/>
      <c r="SIF114" s="395"/>
      <c r="SIG114" s="395"/>
      <c r="SIH114" s="395"/>
      <c r="SII114" s="395"/>
      <c r="SIJ114" s="395"/>
      <c r="SIK114" s="395"/>
      <c r="SIL114" s="395"/>
      <c r="SIM114" s="395"/>
      <c r="SIN114" s="395"/>
      <c r="SIO114" s="395"/>
      <c r="SIP114" s="395"/>
      <c r="SIQ114" s="396"/>
      <c r="SIR114" s="394"/>
      <c r="SIS114" s="395"/>
      <c r="SIT114" s="395"/>
      <c r="SIU114" s="395"/>
      <c r="SIV114" s="395"/>
      <c r="SIW114" s="395"/>
      <c r="SIX114" s="395"/>
      <c r="SIY114" s="395"/>
      <c r="SIZ114" s="395"/>
      <c r="SJA114" s="395"/>
      <c r="SJB114" s="395"/>
      <c r="SJC114" s="395"/>
      <c r="SJD114" s="395"/>
      <c r="SJE114" s="395"/>
      <c r="SJF114" s="395"/>
      <c r="SJG114" s="395"/>
      <c r="SJH114" s="395"/>
      <c r="SJI114" s="395"/>
      <c r="SJJ114" s="395"/>
      <c r="SJK114" s="395"/>
      <c r="SJL114" s="395"/>
      <c r="SJM114" s="395"/>
      <c r="SJN114" s="395"/>
      <c r="SJO114" s="395"/>
      <c r="SJP114" s="395"/>
      <c r="SJQ114" s="395"/>
      <c r="SJR114" s="396"/>
      <c r="SJS114" s="394"/>
      <c r="SJT114" s="395"/>
      <c r="SJU114" s="395"/>
      <c r="SJV114" s="395"/>
      <c r="SJW114" s="395"/>
      <c r="SJX114" s="395"/>
      <c r="SJY114" s="395"/>
      <c r="SJZ114" s="395"/>
      <c r="SKA114" s="395"/>
      <c r="SKB114" s="395"/>
      <c r="SKC114" s="395"/>
      <c r="SKD114" s="395"/>
      <c r="SKE114" s="395"/>
      <c r="SKF114" s="395"/>
      <c r="SKG114" s="395"/>
      <c r="SKH114" s="395"/>
      <c r="SKI114" s="395"/>
      <c r="SKJ114" s="395"/>
      <c r="SKK114" s="395"/>
      <c r="SKL114" s="395"/>
      <c r="SKM114" s="395"/>
      <c r="SKN114" s="395"/>
      <c r="SKO114" s="395"/>
      <c r="SKP114" s="395"/>
      <c r="SKQ114" s="395"/>
      <c r="SKR114" s="395"/>
      <c r="SKS114" s="396"/>
      <c r="SKT114" s="394"/>
      <c r="SKU114" s="395"/>
      <c r="SKV114" s="395"/>
      <c r="SKW114" s="395"/>
      <c r="SKX114" s="395"/>
      <c r="SKY114" s="395"/>
      <c r="SKZ114" s="395"/>
      <c r="SLA114" s="395"/>
      <c r="SLB114" s="395"/>
      <c r="SLC114" s="395"/>
      <c r="SLD114" s="395"/>
      <c r="SLE114" s="395"/>
      <c r="SLF114" s="395"/>
      <c r="SLG114" s="395"/>
      <c r="SLH114" s="395"/>
      <c r="SLI114" s="395"/>
      <c r="SLJ114" s="395"/>
      <c r="SLK114" s="395"/>
      <c r="SLL114" s="395"/>
      <c r="SLM114" s="395"/>
      <c r="SLN114" s="395"/>
      <c r="SLO114" s="395"/>
      <c r="SLP114" s="395"/>
      <c r="SLQ114" s="395"/>
      <c r="SLR114" s="395"/>
      <c r="SLS114" s="395"/>
      <c r="SLT114" s="396"/>
      <c r="SLU114" s="394"/>
      <c r="SLV114" s="395"/>
      <c r="SLW114" s="395"/>
      <c r="SLX114" s="395"/>
      <c r="SLY114" s="395"/>
      <c r="SLZ114" s="395"/>
      <c r="SMA114" s="395"/>
      <c r="SMB114" s="395"/>
      <c r="SMC114" s="395"/>
      <c r="SMD114" s="395"/>
      <c r="SME114" s="395"/>
      <c r="SMF114" s="395"/>
      <c r="SMG114" s="395"/>
      <c r="SMH114" s="395"/>
      <c r="SMI114" s="395"/>
      <c r="SMJ114" s="395"/>
      <c r="SMK114" s="395"/>
      <c r="SML114" s="395"/>
      <c r="SMM114" s="395"/>
      <c r="SMN114" s="395"/>
      <c r="SMO114" s="395"/>
      <c r="SMP114" s="395"/>
      <c r="SMQ114" s="395"/>
      <c r="SMR114" s="395"/>
      <c r="SMS114" s="395"/>
      <c r="SMT114" s="395"/>
      <c r="SMU114" s="396"/>
      <c r="SMV114" s="394"/>
      <c r="SMW114" s="395"/>
      <c r="SMX114" s="395"/>
      <c r="SMY114" s="395"/>
      <c r="SMZ114" s="395"/>
      <c r="SNA114" s="395"/>
      <c r="SNB114" s="395"/>
      <c r="SNC114" s="395"/>
      <c r="SND114" s="395"/>
      <c r="SNE114" s="395"/>
      <c r="SNF114" s="395"/>
      <c r="SNG114" s="395"/>
      <c r="SNH114" s="395"/>
      <c r="SNI114" s="395"/>
      <c r="SNJ114" s="395"/>
      <c r="SNK114" s="395"/>
      <c r="SNL114" s="395"/>
      <c r="SNM114" s="395"/>
      <c r="SNN114" s="395"/>
      <c r="SNO114" s="395"/>
      <c r="SNP114" s="395"/>
      <c r="SNQ114" s="395"/>
      <c r="SNR114" s="395"/>
      <c r="SNS114" s="395"/>
      <c r="SNT114" s="395"/>
      <c r="SNU114" s="395"/>
      <c r="SNV114" s="396"/>
      <c r="SNW114" s="394"/>
      <c r="SNX114" s="395"/>
      <c r="SNY114" s="395"/>
      <c r="SNZ114" s="395"/>
      <c r="SOA114" s="395"/>
      <c r="SOB114" s="395"/>
      <c r="SOC114" s="395"/>
      <c r="SOD114" s="395"/>
      <c r="SOE114" s="395"/>
      <c r="SOF114" s="395"/>
      <c r="SOG114" s="395"/>
      <c r="SOH114" s="395"/>
      <c r="SOI114" s="395"/>
      <c r="SOJ114" s="395"/>
      <c r="SOK114" s="395"/>
      <c r="SOL114" s="395"/>
      <c r="SOM114" s="395"/>
      <c r="SON114" s="395"/>
      <c r="SOO114" s="395"/>
      <c r="SOP114" s="395"/>
      <c r="SOQ114" s="395"/>
      <c r="SOR114" s="395"/>
      <c r="SOS114" s="395"/>
      <c r="SOT114" s="395"/>
      <c r="SOU114" s="395"/>
      <c r="SOV114" s="395"/>
      <c r="SOW114" s="396"/>
      <c r="SOX114" s="394"/>
      <c r="SOY114" s="395"/>
      <c r="SOZ114" s="395"/>
      <c r="SPA114" s="395"/>
      <c r="SPB114" s="395"/>
      <c r="SPC114" s="395"/>
      <c r="SPD114" s="395"/>
      <c r="SPE114" s="395"/>
      <c r="SPF114" s="395"/>
      <c r="SPG114" s="395"/>
      <c r="SPH114" s="395"/>
      <c r="SPI114" s="395"/>
      <c r="SPJ114" s="395"/>
      <c r="SPK114" s="395"/>
      <c r="SPL114" s="395"/>
      <c r="SPM114" s="395"/>
      <c r="SPN114" s="395"/>
      <c r="SPO114" s="395"/>
      <c r="SPP114" s="395"/>
      <c r="SPQ114" s="395"/>
      <c r="SPR114" s="395"/>
      <c r="SPS114" s="395"/>
      <c r="SPT114" s="395"/>
      <c r="SPU114" s="395"/>
      <c r="SPV114" s="395"/>
      <c r="SPW114" s="395"/>
      <c r="SPX114" s="396"/>
      <c r="SPY114" s="394"/>
      <c r="SPZ114" s="395"/>
      <c r="SQA114" s="395"/>
      <c r="SQB114" s="395"/>
      <c r="SQC114" s="395"/>
      <c r="SQD114" s="395"/>
      <c r="SQE114" s="395"/>
      <c r="SQF114" s="395"/>
      <c r="SQG114" s="395"/>
      <c r="SQH114" s="395"/>
      <c r="SQI114" s="395"/>
      <c r="SQJ114" s="395"/>
      <c r="SQK114" s="395"/>
      <c r="SQL114" s="395"/>
      <c r="SQM114" s="395"/>
      <c r="SQN114" s="395"/>
      <c r="SQO114" s="395"/>
      <c r="SQP114" s="395"/>
      <c r="SQQ114" s="395"/>
      <c r="SQR114" s="395"/>
      <c r="SQS114" s="395"/>
      <c r="SQT114" s="395"/>
      <c r="SQU114" s="395"/>
      <c r="SQV114" s="395"/>
      <c r="SQW114" s="395"/>
      <c r="SQX114" s="395"/>
      <c r="SQY114" s="396"/>
      <c r="SQZ114" s="394"/>
      <c r="SRA114" s="395"/>
      <c r="SRB114" s="395"/>
      <c r="SRC114" s="395"/>
      <c r="SRD114" s="395"/>
      <c r="SRE114" s="395"/>
      <c r="SRF114" s="395"/>
      <c r="SRG114" s="395"/>
      <c r="SRH114" s="395"/>
      <c r="SRI114" s="395"/>
      <c r="SRJ114" s="395"/>
      <c r="SRK114" s="395"/>
      <c r="SRL114" s="395"/>
      <c r="SRM114" s="395"/>
      <c r="SRN114" s="395"/>
      <c r="SRO114" s="395"/>
      <c r="SRP114" s="395"/>
      <c r="SRQ114" s="395"/>
      <c r="SRR114" s="395"/>
      <c r="SRS114" s="395"/>
      <c r="SRT114" s="395"/>
      <c r="SRU114" s="395"/>
      <c r="SRV114" s="395"/>
      <c r="SRW114" s="395"/>
      <c r="SRX114" s="395"/>
      <c r="SRY114" s="395"/>
      <c r="SRZ114" s="396"/>
      <c r="SSA114" s="394"/>
      <c r="SSB114" s="395"/>
      <c r="SSC114" s="395"/>
      <c r="SSD114" s="395"/>
      <c r="SSE114" s="395"/>
      <c r="SSF114" s="395"/>
      <c r="SSG114" s="395"/>
      <c r="SSH114" s="395"/>
      <c r="SSI114" s="395"/>
      <c r="SSJ114" s="395"/>
      <c r="SSK114" s="395"/>
      <c r="SSL114" s="395"/>
      <c r="SSM114" s="395"/>
      <c r="SSN114" s="395"/>
      <c r="SSO114" s="395"/>
      <c r="SSP114" s="395"/>
      <c r="SSQ114" s="395"/>
      <c r="SSR114" s="395"/>
      <c r="SSS114" s="395"/>
      <c r="SST114" s="395"/>
      <c r="SSU114" s="395"/>
      <c r="SSV114" s="395"/>
      <c r="SSW114" s="395"/>
      <c r="SSX114" s="395"/>
      <c r="SSY114" s="395"/>
      <c r="SSZ114" s="395"/>
      <c r="STA114" s="396"/>
      <c r="STB114" s="394"/>
      <c r="STC114" s="395"/>
      <c r="STD114" s="395"/>
      <c r="STE114" s="395"/>
      <c r="STF114" s="395"/>
      <c r="STG114" s="395"/>
      <c r="STH114" s="395"/>
      <c r="STI114" s="395"/>
      <c r="STJ114" s="395"/>
      <c r="STK114" s="395"/>
      <c r="STL114" s="395"/>
      <c r="STM114" s="395"/>
      <c r="STN114" s="395"/>
      <c r="STO114" s="395"/>
      <c r="STP114" s="395"/>
      <c r="STQ114" s="395"/>
      <c r="STR114" s="395"/>
      <c r="STS114" s="395"/>
      <c r="STT114" s="395"/>
      <c r="STU114" s="395"/>
      <c r="STV114" s="395"/>
      <c r="STW114" s="395"/>
      <c r="STX114" s="395"/>
      <c r="STY114" s="395"/>
      <c r="STZ114" s="395"/>
      <c r="SUA114" s="395"/>
      <c r="SUB114" s="396"/>
      <c r="SUC114" s="394"/>
      <c r="SUD114" s="395"/>
      <c r="SUE114" s="395"/>
      <c r="SUF114" s="395"/>
      <c r="SUG114" s="395"/>
      <c r="SUH114" s="395"/>
      <c r="SUI114" s="395"/>
      <c r="SUJ114" s="395"/>
      <c r="SUK114" s="395"/>
      <c r="SUL114" s="395"/>
      <c r="SUM114" s="395"/>
      <c r="SUN114" s="395"/>
      <c r="SUO114" s="395"/>
      <c r="SUP114" s="395"/>
      <c r="SUQ114" s="395"/>
      <c r="SUR114" s="395"/>
      <c r="SUS114" s="395"/>
      <c r="SUT114" s="395"/>
      <c r="SUU114" s="395"/>
      <c r="SUV114" s="395"/>
      <c r="SUW114" s="395"/>
      <c r="SUX114" s="395"/>
      <c r="SUY114" s="395"/>
      <c r="SUZ114" s="395"/>
      <c r="SVA114" s="395"/>
      <c r="SVB114" s="395"/>
      <c r="SVC114" s="396"/>
      <c r="SVD114" s="394"/>
      <c r="SVE114" s="395"/>
      <c r="SVF114" s="395"/>
      <c r="SVG114" s="395"/>
      <c r="SVH114" s="395"/>
      <c r="SVI114" s="395"/>
      <c r="SVJ114" s="395"/>
      <c r="SVK114" s="395"/>
      <c r="SVL114" s="395"/>
      <c r="SVM114" s="395"/>
      <c r="SVN114" s="395"/>
      <c r="SVO114" s="395"/>
      <c r="SVP114" s="395"/>
      <c r="SVQ114" s="395"/>
      <c r="SVR114" s="395"/>
      <c r="SVS114" s="395"/>
      <c r="SVT114" s="395"/>
      <c r="SVU114" s="395"/>
      <c r="SVV114" s="395"/>
      <c r="SVW114" s="395"/>
      <c r="SVX114" s="395"/>
      <c r="SVY114" s="395"/>
      <c r="SVZ114" s="395"/>
      <c r="SWA114" s="395"/>
      <c r="SWB114" s="395"/>
      <c r="SWC114" s="395"/>
      <c r="SWD114" s="396"/>
      <c r="SWE114" s="394"/>
      <c r="SWF114" s="395"/>
      <c r="SWG114" s="395"/>
      <c r="SWH114" s="395"/>
      <c r="SWI114" s="395"/>
      <c r="SWJ114" s="395"/>
      <c r="SWK114" s="395"/>
      <c r="SWL114" s="395"/>
      <c r="SWM114" s="395"/>
      <c r="SWN114" s="395"/>
      <c r="SWO114" s="395"/>
      <c r="SWP114" s="395"/>
      <c r="SWQ114" s="395"/>
      <c r="SWR114" s="395"/>
      <c r="SWS114" s="395"/>
      <c r="SWT114" s="395"/>
      <c r="SWU114" s="395"/>
      <c r="SWV114" s="395"/>
      <c r="SWW114" s="395"/>
      <c r="SWX114" s="395"/>
      <c r="SWY114" s="395"/>
      <c r="SWZ114" s="395"/>
      <c r="SXA114" s="395"/>
      <c r="SXB114" s="395"/>
      <c r="SXC114" s="395"/>
      <c r="SXD114" s="395"/>
      <c r="SXE114" s="396"/>
      <c r="SXF114" s="394"/>
      <c r="SXG114" s="395"/>
      <c r="SXH114" s="395"/>
      <c r="SXI114" s="395"/>
      <c r="SXJ114" s="395"/>
      <c r="SXK114" s="395"/>
      <c r="SXL114" s="395"/>
      <c r="SXM114" s="395"/>
      <c r="SXN114" s="395"/>
      <c r="SXO114" s="395"/>
      <c r="SXP114" s="395"/>
      <c r="SXQ114" s="395"/>
      <c r="SXR114" s="395"/>
      <c r="SXS114" s="395"/>
      <c r="SXT114" s="395"/>
      <c r="SXU114" s="395"/>
      <c r="SXV114" s="395"/>
      <c r="SXW114" s="395"/>
      <c r="SXX114" s="395"/>
      <c r="SXY114" s="395"/>
      <c r="SXZ114" s="395"/>
      <c r="SYA114" s="395"/>
      <c r="SYB114" s="395"/>
      <c r="SYC114" s="395"/>
      <c r="SYD114" s="395"/>
      <c r="SYE114" s="395"/>
      <c r="SYF114" s="396"/>
      <c r="SYG114" s="394"/>
      <c r="SYH114" s="395"/>
      <c r="SYI114" s="395"/>
      <c r="SYJ114" s="395"/>
      <c r="SYK114" s="395"/>
      <c r="SYL114" s="395"/>
      <c r="SYM114" s="395"/>
      <c r="SYN114" s="395"/>
      <c r="SYO114" s="395"/>
      <c r="SYP114" s="395"/>
      <c r="SYQ114" s="395"/>
      <c r="SYR114" s="395"/>
      <c r="SYS114" s="395"/>
      <c r="SYT114" s="395"/>
      <c r="SYU114" s="395"/>
      <c r="SYV114" s="395"/>
      <c r="SYW114" s="395"/>
      <c r="SYX114" s="395"/>
      <c r="SYY114" s="395"/>
      <c r="SYZ114" s="395"/>
      <c r="SZA114" s="395"/>
      <c r="SZB114" s="395"/>
      <c r="SZC114" s="395"/>
      <c r="SZD114" s="395"/>
      <c r="SZE114" s="395"/>
      <c r="SZF114" s="395"/>
      <c r="SZG114" s="396"/>
      <c r="SZH114" s="394"/>
      <c r="SZI114" s="395"/>
      <c r="SZJ114" s="395"/>
      <c r="SZK114" s="395"/>
      <c r="SZL114" s="395"/>
      <c r="SZM114" s="395"/>
      <c r="SZN114" s="395"/>
      <c r="SZO114" s="395"/>
      <c r="SZP114" s="395"/>
      <c r="SZQ114" s="395"/>
      <c r="SZR114" s="395"/>
      <c r="SZS114" s="395"/>
      <c r="SZT114" s="395"/>
      <c r="SZU114" s="395"/>
      <c r="SZV114" s="395"/>
      <c r="SZW114" s="395"/>
      <c r="SZX114" s="395"/>
      <c r="SZY114" s="395"/>
      <c r="SZZ114" s="395"/>
      <c r="TAA114" s="395"/>
      <c r="TAB114" s="395"/>
      <c r="TAC114" s="395"/>
      <c r="TAD114" s="395"/>
      <c r="TAE114" s="395"/>
      <c r="TAF114" s="395"/>
      <c r="TAG114" s="395"/>
      <c r="TAH114" s="396"/>
      <c r="TAI114" s="394"/>
      <c r="TAJ114" s="395"/>
      <c r="TAK114" s="395"/>
      <c r="TAL114" s="395"/>
      <c r="TAM114" s="395"/>
      <c r="TAN114" s="395"/>
      <c r="TAO114" s="395"/>
      <c r="TAP114" s="395"/>
      <c r="TAQ114" s="395"/>
      <c r="TAR114" s="395"/>
      <c r="TAS114" s="395"/>
      <c r="TAT114" s="395"/>
      <c r="TAU114" s="395"/>
      <c r="TAV114" s="395"/>
      <c r="TAW114" s="395"/>
      <c r="TAX114" s="395"/>
      <c r="TAY114" s="395"/>
      <c r="TAZ114" s="395"/>
      <c r="TBA114" s="395"/>
      <c r="TBB114" s="395"/>
      <c r="TBC114" s="395"/>
      <c r="TBD114" s="395"/>
      <c r="TBE114" s="395"/>
      <c r="TBF114" s="395"/>
      <c r="TBG114" s="395"/>
      <c r="TBH114" s="395"/>
      <c r="TBI114" s="396"/>
      <c r="TBJ114" s="394"/>
      <c r="TBK114" s="395"/>
      <c r="TBL114" s="395"/>
      <c r="TBM114" s="395"/>
      <c r="TBN114" s="395"/>
      <c r="TBO114" s="395"/>
      <c r="TBP114" s="395"/>
      <c r="TBQ114" s="395"/>
      <c r="TBR114" s="395"/>
      <c r="TBS114" s="395"/>
      <c r="TBT114" s="395"/>
      <c r="TBU114" s="395"/>
      <c r="TBV114" s="395"/>
      <c r="TBW114" s="395"/>
      <c r="TBX114" s="395"/>
      <c r="TBY114" s="395"/>
      <c r="TBZ114" s="395"/>
      <c r="TCA114" s="395"/>
      <c r="TCB114" s="395"/>
      <c r="TCC114" s="395"/>
      <c r="TCD114" s="395"/>
      <c r="TCE114" s="395"/>
      <c r="TCF114" s="395"/>
      <c r="TCG114" s="395"/>
      <c r="TCH114" s="395"/>
      <c r="TCI114" s="395"/>
      <c r="TCJ114" s="396"/>
      <c r="TCK114" s="394"/>
      <c r="TCL114" s="395"/>
      <c r="TCM114" s="395"/>
      <c r="TCN114" s="395"/>
      <c r="TCO114" s="395"/>
      <c r="TCP114" s="395"/>
      <c r="TCQ114" s="395"/>
      <c r="TCR114" s="395"/>
      <c r="TCS114" s="395"/>
      <c r="TCT114" s="395"/>
      <c r="TCU114" s="395"/>
      <c r="TCV114" s="395"/>
      <c r="TCW114" s="395"/>
      <c r="TCX114" s="395"/>
      <c r="TCY114" s="395"/>
      <c r="TCZ114" s="395"/>
      <c r="TDA114" s="395"/>
      <c r="TDB114" s="395"/>
      <c r="TDC114" s="395"/>
      <c r="TDD114" s="395"/>
      <c r="TDE114" s="395"/>
      <c r="TDF114" s="395"/>
      <c r="TDG114" s="395"/>
      <c r="TDH114" s="395"/>
      <c r="TDI114" s="395"/>
      <c r="TDJ114" s="395"/>
      <c r="TDK114" s="396"/>
      <c r="TDL114" s="394"/>
      <c r="TDM114" s="395"/>
      <c r="TDN114" s="395"/>
      <c r="TDO114" s="395"/>
      <c r="TDP114" s="395"/>
      <c r="TDQ114" s="395"/>
      <c r="TDR114" s="395"/>
      <c r="TDS114" s="395"/>
      <c r="TDT114" s="395"/>
      <c r="TDU114" s="395"/>
      <c r="TDV114" s="395"/>
      <c r="TDW114" s="395"/>
      <c r="TDX114" s="395"/>
      <c r="TDY114" s="395"/>
      <c r="TDZ114" s="395"/>
      <c r="TEA114" s="395"/>
      <c r="TEB114" s="395"/>
      <c r="TEC114" s="395"/>
      <c r="TED114" s="395"/>
      <c r="TEE114" s="395"/>
      <c r="TEF114" s="395"/>
      <c r="TEG114" s="395"/>
      <c r="TEH114" s="395"/>
      <c r="TEI114" s="395"/>
      <c r="TEJ114" s="395"/>
      <c r="TEK114" s="395"/>
      <c r="TEL114" s="396"/>
      <c r="TEM114" s="394"/>
      <c r="TEN114" s="395"/>
      <c r="TEO114" s="395"/>
      <c r="TEP114" s="395"/>
      <c r="TEQ114" s="395"/>
      <c r="TER114" s="395"/>
      <c r="TES114" s="395"/>
      <c r="TET114" s="395"/>
      <c r="TEU114" s="395"/>
      <c r="TEV114" s="395"/>
      <c r="TEW114" s="395"/>
      <c r="TEX114" s="395"/>
      <c r="TEY114" s="395"/>
      <c r="TEZ114" s="395"/>
      <c r="TFA114" s="395"/>
      <c r="TFB114" s="395"/>
      <c r="TFC114" s="395"/>
      <c r="TFD114" s="395"/>
      <c r="TFE114" s="395"/>
      <c r="TFF114" s="395"/>
      <c r="TFG114" s="395"/>
      <c r="TFH114" s="395"/>
      <c r="TFI114" s="395"/>
      <c r="TFJ114" s="395"/>
      <c r="TFK114" s="395"/>
      <c r="TFL114" s="395"/>
      <c r="TFM114" s="396"/>
      <c r="TFN114" s="394"/>
      <c r="TFO114" s="395"/>
      <c r="TFP114" s="395"/>
      <c r="TFQ114" s="395"/>
      <c r="TFR114" s="395"/>
      <c r="TFS114" s="395"/>
      <c r="TFT114" s="395"/>
      <c r="TFU114" s="395"/>
      <c r="TFV114" s="395"/>
      <c r="TFW114" s="395"/>
      <c r="TFX114" s="395"/>
      <c r="TFY114" s="395"/>
      <c r="TFZ114" s="395"/>
      <c r="TGA114" s="395"/>
      <c r="TGB114" s="395"/>
      <c r="TGC114" s="395"/>
      <c r="TGD114" s="395"/>
      <c r="TGE114" s="395"/>
      <c r="TGF114" s="395"/>
      <c r="TGG114" s="395"/>
      <c r="TGH114" s="395"/>
      <c r="TGI114" s="395"/>
      <c r="TGJ114" s="395"/>
      <c r="TGK114" s="395"/>
      <c r="TGL114" s="395"/>
      <c r="TGM114" s="395"/>
      <c r="TGN114" s="396"/>
      <c r="TGO114" s="394"/>
      <c r="TGP114" s="395"/>
      <c r="TGQ114" s="395"/>
      <c r="TGR114" s="395"/>
      <c r="TGS114" s="395"/>
      <c r="TGT114" s="395"/>
      <c r="TGU114" s="395"/>
      <c r="TGV114" s="395"/>
      <c r="TGW114" s="395"/>
      <c r="TGX114" s="395"/>
      <c r="TGY114" s="395"/>
      <c r="TGZ114" s="395"/>
      <c r="THA114" s="395"/>
      <c r="THB114" s="395"/>
      <c r="THC114" s="395"/>
      <c r="THD114" s="395"/>
      <c r="THE114" s="395"/>
      <c r="THF114" s="395"/>
      <c r="THG114" s="395"/>
      <c r="THH114" s="395"/>
      <c r="THI114" s="395"/>
      <c r="THJ114" s="395"/>
      <c r="THK114" s="395"/>
      <c r="THL114" s="395"/>
      <c r="THM114" s="395"/>
      <c r="THN114" s="395"/>
      <c r="THO114" s="396"/>
      <c r="THP114" s="394"/>
      <c r="THQ114" s="395"/>
      <c r="THR114" s="395"/>
      <c r="THS114" s="395"/>
      <c r="THT114" s="395"/>
      <c r="THU114" s="395"/>
      <c r="THV114" s="395"/>
      <c r="THW114" s="395"/>
      <c r="THX114" s="395"/>
      <c r="THY114" s="395"/>
      <c r="THZ114" s="395"/>
      <c r="TIA114" s="395"/>
      <c r="TIB114" s="395"/>
      <c r="TIC114" s="395"/>
      <c r="TID114" s="395"/>
      <c r="TIE114" s="395"/>
      <c r="TIF114" s="395"/>
      <c r="TIG114" s="395"/>
      <c r="TIH114" s="395"/>
      <c r="TII114" s="395"/>
      <c r="TIJ114" s="395"/>
      <c r="TIK114" s="395"/>
      <c r="TIL114" s="395"/>
      <c r="TIM114" s="395"/>
      <c r="TIN114" s="395"/>
      <c r="TIO114" s="395"/>
      <c r="TIP114" s="396"/>
      <c r="TIQ114" s="394"/>
      <c r="TIR114" s="395"/>
      <c r="TIS114" s="395"/>
      <c r="TIT114" s="395"/>
      <c r="TIU114" s="395"/>
      <c r="TIV114" s="395"/>
      <c r="TIW114" s="395"/>
      <c r="TIX114" s="395"/>
      <c r="TIY114" s="395"/>
      <c r="TIZ114" s="395"/>
      <c r="TJA114" s="395"/>
      <c r="TJB114" s="395"/>
      <c r="TJC114" s="395"/>
      <c r="TJD114" s="395"/>
      <c r="TJE114" s="395"/>
      <c r="TJF114" s="395"/>
      <c r="TJG114" s="395"/>
      <c r="TJH114" s="395"/>
      <c r="TJI114" s="395"/>
      <c r="TJJ114" s="395"/>
      <c r="TJK114" s="395"/>
      <c r="TJL114" s="395"/>
      <c r="TJM114" s="395"/>
      <c r="TJN114" s="395"/>
      <c r="TJO114" s="395"/>
      <c r="TJP114" s="395"/>
      <c r="TJQ114" s="396"/>
      <c r="TJR114" s="394"/>
      <c r="TJS114" s="395"/>
      <c r="TJT114" s="395"/>
      <c r="TJU114" s="395"/>
      <c r="TJV114" s="395"/>
      <c r="TJW114" s="395"/>
      <c r="TJX114" s="395"/>
      <c r="TJY114" s="395"/>
      <c r="TJZ114" s="395"/>
      <c r="TKA114" s="395"/>
      <c r="TKB114" s="395"/>
      <c r="TKC114" s="395"/>
      <c r="TKD114" s="395"/>
      <c r="TKE114" s="395"/>
      <c r="TKF114" s="395"/>
      <c r="TKG114" s="395"/>
      <c r="TKH114" s="395"/>
      <c r="TKI114" s="395"/>
      <c r="TKJ114" s="395"/>
      <c r="TKK114" s="395"/>
      <c r="TKL114" s="395"/>
      <c r="TKM114" s="395"/>
      <c r="TKN114" s="395"/>
      <c r="TKO114" s="395"/>
      <c r="TKP114" s="395"/>
      <c r="TKQ114" s="395"/>
      <c r="TKR114" s="396"/>
      <c r="TKS114" s="394"/>
      <c r="TKT114" s="395"/>
      <c r="TKU114" s="395"/>
      <c r="TKV114" s="395"/>
      <c r="TKW114" s="395"/>
      <c r="TKX114" s="395"/>
      <c r="TKY114" s="395"/>
      <c r="TKZ114" s="395"/>
      <c r="TLA114" s="395"/>
      <c r="TLB114" s="395"/>
      <c r="TLC114" s="395"/>
      <c r="TLD114" s="395"/>
      <c r="TLE114" s="395"/>
      <c r="TLF114" s="395"/>
      <c r="TLG114" s="395"/>
      <c r="TLH114" s="395"/>
      <c r="TLI114" s="395"/>
      <c r="TLJ114" s="395"/>
      <c r="TLK114" s="395"/>
      <c r="TLL114" s="395"/>
      <c r="TLM114" s="395"/>
      <c r="TLN114" s="395"/>
      <c r="TLO114" s="395"/>
      <c r="TLP114" s="395"/>
      <c r="TLQ114" s="395"/>
      <c r="TLR114" s="395"/>
      <c r="TLS114" s="396"/>
      <c r="TLT114" s="394"/>
      <c r="TLU114" s="395"/>
      <c r="TLV114" s="395"/>
      <c r="TLW114" s="395"/>
      <c r="TLX114" s="395"/>
      <c r="TLY114" s="395"/>
      <c r="TLZ114" s="395"/>
      <c r="TMA114" s="395"/>
      <c r="TMB114" s="395"/>
      <c r="TMC114" s="395"/>
      <c r="TMD114" s="395"/>
      <c r="TME114" s="395"/>
      <c r="TMF114" s="395"/>
      <c r="TMG114" s="395"/>
      <c r="TMH114" s="395"/>
      <c r="TMI114" s="395"/>
      <c r="TMJ114" s="395"/>
      <c r="TMK114" s="395"/>
      <c r="TML114" s="395"/>
      <c r="TMM114" s="395"/>
      <c r="TMN114" s="395"/>
      <c r="TMO114" s="395"/>
      <c r="TMP114" s="395"/>
      <c r="TMQ114" s="395"/>
      <c r="TMR114" s="395"/>
      <c r="TMS114" s="395"/>
      <c r="TMT114" s="396"/>
      <c r="TMU114" s="394"/>
      <c r="TMV114" s="395"/>
      <c r="TMW114" s="395"/>
      <c r="TMX114" s="395"/>
      <c r="TMY114" s="395"/>
      <c r="TMZ114" s="395"/>
      <c r="TNA114" s="395"/>
      <c r="TNB114" s="395"/>
      <c r="TNC114" s="395"/>
      <c r="TND114" s="395"/>
      <c r="TNE114" s="395"/>
      <c r="TNF114" s="395"/>
      <c r="TNG114" s="395"/>
      <c r="TNH114" s="395"/>
      <c r="TNI114" s="395"/>
      <c r="TNJ114" s="395"/>
      <c r="TNK114" s="395"/>
      <c r="TNL114" s="395"/>
      <c r="TNM114" s="395"/>
      <c r="TNN114" s="395"/>
      <c r="TNO114" s="395"/>
      <c r="TNP114" s="395"/>
      <c r="TNQ114" s="395"/>
      <c r="TNR114" s="395"/>
      <c r="TNS114" s="395"/>
      <c r="TNT114" s="395"/>
      <c r="TNU114" s="396"/>
      <c r="TNV114" s="394"/>
      <c r="TNW114" s="395"/>
      <c r="TNX114" s="395"/>
      <c r="TNY114" s="395"/>
      <c r="TNZ114" s="395"/>
      <c r="TOA114" s="395"/>
      <c r="TOB114" s="395"/>
      <c r="TOC114" s="395"/>
      <c r="TOD114" s="395"/>
      <c r="TOE114" s="395"/>
      <c r="TOF114" s="395"/>
      <c r="TOG114" s="395"/>
      <c r="TOH114" s="395"/>
      <c r="TOI114" s="395"/>
      <c r="TOJ114" s="395"/>
      <c r="TOK114" s="395"/>
      <c r="TOL114" s="395"/>
      <c r="TOM114" s="395"/>
      <c r="TON114" s="395"/>
      <c r="TOO114" s="395"/>
      <c r="TOP114" s="395"/>
      <c r="TOQ114" s="395"/>
      <c r="TOR114" s="395"/>
      <c r="TOS114" s="395"/>
      <c r="TOT114" s="395"/>
      <c r="TOU114" s="395"/>
      <c r="TOV114" s="396"/>
      <c r="TOW114" s="394"/>
      <c r="TOX114" s="395"/>
      <c r="TOY114" s="395"/>
      <c r="TOZ114" s="395"/>
      <c r="TPA114" s="395"/>
      <c r="TPB114" s="395"/>
      <c r="TPC114" s="395"/>
      <c r="TPD114" s="395"/>
      <c r="TPE114" s="395"/>
      <c r="TPF114" s="395"/>
      <c r="TPG114" s="395"/>
      <c r="TPH114" s="395"/>
      <c r="TPI114" s="395"/>
      <c r="TPJ114" s="395"/>
      <c r="TPK114" s="395"/>
      <c r="TPL114" s="395"/>
      <c r="TPM114" s="395"/>
      <c r="TPN114" s="395"/>
      <c r="TPO114" s="395"/>
      <c r="TPP114" s="395"/>
      <c r="TPQ114" s="395"/>
      <c r="TPR114" s="395"/>
      <c r="TPS114" s="395"/>
      <c r="TPT114" s="395"/>
      <c r="TPU114" s="395"/>
      <c r="TPV114" s="395"/>
      <c r="TPW114" s="396"/>
      <c r="TPX114" s="394"/>
      <c r="TPY114" s="395"/>
      <c r="TPZ114" s="395"/>
      <c r="TQA114" s="395"/>
      <c r="TQB114" s="395"/>
      <c r="TQC114" s="395"/>
      <c r="TQD114" s="395"/>
      <c r="TQE114" s="395"/>
      <c r="TQF114" s="395"/>
      <c r="TQG114" s="395"/>
      <c r="TQH114" s="395"/>
      <c r="TQI114" s="395"/>
      <c r="TQJ114" s="395"/>
      <c r="TQK114" s="395"/>
      <c r="TQL114" s="395"/>
      <c r="TQM114" s="395"/>
      <c r="TQN114" s="395"/>
      <c r="TQO114" s="395"/>
      <c r="TQP114" s="395"/>
      <c r="TQQ114" s="395"/>
      <c r="TQR114" s="395"/>
      <c r="TQS114" s="395"/>
      <c r="TQT114" s="395"/>
      <c r="TQU114" s="395"/>
      <c r="TQV114" s="395"/>
      <c r="TQW114" s="395"/>
      <c r="TQX114" s="396"/>
      <c r="TQY114" s="394"/>
      <c r="TQZ114" s="395"/>
      <c r="TRA114" s="395"/>
      <c r="TRB114" s="395"/>
      <c r="TRC114" s="395"/>
      <c r="TRD114" s="395"/>
      <c r="TRE114" s="395"/>
      <c r="TRF114" s="395"/>
      <c r="TRG114" s="395"/>
      <c r="TRH114" s="395"/>
      <c r="TRI114" s="395"/>
      <c r="TRJ114" s="395"/>
      <c r="TRK114" s="395"/>
      <c r="TRL114" s="395"/>
      <c r="TRM114" s="395"/>
      <c r="TRN114" s="395"/>
      <c r="TRO114" s="395"/>
      <c r="TRP114" s="395"/>
      <c r="TRQ114" s="395"/>
      <c r="TRR114" s="395"/>
      <c r="TRS114" s="395"/>
      <c r="TRT114" s="395"/>
      <c r="TRU114" s="395"/>
      <c r="TRV114" s="395"/>
      <c r="TRW114" s="395"/>
      <c r="TRX114" s="395"/>
      <c r="TRY114" s="396"/>
      <c r="TRZ114" s="394"/>
      <c r="TSA114" s="395"/>
      <c r="TSB114" s="395"/>
      <c r="TSC114" s="395"/>
      <c r="TSD114" s="395"/>
      <c r="TSE114" s="395"/>
      <c r="TSF114" s="395"/>
      <c r="TSG114" s="395"/>
      <c r="TSH114" s="395"/>
      <c r="TSI114" s="395"/>
      <c r="TSJ114" s="395"/>
      <c r="TSK114" s="395"/>
      <c r="TSL114" s="395"/>
      <c r="TSM114" s="395"/>
      <c r="TSN114" s="395"/>
      <c r="TSO114" s="395"/>
      <c r="TSP114" s="395"/>
      <c r="TSQ114" s="395"/>
      <c r="TSR114" s="395"/>
      <c r="TSS114" s="395"/>
      <c r="TST114" s="395"/>
      <c r="TSU114" s="395"/>
      <c r="TSV114" s="395"/>
      <c r="TSW114" s="395"/>
      <c r="TSX114" s="395"/>
      <c r="TSY114" s="395"/>
      <c r="TSZ114" s="396"/>
      <c r="TTA114" s="394"/>
      <c r="TTB114" s="395"/>
      <c r="TTC114" s="395"/>
      <c r="TTD114" s="395"/>
      <c r="TTE114" s="395"/>
      <c r="TTF114" s="395"/>
      <c r="TTG114" s="395"/>
      <c r="TTH114" s="395"/>
      <c r="TTI114" s="395"/>
      <c r="TTJ114" s="395"/>
      <c r="TTK114" s="395"/>
      <c r="TTL114" s="395"/>
      <c r="TTM114" s="395"/>
      <c r="TTN114" s="395"/>
      <c r="TTO114" s="395"/>
      <c r="TTP114" s="395"/>
      <c r="TTQ114" s="395"/>
      <c r="TTR114" s="395"/>
      <c r="TTS114" s="395"/>
      <c r="TTT114" s="395"/>
      <c r="TTU114" s="395"/>
      <c r="TTV114" s="395"/>
      <c r="TTW114" s="395"/>
      <c r="TTX114" s="395"/>
      <c r="TTY114" s="395"/>
      <c r="TTZ114" s="395"/>
      <c r="TUA114" s="396"/>
      <c r="TUB114" s="394"/>
      <c r="TUC114" s="395"/>
      <c r="TUD114" s="395"/>
      <c r="TUE114" s="395"/>
      <c r="TUF114" s="395"/>
      <c r="TUG114" s="395"/>
      <c r="TUH114" s="395"/>
      <c r="TUI114" s="395"/>
      <c r="TUJ114" s="395"/>
      <c r="TUK114" s="395"/>
      <c r="TUL114" s="395"/>
      <c r="TUM114" s="395"/>
      <c r="TUN114" s="395"/>
      <c r="TUO114" s="395"/>
      <c r="TUP114" s="395"/>
      <c r="TUQ114" s="395"/>
      <c r="TUR114" s="395"/>
      <c r="TUS114" s="395"/>
      <c r="TUT114" s="395"/>
      <c r="TUU114" s="395"/>
      <c r="TUV114" s="395"/>
      <c r="TUW114" s="395"/>
      <c r="TUX114" s="395"/>
      <c r="TUY114" s="395"/>
      <c r="TUZ114" s="395"/>
      <c r="TVA114" s="395"/>
      <c r="TVB114" s="396"/>
      <c r="TVC114" s="394"/>
      <c r="TVD114" s="395"/>
      <c r="TVE114" s="395"/>
      <c r="TVF114" s="395"/>
      <c r="TVG114" s="395"/>
      <c r="TVH114" s="395"/>
      <c r="TVI114" s="395"/>
      <c r="TVJ114" s="395"/>
      <c r="TVK114" s="395"/>
      <c r="TVL114" s="395"/>
      <c r="TVM114" s="395"/>
      <c r="TVN114" s="395"/>
      <c r="TVO114" s="395"/>
      <c r="TVP114" s="395"/>
      <c r="TVQ114" s="395"/>
      <c r="TVR114" s="395"/>
      <c r="TVS114" s="395"/>
      <c r="TVT114" s="395"/>
      <c r="TVU114" s="395"/>
      <c r="TVV114" s="395"/>
      <c r="TVW114" s="395"/>
      <c r="TVX114" s="395"/>
      <c r="TVY114" s="395"/>
      <c r="TVZ114" s="395"/>
      <c r="TWA114" s="395"/>
      <c r="TWB114" s="395"/>
      <c r="TWC114" s="396"/>
      <c r="TWD114" s="394"/>
      <c r="TWE114" s="395"/>
      <c r="TWF114" s="395"/>
      <c r="TWG114" s="395"/>
      <c r="TWH114" s="395"/>
      <c r="TWI114" s="395"/>
      <c r="TWJ114" s="395"/>
      <c r="TWK114" s="395"/>
      <c r="TWL114" s="395"/>
      <c r="TWM114" s="395"/>
      <c r="TWN114" s="395"/>
      <c r="TWO114" s="395"/>
      <c r="TWP114" s="395"/>
      <c r="TWQ114" s="395"/>
      <c r="TWR114" s="395"/>
      <c r="TWS114" s="395"/>
      <c r="TWT114" s="395"/>
      <c r="TWU114" s="395"/>
      <c r="TWV114" s="395"/>
      <c r="TWW114" s="395"/>
      <c r="TWX114" s="395"/>
      <c r="TWY114" s="395"/>
      <c r="TWZ114" s="395"/>
      <c r="TXA114" s="395"/>
      <c r="TXB114" s="395"/>
      <c r="TXC114" s="395"/>
      <c r="TXD114" s="396"/>
      <c r="TXE114" s="394"/>
      <c r="TXF114" s="395"/>
      <c r="TXG114" s="395"/>
      <c r="TXH114" s="395"/>
      <c r="TXI114" s="395"/>
      <c r="TXJ114" s="395"/>
      <c r="TXK114" s="395"/>
      <c r="TXL114" s="395"/>
      <c r="TXM114" s="395"/>
      <c r="TXN114" s="395"/>
      <c r="TXO114" s="395"/>
      <c r="TXP114" s="395"/>
      <c r="TXQ114" s="395"/>
      <c r="TXR114" s="395"/>
      <c r="TXS114" s="395"/>
      <c r="TXT114" s="395"/>
      <c r="TXU114" s="395"/>
      <c r="TXV114" s="395"/>
      <c r="TXW114" s="395"/>
      <c r="TXX114" s="395"/>
      <c r="TXY114" s="395"/>
      <c r="TXZ114" s="395"/>
      <c r="TYA114" s="395"/>
      <c r="TYB114" s="395"/>
      <c r="TYC114" s="395"/>
      <c r="TYD114" s="395"/>
      <c r="TYE114" s="396"/>
      <c r="TYF114" s="394"/>
      <c r="TYG114" s="395"/>
      <c r="TYH114" s="395"/>
      <c r="TYI114" s="395"/>
      <c r="TYJ114" s="395"/>
      <c r="TYK114" s="395"/>
      <c r="TYL114" s="395"/>
      <c r="TYM114" s="395"/>
      <c r="TYN114" s="395"/>
      <c r="TYO114" s="395"/>
      <c r="TYP114" s="395"/>
      <c r="TYQ114" s="395"/>
      <c r="TYR114" s="395"/>
      <c r="TYS114" s="395"/>
      <c r="TYT114" s="395"/>
      <c r="TYU114" s="395"/>
      <c r="TYV114" s="395"/>
      <c r="TYW114" s="395"/>
      <c r="TYX114" s="395"/>
      <c r="TYY114" s="395"/>
      <c r="TYZ114" s="395"/>
      <c r="TZA114" s="395"/>
      <c r="TZB114" s="395"/>
      <c r="TZC114" s="395"/>
      <c r="TZD114" s="395"/>
      <c r="TZE114" s="395"/>
      <c r="TZF114" s="396"/>
      <c r="TZG114" s="394"/>
      <c r="TZH114" s="395"/>
      <c r="TZI114" s="395"/>
      <c r="TZJ114" s="395"/>
      <c r="TZK114" s="395"/>
      <c r="TZL114" s="395"/>
      <c r="TZM114" s="395"/>
      <c r="TZN114" s="395"/>
      <c r="TZO114" s="395"/>
      <c r="TZP114" s="395"/>
      <c r="TZQ114" s="395"/>
      <c r="TZR114" s="395"/>
      <c r="TZS114" s="395"/>
      <c r="TZT114" s="395"/>
      <c r="TZU114" s="395"/>
      <c r="TZV114" s="395"/>
      <c r="TZW114" s="395"/>
      <c r="TZX114" s="395"/>
      <c r="TZY114" s="395"/>
      <c r="TZZ114" s="395"/>
      <c r="UAA114" s="395"/>
      <c r="UAB114" s="395"/>
      <c r="UAC114" s="395"/>
      <c r="UAD114" s="395"/>
      <c r="UAE114" s="395"/>
      <c r="UAF114" s="395"/>
      <c r="UAG114" s="396"/>
      <c r="UAH114" s="394"/>
      <c r="UAI114" s="395"/>
      <c r="UAJ114" s="395"/>
      <c r="UAK114" s="395"/>
      <c r="UAL114" s="395"/>
      <c r="UAM114" s="395"/>
      <c r="UAN114" s="395"/>
      <c r="UAO114" s="395"/>
      <c r="UAP114" s="395"/>
      <c r="UAQ114" s="395"/>
      <c r="UAR114" s="395"/>
      <c r="UAS114" s="395"/>
      <c r="UAT114" s="395"/>
      <c r="UAU114" s="395"/>
      <c r="UAV114" s="395"/>
      <c r="UAW114" s="395"/>
      <c r="UAX114" s="395"/>
      <c r="UAY114" s="395"/>
      <c r="UAZ114" s="395"/>
      <c r="UBA114" s="395"/>
      <c r="UBB114" s="395"/>
      <c r="UBC114" s="395"/>
      <c r="UBD114" s="395"/>
      <c r="UBE114" s="395"/>
      <c r="UBF114" s="395"/>
      <c r="UBG114" s="395"/>
      <c r="UBH114" s="396"/>
      <c r="UBI114" s="394"/>
      <c r="UBJ114" s="395"/>
      <c r="UBK114" s="395"/>
      <c r="UBL114" s="395"/>
      <c r="UBM114" s="395"/>
      <c r="UBN114" s="395"/>
      <c r="UBO114" s="395"/>
      <c r="UBP114" s="395"/>
      <c r="UBQ114" s="395"/>
      <c r="UBR114" s="395"/>
      <c r="UBS114" s="395"/>
      <c r="UBT114" s="395"/>
      <c r="UBU114" s="395"/>
      <c r="UBV114" s="395"/>
      <c r="UBW114" s="395"/>
      <c r="UBX114" s="395"/>
      <c r="UBY114" s="395"/>
      <c r="UBZ114" s="395"/>
      <c r="UCA114" s="395"/>
      <c r="UCB114" s="395"/>
      <c r="UCC114" s="395"/>
      <c r="UCD114" s="395"/>
      <c r="UCE114" s="395"/>
      <c r="UCF114" s="395"/>
      <c r="UCG114" s="395"/>
      <c r="UCH114" s="395"/>
      <c r="UCI114" s="396"/>
      <c r="UCJ114" s="394"/>
      <c r="UCK114" s="395"/>
      <c r="UCL114" s="395"/>
      <c r="UCM114" s="395"/>
      <c r="UCN114" s="395"/>
      <c r="UCO114" s="395"/>
      <c r="UCP114" s="395"/>
      <c r="UCQ114" s="395"/>
      <c r="UCR114" s="395"/>
      <c r="UCS114" s="395"/>
      <c r="UCT114" s="395"/>
      <c r="UCU114" s="395"/>
      <c r="UCV114" s="395"/>
      <c r="UCW114" s="395"/>
      <c r="UCX114" s="395"/>
      <c r="UCY114" s="395"/>
      <c r="UCZ114" s="395"/>
      <c r="UDA114" s="395"/>
      <c r="UDB114" s="395"/>
      <c r="UDC114" s="395"/>
      <c r="UDD114" s="395"/>
      <c r="UDE114" s="395"/>
      <c r="UDF114" s="395"/>
      <c r="UDG114" s="395"/>
      <c r="UDH114" s="395"/>
      <c r="UDI114" s="395"/>
      <c r="UDJ114" s="396"/>
      <c r="UDK114" s="394"/>
      <c r="UDL114" s="395"/>
      <c r="UDM114" s="395"/>
      <c r="UDN114" s="395"/>
      <c r="UDO114" s="395"/>
      <c r="UDP114" s="395"/>
      <c r="UDQ114" s="395"/>
      <c r="UDR114" s="395"/>
      <c r="UDS114" s="395"/>
      <c r="UDT114" s="395"/>
      <c r="UDU114" s="395"/>
      <c r="UDV114" s="395"/>
      <c r="UDW114" s="395"/>
      <c r="UDX114" s="395"/>
      <c r="UDY114" s="395"/>
      <c r="UDZ114" s="395"/>
      <c r="UEA114" s="395"/>
      <c r="UEB114" s="395"/>
      <c r="UEC114" s="395"/>
      <c r="UED114" s="395"/>
      <c r="UEE114" s="395"/>
      <c r="UEF114" s="395"/>
      <c r="UEG114" s="395"/>
      <c r="UEH114" s="395"/>
      <c r="UEI114" s="395"/>
      <c r="UEJ114" s="395"/>
      <c r="UEK114" s="396"/>
      <c r="UEL114" s="394"/>
      <c r="UEM114" s="395"/>
      <c r="UEN114" s="395"/>
      <c r="UEO114" s="395"/>
      <c r="UEP114" s="395"/>
      <c r="UEQ114" s="395"/>
      <c r="UER114" s="395"/>
      <c r="UES114" s="395"/>
      <c r="UET114" s="395"/>
      <c r="UEU114" s="395"/>
      <c r="UEV114" s="395"/>
      <c r="UEW114" s="395"/>
      <c r="UEX114" s="395"/>
      <c r="UEY114" s="395"/>
      <c r="UEZ114" s="395"/>
      <c r="UFA114" s="395"/>
      <c r="UFB114" s="395"/>
      <c r="UFC114" s="395"/>
      <c r="UFD114" s="395"/>
      <c r="UFE114" s="395"/>
      <c r="UFF114" s="395"/>
      <c r="UFG114" s="395"/>
      <c r="UFH114" s="395"/>
      <c r="UFI114" s="395"/>
      <c r="UFJ114" s="395"/>
      <c r="UFK114" s="395"/>
      <c r="UFL114" s="396"/>
      <c r="UFM114" s="394"/>
      <c r="UFN114" s="395"/>
      <c r="UFO114" s="395"/>
      <c r="UFP114" s="395"/>
      <c r="UFQ114" s="395"/>
      <c r="UFR114" s="395"/>
      <c r="UFS114" s="395"/>
      <c r="UFT114" s="395"/>
      <c r="UFU114" s="395"/>
      <c r="UFV114" s="395"/>
      <c r="UFW114" s="395"/>
      <c r="UFX114" s="395"/>
      <c r="UFY114" s="395"/>
      <c r="UFZ114" s="395"/>
      <c r="UGA114" s="395"/>
      <c r="UGB114" s="395"/>
      <c r="UGC114" s="395"/>
      <c r="UGD114" s="395"/>
      <c r="UGE114" s="395"/>
      <c r="UGF114" s="395"/>
      <c r="UGG114" s="395"/>
      <c r="UGH114" s="395"/>
      <c r="UGI114" s="395"/>
      <c r="UGJ114" s="395"/>
      <c r="UGK114" s="395"/>
      <c r="UGL114" s="395"/>
      <c r="UGM114" s="396"/>
      <c r="UGN114" s="394"/>
      <c r="UGO114" s="395"/>
      <c r="UGP114" s="395"/>
      <c r="UGQ114" s="395"/>
      <c r="UGR114" s="395"/>
      <c r="UGS114" s="395"/>
      <c r="UGT114" s="395"/>
      <c r="UGU114" s="395"/>
      <c r="UGV114" s="395"/>
      <c r="UGW114" s="395"/>
      <c r="UGX114" s="395"/>
      <c r="UGY114" s="395"/>
      <c r="UGZ114" s="395"/>
      <c r="UHA114" s="395"/>
      <c r="UHB114" s="395"/>
      <c r="UHC114" s="395"/>
      <c r="UHD114" s="395"/>
      <c r="UHE114" s="395"/>
      <c r="UHF114" s="395"/>
      <c r="UHG114" s="395"/>
      <c r="UHH114" s="395"/>
      <c r="UHI114" s="395"/>
      <c r="UHJ114" s="395"/>
      <c r="UHK114" s="395"/>
      <c r="UHL114" s="395"/>
      <c r="UHM114" s="395"/>
      <c r="UHN114" s="396"/>
      <c r="UHO114" s="394"/>
      <c r="UHP114" s="395"/>
      <c r="UHQ114" s="395"/>
      <c r="UHR114" s="395"/>
      <c r="UHS114" s="395"/>
      <c r="UHT114" s="395"/>
      <c r="UHU114" s="395"/>
      <c r="UHV114" s="395"/>
      <c r="UHW114" s="395"/>
      <c r="UHX114" s="395"/>
      <c r="UHY114" s="395"/>
      <c r="UHZ114" s="395"/>
      <c r="UIA114" s="395"/>
      <c r="UIB114" s="395"/>
      <c r="UIC114" s="395"/>
      <c r="UID114" s="395"/>
      <c r="UIE114" s="395"/>
      <c r="UIF114" s="395"/>
      <c r="UIG114" s="395"/>
      <c r="UIH114" s="395"/>
      <c r="UII114" s="395"/>
      <c r="UIJ114" s="395"/>
      <c r="UIK114" s="395"/>
      <c r="UIL114" s="395"/>
      <c r="UIM114" s="395"/>
      <c r="UIN114" s="395"/>
      <c r="UIO114" s="396"/>
      <c r="UIP114" s="394"/>
      <c r="UIQ114" s="395"/>
      <c r="UIR114" s="395"/>
      <c r="UIS114" s="395"/>
      <c r="UIT114" s="395"/>
      <c r="UIU114" s="395"/>
      <c r="UIV114" s="395"/>
      <c r="UIW114" s="395"/>
      <c r="UIX114" s="395"/>
      <c r="UIY114" s="395"/>
      <c r="UIZ114" s="395"/>
      <c r="UJA114" s="395"/>
      <c r="UJB114" s="395"/>
      <c r="UJC114" s="395"/>
      <c r="UJD114" s="395"/>
      <c r="UJE114" s="395"/>
      <c r="UJF114" s="395"/>
      <c r="UJG114" s="395"/>
      <c r="UJH114" s="395"/>
      <c r="UJI114" s="395"/>
      <c r="UJJ114" s="395"/>
      <c r="UJK114" s="395"/>
      <c r="UJL114" s="395"/>
      <c r="UJM114" s="395"/>
      <c r="UJN114" s="395"/>
      <c r="UJO114" s="395"/>
      <c r="UJP114" s="396"/>
      <c r="UJQ114" s="394"/>
      <c r="UJR114" s="395"/>
      <c r="UJS114" s="395"/>
      <c r="UJT114" s="395"/>
      <c r="UJU114" s="395"/>
      <c r="UJV114" s="395"/>
      <c r="UJW114" s="395"/>
      <c r="UJX114" s="395"/>
      <c r="UJY114" s="395"/>
      <c r="UJZ114" s="395"/>
      <c r="UKA114" s="395"/>
      <c r="UKB114" s="395"/>
      <c r="UKC114" s="395"/>
      <c r="UKD114" s="395"/>
      <c r="UKE114" s="395"/>
      <c r="UKF114" s="395"/>
      <c r="UKG114" s="395"/>
      <c r="UKH114" s="395"/>
      <c r="UKI114" s="395"/>
      <c r="UKJ114" s="395"/>
      <c r="UKK114" s="395"/>
      <c r="UKL114" s="395"/>
      <c r="UKM114" s="395"/>
      <c r="UKN114" s="395"/>
      <c r="UKO114" s="395"/>
      <c r="UKP114" s="395"/>
      <c r="UKQ114" s="396"/>
      <c r="UKR114" s="394"/>
      <c r="UKS114" s="395"/>
      <c r="UKT114" s="395"/>
      <c r="UKU114" s="395"/>
      <c r="UKV114" s="395"/>
      <c r="UKW114" s="395"/>
      <c r="UKX114" s="395"/>
      <c r="UKY114" s="395"/>
      <c r="UKZ114" s="395"/>
      <c r="ULA114" s="395"/>
      <c r="ULB114" s="395"/>
      <c r="ULC114" s="395"/>
      <c r="ULD114" s="395"/>
      <c r="ULE114" s="395"/>
      <c r="ULF114" s="395"/>
      <c r="ULG114" s="395"/>
      <c r="ULH114" s="395"/>
      <c r="ULI114" s="395"/>
      <c r="ULJ114" s="395"/>
      <c r="ULK114" s="395"/>
      <c r="ULL114" s="395"/>
      <c r="ULM114" s="395"/>
      <c r="ULN114" s="395"/>
      <c r="ULO114" s="395"/>
      <c r="ULP114" s="395"/>
      <c r="ULQ114" s="395"/>
      <c r="ULR114" s="396"/>
      <c r="ULS114" s="394"/>
      <c r="ULT114" s="395"/>
      <c r="ULU114" s="395"/>
      <c r="ULV114" s="395"/>
      <c r="ULW114" s="395"/>
      <c r="ULX114" s="395"/>
      <c r="ULY114" s="395"/>
      <c r="ULZ114" s="395"/>
      <c r="UMA114" s="395"/>
      <c r="UMB114" s="395"/>
      <c r="UMC114" s="395"/>
      <c r="UMD114" s="395"/>
      <c r="UME114" s="395"/>
      <c r="UMF114" s="395"/>
      <c r="UMG114" s="395"/>
      <c r="UMH114" s="395"/>
      <c r="UMI114" s="395"/>
      <c r="UMJ114" s="395"/>
      <c r="UMK114" s="395"/>
      <c r="UML114" s="395"/>
      <c r="UMM114" s="395"/>
      <c r="UMN114" s="395"/>
      <c r="UMO114" s="395"/>
      <c r="UMP114" s="395"/>
      <c r="UMQ114" s="395"/>
      <c r="UMR114" s="395"/>
      <c r="UMS114" s="396"/>
      <c r="UMT114" s="394"/>
      <c r="UMU114" s="395"/>
      <c r="UMV114" s="395"/>
      <c r="UMW114" s="395"/>
      <c r="UMX114" s="395"/>
      <c r="UMY114" s="395"/>
      <c r="UMZ114" s="395"/>
      <c r="UNA114" s="395"/>
      <c r="UNB114" s="395"/>
      <c r="UNC114" s="395"/>
      <c r="UND114" s="395"/>
      <c r="UNE114" s="395"/>
      <c r="UNF114" s="395"/>
      <c r="UNG114" s="395"/>
      <c r="UNH114" s="395"/>
      <c r="UNI114" s="395"/>
      <c r="UNJ114" s="395"/>
      <c r="UNK114" s="395"/>
      <c r="UNL114" s="395"/>
      <c r="UNM114" s="395"/>
      <c r="UNN114" s="395"/>
      <c r="UNO114" s="395"/>
      <c r="UNP114" s="395"/>
      <c r="UNQ114" s="395"/>
      <c r="UNR114" s="395"/>
      <c r="UNS114" s="395"/>
      <c r="UNT114" s="396"/>
      <c r="UNU114" s="394"/>
      <c r="UNV114" s="395"/>
      <c r="UNW114" s="395"/>
      <c r="UNX114" s="395"/>
      <c r="UNY114" s="395"/>
      <c r="UNZ114" s="395"/>
      <c r="UOA114" s="395"/>
      <c r="UOB114" s="395"/>
      <c r="UOC114" s="395"/>
      <c r="UOD114" s="395"/>
      <c r="UOE114" s="395"/>
      <c r="UOF114" s="395"/>
      <c r="UOG114" s="395"/>
      <c r="UOH114" s="395"/>
      <c r="UOI114" s="395"/>
      <c r="UOJ114" s="395"/>
      <c r="UOK114" s="395"/>
      <c r="UOL114" s="395"/>
      <c r="UOM114" s="395"/>
      <c r="UON114" s="395"/>
      <c r="UOO114" s="395"/>
      <c r="UOP114" s="395"/>
      <c r="UOQ114" s="395"/>
      <c r="UOR114" s="395"/>
      <c r="UOS114" s="395"/>
      <c r="UOT114" s="395"/>
      <c r="UOU114" s="396"/>
      <c r="UOV114" s="394"/>
      <c r="UOW114" s="395"/>
      <c r="UOX114" s="395"/>
      <c r="UOY114" s="395"/>
      <c r="UOZ114" s="395"/>
      <c r="UPA114" s="395"/>
      <c r="UPB114" s="395"/>
      <c r="UPC114" s="395"/>
      <c r="UPD114" s="395"/>
      <c r="UPE114" s="395"/>
      <c r="UPF114" s="395"/>
      <c r="UPG114" s="395"/>
      <c r="UPH114" s="395"/>
      <c r="UPI114" s="395"/>
      <c r="UPJ114" s="395"/>
      <c r="UPK114" s="395"/>
      <c r="UPL114" s="395"/>
      <c r="UPM114" s="395"/>
      <c r="UPN114" s="395"/>
      <c r="UPO114" s="395"/>
      <c r="UPP114" s="395"/>
      <c r="UPQ114" s="395"/>
      <c r="UPR114" s="395"/>
      <c r="UPS114" s="395"/>
      <c r="UPT114" s="395"/>
      <c r="UPU114" s="395"/>
      <c r="UPV114" s="396"/>
      <c r="UPW114" s="394"/>
      <c r="UPX114" s="395"/>
      <c r="UPY114" s="395"/>
      <c r="UPZ114" s="395"/>
      <c r="UQA114" s="395"/>
      <c r="UQB114" s="395"/>
      <c r="UQC114" s="395"/>
      <c r="UQD114" s="395"/>
      <c r="UQE114" s="395"/>
      <c r="UQF114" s="395"/>
      <c r="UQG114" s="395"/>
      <c r="UQH114" s="395"/>
      <c r="UQI114" s="395"/>
      <c r="UQJ114" s="395"/>
      <c r="UQK114" s="395"/>
      <c r="UQL114" s="395"/>
      <c r="UQM114" s="395"/>
      <c r="UQN114" s="395"/>
      <c r="UQO114" s="395"/>
      <c r="UQP114" s="395"/>
      <c r="UQQ114" s="395"/>
      <c r="UQR114" s="395"/>
      <c r="UQS114" s="395"/>
      <c r="UQT114" s="395"/>
      <c r="UQU114" s="395"/>
      <c r="UQV114" s="395"/>
      <c r="UQW114" s="396"/>
      <c r="UQX114" s="394"/>
      <c r="UQY114" s="395"/>
      <c r="UQZ114" s="395"/>
      <c r="URA114" s="395"/>
      <c r="URB114" s="395"/>
      <c r="URC114" s="395"/>
      <c r="URD114" s="395"/>
      <c r="URE114" s="395"/>
      <c r="URF114" s="395"/>
      <c r="URG114" s="395"/>
      <c r="URH114" s="395"/>
      <c r="URI114" s="395"/>
      <c r="URJ114" s="395"/>
      <c r="URK114" s="395"/>
      <c r="URL114" s="395"/>
      <c r="URM114" s="395"/>
      <c r="URN114" s="395"/>
      <c r="URO114" s="395"/>
      <c r="URP114" s="395"/>
      <c r="URQ114" s="395"/>
      <c r="URR114" s="395"/>
      <c r="URS114" s="395"/>
      <c r="URT114" s="395"/>
      <c r="URU114" s="395"/>
      <c r="URV114" s="395"/>
      <c r="URW114" s="395"/>
      <c r="URX114" s="396"/>
      <c r="URY114" s="394"/>
      <c r="URZ114" s="395"/>
      <c r="USA114" s="395"/>
      <c r="USB114" s="395"/>
      <c r="USC114" s="395"/>
      <c r="USD114" s="395"/>
      <c r="USE114" s="395"/>
      <c r="USF114" s="395"/>
      <c r="USG114" s="395"/>
      <c r="USH114" s="395"/>
      <c r="USI114" s="395"/>
      <c r="USJ114" s="395"/>
      <c r="USK114" s="395"/>
      <c r="USL114" s="395"/>
      <c r="USM114" s="395"/>
      <c r="USN114" s="395"/>
      <c r="USO114" s="395"/>
      <c r="USP114" s="395"/>
      <c r="USQ114" s="395"/>
      <c r="USR114" s="395"/>
      <c r="USS114" s="395"/>
      <c r="UST114" s="395"/>
      <c r="USU114" s="395"/>
      <c r="USV114" s="395"/>
      <c r="USW114" s="395"/>
      <c r="USX114" s="395"/>
      <c r="USY114" s="396"/>
      <c r="USZ114" s="394"/>
      <c r="UTA114" s="395"/>
      <c r="UTB114" s="395"/>
      <c r="UTC114" s="395"/>
      <c r="UTD114" s="395"/>
      <c r="UTE114" s="395"/>
      <c r="UTF114" s="395"/>
      <c r="UTG114" s="395"/>
      <c r="UTH114" s="395"/>
      <c r="UTI114" s="395"/>
      <c r="UTJ114" s="395"/>
      <c r="UTK114" s="395"/>
      <c r="UTL114" s="395"/>
      <c r="UTM114" s="395"/>
      <c r="UTN114" s="395"/>
      <c r="UTO114" s="395"/>
      <c r="UTP114" s="395"/>
      <c r="UTQ114" s="395"/>
      <c r="UTR114" s="395"/>
      <c r="UTS114" s="395"/>
      <c r="UTT114" s="395"/>
      <c r="UTU114" s="395"/>
      <c r="UTV114" s="395"/>
      <c r="UTW114" s="395"/>
      <c r="UTX114" s="395"/>
      <c r="UTY114" s="395"/>
      <c r="UTZ114" s="396"/>
      <c r="UUA114" s="394"/>
      <c r="UUB114" s="395"/>
      <c r="UUC114" s="395"/>
      <c r="UUD114" s="395"/>
      <c r="UUE114" s="395"/>
      <c r="UUF114" s="395"/>
      <c r="UUG114" s="395"/>
      <c r="UUH114" s="395"/>
      <c r="UUI114" s="395"/>
      <c r="UUJ114" s="395"/>
      <c r="UUK114" s="395"/>
      <c r="UUL114" s="395"/>
      <c r="UUM114" s="395"/>
      <c r="UUN114" s="395"/>
      <c r="UUO114" s="395"/>
      <c r="UUP114" s="395"/>
      <c r="UUQ114" s="395"/>
      <c r="UUR114" s="395"/>
      <c r="UUS114" s="395"/>
      <c r="UUT114" s="395"/>
      <c r="UUU114" s="395"/>
      <c r="UUV114" s="395"/>
      <c r="UUW114" s="395"/>
      <c r="UUX114" s="395"/>
      <c r="UUY114" s="395"/>
      <c r="UUZ114" s="395"/>
      <c r="UVA114" s="396"/>
      <c r="UVB114" s="394"/>
      <c r="UVC114" s="395"/>
      <c r="UVD114" s="395"/>
      <c r="UVE114" s="395"/>
      <c r="UVF114" s="395"/>
      <c r="UVG114" s="395"/>
      <c r="UVH114" s="395"/>
      <c r="UVI114" s="395"/>
      <c r="UVJ114" s="395"/>
      <c r="UVK114" s="395"/>
      <c r="UVL114" s="395"/>
      <c r="UVM114" s="395"/>
      <c r="UVN114" s="395"/>
      <c r="UVO114" s="395"/>
      <c r="UVP114" s="395"/>
      <c r="UVQ114" s="395"/>
      <c r="UVR114" s="395"/>
      <c r="UVS114" s="395"/>
      <c r="UVT114" s="395"/>
      <c r="UVU114" s="395"/>
      <c r="UVV114" s="395"/>
      <c r="UVW114" s="395"/>
      <c r="UVX114" s="395"/>
      <c r="UVY114" s="395"/>
      <c r="UVZ114" s="395"/>
      <c r="UWA114" s="395"/>
      <c r="UWB114" s="396"/>
      <c r="UWC114" s="394"/>
      <c r="UWD114" s="395"/>
      <c r="UWE114" s="395"/>
      <c r="UWF114" s="395"/>
      <c r="UWG114" s="395"/>
      <c r="UWH114" s="395"/>
      <c r="UWI114" s="395"/>
      <c r="UWJ114" s="395"/>
      <c r="UWK114" s="395"/>
      <c r="UWL114" s="395"/>
      <c r="UWM114" s="395"/>
      <c r="UWN114" s="395"/>
      <c r="UWO114" s="395"/>
      <c r="UWP114" s="395"/>
      <c r="UWQ114" s="395"/>
      <c r="UWR114" s="395"/>
      <c r="UWS114" s="395"/>
      <c r="UWT114" s="395"/>
      <c r="UWU114" s="395"/>
      <c r="UWV114" s="395"/>
      <c r="UWW114" s="395"/>
      <c r="UWX114" s="395"/>
      <c r="UWY114" s="395"/>
      <c r="UWZ114" s="395"/>
      <c r="UXA114" s="395"/>
      <c r="UXB114" s="395"/>
      <c r="UXC114" s="396"/>
      <c r="UXD114" s="394"/>
      <c r="UXE114" s="395"/>
      <c r="UXF114" s="395"/>
      <c r="UXG114" s="395"/>
      <c r="UXH114" s="395"/>
      <c r="UXI114" s="395"/>
      <c r="UXJ114" s="395"/>
      <c r="UXK114" s="395"/>
      <c r="UXL114" s="395"/>
      <c r="UXM114" s="395"/>
      <c r="UXN114" s="395"/>
      <c r="UXO114" s="395"/>
      <c r="UXP114" s="395"/>
      <c r="UXQ114" s="395"/>
      <c r="UXR114" s="395"/>
      <c r="UXS114" s="395"/>
      <c r="UXT114" s="395"/>
      <c r="UXU114" s="395"/>
      <c r="UXV114" s="395"/>
      <c r="UXW114" s="395"/>
      <c r="UXX114" s="395"/>
      <c r="UXY114" s="395"/>
      <c r="UXZ114" s="395"/>
      <c r="UYA114" s="395"/>
      <c r="UYB114" s="395"/>
      <c r="UYC114" s="395"/>
      <c r="UYD114" s="396"/>
      <c r="UYE114" s="394"/>
      <c r="UYF114" s="395"/>
      <c r="UYG114" s="395"/>
      <c r="UYH114" s="395"/>
      <c r="UYI114" s="395"/>
      <c r="UYJ114" s="395"/>
      <c r="UYK114" s="395"/>
      <c r="UYL114" s="395"/>
      <c r="UYM114" s="395"/>
      <c r="UYN114" s="395"/>
      <c r="UYO114" s="395"/>
      <c r="UYP114" s="395"/>
      <c r="UYQ114" s="395"/>
      <c r="UYR114" s="395"/>
      <c r="UYS114" s="395"/>
      <c r="UYT114" s="395"/>
      <c r="UYU114" s="395"/>
      <c r="UYV114" s="395"/>
      <c r="UYW114" s="395"/>
      <c r="UYX114" s="395"/>
      <c r="UYY114" s="395"/>
      <c r="UYZ114" s="395"/>
      <c r="UZA114" s="395"/>
      <c r="UZB114" s="395"/>
      <c r="UZC114" s="395"/>
      <c r="UZD114" s="395"/>
      <c r="UZE114" s="396"/>
      <c r="UZF114" s="394"/>
      <c r="UZG114" s="395"/>
      <c r="UZH114" s="395"/>
      <c r="UZI114" s="395"/>
      <c r="UZJ114" s="395"/>
      <c r="UZK114" s="395"/>
      <c r="UZL114" s="395"/>
      <c r="UZM114" s="395"/>
      <c r="UZN114" s="395"/>
      <c r="UZO114" s="395"/>
      <c r="UZP114" s="395"/>
      <c r="UZQ114" s="395"/>
      <c r="UZR114" s="395"/>
      <c r="UZS114" s="395"/>
      <c r="UZT114" s="395"/>
      <c r="UZU114" s="395"/>
      <c r="UZV114" s="395"/>
      <c r="UZW114" s="395"/>
      <c r="UZX114" s="395"/>
      <c r="UZY114" s="395"/>
      <c r="UZZ114" s="395"/>
      <c r="VAA114" s="395"/>
      <c r="VAB114" s="395"/>
      <c r="VAC114" s="395"/>
      <c r="VAD114" s="395"/>
      <c r="VAE114" s="395"/>
      <c r="VAF114" s="396"/>
      <c r="VAG114" s="394"/>
      <c r="VAH114" s="395"/>
      <c r="VAI114" s="395"/>
      <c r="VAJ114" s="395"/>
      <c r="VAK114" s="395"/>
      <c r="VAL114" s="395"/>
      <c r="VAM114" s="395"/>
      <c r="VAN114" s="395"/>
      <c r="VAO114" s="395"/>
      <c r="VAP114" s="395"/>
      <c r="VAQ114" s="395"/>
      <c r="VAR114" s="395"/>
      <c r="VAS114" s="395"/>
      <c r="VAT114" s="395"/>
      <c r="VAU114" s="395"/>
      <c r="VAV114" s="395"/>
      <c r="VAW114" s="395"/>
      <c r="VAX114" s="395"/>
      <c r="VAY114" s="395"/>
      <c r="VAZ114" s="395"/>
      <c r="VBA114" s="395"/>
      <c r="VBB114" s="395"/>
      <c r="VBC114" s="395"/>
      <c r="VBD114" s="395"/>
      <c r="VBE114" s="395"/>
      <c r="VBF114" s="395"/>
      <c r="VBG114" s="396"/>
      <c r="VBH114" s="394"/>
      <c r="VBI114" s="395"/>
      <c r="VBJ114" s="395"/>
      <c r="VBK114" s="395"/>
      <c r="VBL114" s="395"/>
      <c r="VBM114" s="395"/>
      <c r="VBN114" s="395"/>
      <c r="VBO114" s="395"/>
      <c r="VBP114" s="395"/>
      <c r="VBQ114" s="395"/>
      <c r="VBR114" s="395"/>
      <c r="VBS114" s="395"/>
      <c r="VBT114" s="395"/>
      <c r="VBU114" s="395"/>
      <c r="VBV114" s="395"/>
      <c r="VBW114" s="395"/>
      <c r="VBX114" s="395"/>
      <c r="VBY114" s="395"/>
      <c r="VBZ114" s="395"/>
      <c r="VCA114" s="395"/>
      <c r="VCB114" s="395"/>
      <c r="VCC114" s="395"/>
      <c r="VCD114" s="395"/>
      <c r="VCE114" s="395"/>
      <c r="VCF114" s="395"/>
      <c r="VCG114" s="395"/>
      <c r="VCH114" s="396"/>
      <c r="VCI114" s="394"/>
      <c r="VCJ114" s="395"/>
      <c r="VCK114" s="395"/>
      <c r="VCL114" s="395"/>
      <c r="VCM114" s="395"/>
      <c r="VCN114" s="395"/>
      <c r="VCO114" s="395"/>
      <c r="VCP114" s="395"/>
      <c r="VCQ114" s="395"/>
      <c r="VCR114" s="395"/>
      <c r="VCS114" s="395"/>
      <c r="VCT114" s="395"/>
      <c r="VCU114" s="395"/>
      <c r="VCV114" s="395"/>
      <c r="VCW114" s="395"/>
      <c r="VCX114" s="395"/>
      <c r="VCY114" s="395"/>
      <c r="VCZ114" s="395"/>
      <c r="VDA114" s="395"/>
      <c r="VDB114" s="395"/>
      <c r="VDC114" s="395"/>
      <c r="VDD114" s="395"/>
      <c r="VDE114" s="395"/>
      <c r="VDF114" s="395"/>
      <c r="VDG114" s="395"/>
      <c r="VDH114" s="395"/>
      <c r="VDI114" s="396"/>
      <c r="VDJ114" s="394"/>
      <c r="VDK114" s="395"/>
      <c r="VDL114" s="395"/>
      <c r="VDM114" s="395"/>
      <c r="VDN114" s="395"/>
      <c r="VDO114" s="395"/>
      <c r="VDP114" s="395"/>
      <c r="VDQ114" s="395"/>
      <c r="VDR114" s="395"/>
      <c r="VDS114" s="395"/>
      <c r="VDT114" s="395"/>
      <c r="VDU114" s="395"/>
      <c r="VDV114" s="395"/>
      <c r="VDW114" s="395"/>
      <c r="VDX114" s="395"/>
      <c r="VDY114" s="395"/>
      <c r="VDZ114" s="395"/>
      <c r="VEA114" s="395"/>
      <c r="VEB114" s="395"/>
      <c r="VEC114" s="395"/>
      <c r="VED114" s="395"/>
      <c r="VEE114" s="395"/>
      <c r="VEF114" s="395"/>
      <c r="VEG114" s="395"/>
      <c r="VEH114" s="395"/>
      <c r="VEI114" s="395"/>
      <c r="VEJ114" s="396"/>
      <c r="VEK114" s="394"/>
      <c r="VEL114" s="395"/>
      <c r="VEM114" s="395"/>
      <c r="VEN114" s="395"/>
      <c r="VEO114" s="395"/>
      <c r="VEP114" s="395"/>
      <c r="VEQ114" s="395"/>
      <c r="VER114" s="395"/>
      <c r="VES114" s="395"/>
      <c r="VET114" s="395"/>
      <c r="VEU114" s="395"/>
      <c r="VEV114" s="395"/>
      <c r="VEW114" s="395"/>
      <c r="VEX114" s="395"/>
      <c r="VEY114" s="395"/>
      <c r="VEZ114" s="395"/>
      <c r="VFA114" s="395"/>
      <c r="VFB114" s="395"/>
      <c r="VFC114" s="395"/>
      <c r="VFD114" s="395"/>
      <c r="VFE114" s="395"/>
      <c r="VFF114" s="395"/>
      <c r="VFG114" s="395"/>
      <c r="VFH114" s="395"/>
      <c r="VFI114" s="395"/>
      <c r="VFJ114" s="395"/>
      <c r="VFK114" s="396"/>
      <c r="VFL114" s="394"/>
      <c r="VFM114" s="395"/>
      <c r="VFN114" s="395"/>
      <c r="VFO114" s="395"/>
      <c r="VFP114" s="395"/>
      <c r="VFQ114" s="395"/>
      <c r="VFR114" s="395"/>
      <c r="VFS114" s="395"/>
      <c r="VFT114" s="395"/>
      <c r="VFU114" s="395"/>
      <c r="VFV114" s="395"/>
      <c r="VFW114" s="395"/>
      <c r="VFX114" s="395"/>
      <c r="VFY114" s="395"/>
      <c r="VFZ114" s="395"/>
      <c r="VGA114" s="395"/>
      <c r="VGB114" s="395"/>
      <c r="VGC114" s="395"/>
      <c r="VGD114" s="395"/>
      <c r="VGE114" s="395"/>
      <c r="VGF114" s="395"/>
      <c r="VGG114" s="395"/>
      <c r="VGH114" s="395"/>
      <c r="VGI114" s="395"/>
      <c r="VGJ114" s="395"/>
      <c r="VGK114" s="395"/>
      <c r="VGL114" s="396"/>
      <c r="VGM114" s="394"/>
      <c r="VGN114" s="395"/>
      <c r="VGO114" s="395"/>
      <c r="VGP114" s="395"/>
      <c r="VGQ114" s="395"/>
      <c r="VGR114" s="395"/>
      <c r="VGS114" s="395"/>
      <c r="VGT114" s="395"/>
      <c r="VGU114" s="395"/>
      <c r="VGV114" s="395"/>
      <c r="VGW114" s="395"/>
      <c r="VGX114" s="395"/>
      <c r="VGY114" s="395"/>
      <c r="VGZ114" s="395"/>
      <c r="VHA114" s="395"/>
      <c r="VHB114" s="395"/>
      <c r="VHC114" s="395"/>
      <c r="VHD114" s="395"/>
      <c r="VHE114" s="395"/>
      <c r="VHF114" s="395"/>
      <c r="VHG114" s="395"/>
      <c r="VHH114" s="395"/>
      <c r="VHI114" s="395"/>
      <c r="VHJ114" s="395"/>
      <c r="VHK114" s="395"/>
      <c r="VHL114" s="395"/>
      <c r="VHM114" s="396"/>
      <c r="VHN114" s="394"/>
      <c r="VHO114" s="395"/>
      <c r="VHP114" s="395"/>
      <c r="VHQ114" s="395"/>
      <c r="VHR114" s="395"/>
      <c r="VHS114" s="395"/>
      <c r="VHT114" s="395"/>
      <c r="VHU114" s="395"/>
      <c r="VHV114" s="395"/>
      <c r="VHW114" s="395"/>
      <c r="VHX114" s="395"/>
      <c r="VHY114" s="395"/>
      <c r="VHZ114" s="395"/>
      <c r="VIA114" s="395"/>
      <c r="VIB114" s="395"/>
      <c r="VIC114" s="395"/>
      <c r="VID114" s="395"/>
      <c r="VIE114" s="395"/>
      <c r="VIF114" s="395"/>
      <c r="VIG114" s="395"/>
      <c r="VIH114" s="395"/>
      <c r="VII114" s="395"/>
      <c r="VIJ114" s="395"/>
      <c r="VIK114" s="395"/>
      <c r="VIL114" s="395"/>
      <c r="VIM114" s="395"/>
      <c r="VIN114" s="396"/>
      <c r="VIO114" s="394"/>
      <c r="VIP114" s="395"/>
      <c r="VIQ114" s="395"/>
      <c r="VIR114" s="395"/>
      <c r="VIS114" s="395"/>
      <c r="VIT114" s="395"/>
      <c r="VIU114" s="395"/>
      <c r="VIV114" s="395"/>
      <c r="VIW114" s="395"/>
      <c r="VIX114" s="395"/>
      <c r="VIY114" s="395"/>
      <c r="VIZ114" s="395"/>
      <c r="VJA114" s="395"/>
      <c r="VJB114" s="395"/>
      <c r="VJC114" s="395"/>
      <c r="VJD114" s="395"/>
      <c r="VJE114" s="395"/>
      <c r="VJF114" s="395"/>
      <c r="VJG114" s="395"/>
      <c r="VJH114" s="395"/>
      <c r="VJI114" s="395"/>
      <c r="VJJ114" s="395"/>
      <c r="VJK114" s="395"/>
      <c r="VJL114" s="395"/>
      <c r="VJM114" s="395"/>
      <c r="VJN114" s="395"/>
      <c r="VJO114" s="396"/>
      <c r="VJP114" s="394"/>
      <c r="VJQ114" s="395"/>
      <c r="VJR114" s="395"/>
      <c r="VJS114" s="395"/>
      <c r="VJT114" s="395"/>
      <c r="VJU114" s="395"/>
      <c r="VJV114" s="395"/>
      <c r="VJW114" s="395"/>
      <c r="VJX114" s="395"/>
      <c r="VJY114" s="395"/>
      <c r="VJZ114" s="395"/>
      <c r="VKA114" s="395"/>
      <c r="VKB114" s="395"/>
      <c r="VKC114" s="395"/>
      <c r="VKD114" s="395"/>
      <c r="VKE114" s="395"/>
      <c r="VKF114" s="395"/>
      <c r="VKG114" s="395"/>
      <c r="VKH114" s="395"/>
      <c r="VKI114" s="395"/>
      <c r="VKJ114" s="395"/>
      <c r="VKK114" s="395"/>
      <c r="VKL114" s="395"/>
      <c r="VKM114" s="395"/>
      <c r="VKN114" s="395"/>
      <c r="VKO114" s="395"/>
      <c r="VKP114" s="396"/>
      <c r="VKQ114" s="394"/>
      <c r="VKR114" s="395"/>
      <c r="VKS114" s="395"/>
      <c r="VKT114" s="395"/>
      <c r="VKU114" s="395"/>
      <c r="VKV114" s="395"/>
      <c r="VKW114" s="395"/>
      <c r="VKX114" s="395"/>
      <c r="VKY114" s="395"/>
      <c r="VKZ114" s="395"/>
      <c r="VLA114" s="395"/>
      <c r="VLB114" s="395"/>
      <c r="VLC114" s="395"/>
      <c r="VLD114" s="395"/>
      <c r="VLE114" s="395"/>
      <c r="VLF114" s="395"/>
      <c r="VLG114" s="395"/>
      <c r="VLH114" s="395"/>
      <c r="VLI114" s="395"/>
      <c r="VLJ114" s="395"/>
      <c r="VLK114" s="395"/>
      <c r="VLL114" s="395"/>
      <c r="VLM114" s="395"/>
      <c r="VLN114" s="395"/>
      <c r="VLO114" s="395"/>
      <c r="VLP114" s="395"/>
      <c r="VLQ114" s="396"/>
      <c r="VLR114" s="394"/>
      <c r="VLS114" s="395"/>
      <c r="VLT114" s="395"/>
      <c r="VLU114" s="395"/>
      <c r="VLV114" s="395"/>
      <c r="VLW114" s="395"/>
      <c r="VLX114" s="395"/>
      <c r="VLY114" s="395"/>
      <c r="VLZ114" s="395"/>
      <c r="VMA114" s="395"/>
      <c r="VMB114" s="395"/>
      <c r="VMC114" s="395"/>
      <c r="VMD114" s="395"/>
      <c r="VME114" s="395"/>
      <c r="VMF114" s="395"/>
      <c r="VMG114" s="395"/>
      <c r="VMH114" s="395"/>
      <c r="VMI114" s="395"/>
      <c r="VMJ114" s="395"/>
      <c r="VMK114" s="395"/>
      <c r="VML114" s="395"/>
      <c r="VMM114" s="395"/>
      <c r="VMN114" s="395"/>
      <c r="VMO114" s="395"/>
      <c r="VMP114" s="395"/>
      <c r="VMQ114" s="395"/>
      <c r="VMR114" s="396"/>
      <c r="VMS114" s="394"/>
      <c r="VMT114" s="395"/>
      <c r="VMU114" s="395"/>
      <c r="VMV114" s="395"/>
      <c r="VMW114" s="395"/>
      <c r="VMX114" s="395"/>
      <c r="VMY114" s="395"/>
      <c r="VMZ114" s="395"/>
      <c r="VNA114" s="395"/>
      <c r="VNB114" s="395"/>
      <c r="VNC114" s="395"/>
      <c r="VND114" s="395"/>
      <c r="VNE114" s="395"/>
      <c r="VNF114" s="395"/>
      <c r="VNG114" s="395"/>
      <c r="VNH114" s="395"/>
      <c r="VNI114" s="395"/>
      <c r="VNJ114" s="395"/>
      <c r="VNK114" s="395"/>
      <c r="VNL114" s="395"/>
      <c r="VNM114" s="395"/>
      <c r="VNN114" s="395"/>
      <c r="VNO114" s="395"/>
      <c r="VNP114" s="395"/>
      <c r="VNQ114" s="395"/>
      <c r="VNR114" s="395"/>
      <c r="VNS114" s="396"/>
      <c r="VNT114" s="394"/>
      <c r="VNU114" s="395"/>
      <c r="VNV114" s="395"/>
      <c r="VNW114" s="395"/>
      <c r="VNX114" s="395"/>
      <c r="VNY114" s="395"/>
      <c r="VNZ114" s="395"/>
      <c r="VOA114" s="395"/>
      <c r="VOB114" s="395"/>
      <c r="VOC114" s="395"/>
      <c r="VOD114" s="395"/>
      <c r="VOE114" s="395"/>
      <c r="VOF114" s="395"/>
      <c r="VOG114" s="395"/>
      <c r="VOH114" s="395"/>
      <c r="VOI114" s="395"/>
      <c r="VOJ114" s="395"/>
      <c r="VOK114" s="395"/>
      <c r="VOL114" s="395"/>
      <c r="VOM114" s="395"/>
      <c r="VON114" s="395"/>
      <c r="VOO114" s="395"/>
      <c r="VOP114" s="395"/>
      <c r="VOQ114" s="395"/>
      <c r="VOR114" s="395"/>
      <c r="VOS114" s="395"/>
      <c r="VOT114" s="396"/>
      <c r="VOU114" s="394"/>
      <c r="VOV114" s="395"/>
      <c r="VOW114" s="395"/>
      <c r="VOX114" s="395"/>
      <c r="VOY114" s="395"/>
      <c r="VOZ114" s="395"/>
      <c r="VPA114" s="395"/>
      <c r="VPB114" s="395"/>
      <c r="VPC114" s="395"/>
      <c r="VPD114" s="395"/>
      <c r="VPE114" s="395"/>
      <c r="VPF114" s="395"/>
      <c r="VPG114" s="395"/>
      <c r="VPH114" s="395"/>
      <c r="VPI114" s="395"/>
      <c r="VPJ114" s="395"/>
      <c r="VPK114" s="395"/>
      <c r="VPL114" s="395"/>
      <c r="VPM114" s="395"/>
      <c r="VPN114" s="395"/>
      <c r="VPO114" s="395"/>
      <c r="VPP114" s="395"/>
      <c r="VPQ114" s="395"/>
      <c r="VPR114" s="395"/>
      <c r="VPS114" s="395"/>
      <c r="VPT114" s="395"/>
      <c r="VPU114" s="396"/>
      <c r="VPV114" s="394"/>
      <c r="VPW114" s="395"/>
      <c r="VPX114" s="395"/>
      <c r="VPY114" s="395"/>
      <c r="VPZ114" s="395"/>
      <c r="VQA114" s="395"/>
      <c r="VQB114" s="395"/>
      <c r="VQC114" s="395"/>
      <c r="VQD114" s="395"/>
      <c r="VQE114" s="395"/>
      <c r="VQF114" s="395"/>
      <c r="VQG114" s="395"/>
      <c r="VQH114" s="395"/>
      <c r="VQI114" s="395"/>
      <c r="VQJ114" s="395"/>
      <c r="VQK114" s="395"/>
      <c r="VQL114" s="395"/>
      <c r="VQM114" s="395"/>
      <c r="VQN114" s="395"/>
      <c r="VQO114" s="395"/>
      <c r="VQP114" s="395"/>
      <c r="VQQ114" s="395"/>
      <c r="VQR114" s="395"/>
      <c r="VQS114" s="395"/>
      <c r="VQT114" s="395"/>
      <c r="VQU114" s="395"/>
      <c r="VQV114" s="396"/>
      <c r="VQW114" s="394"/>
      <c r="VQX114" s="395"/>
      <c r="VQY114" s="395"/>
      <c r="VQZ114" s="395"/>
      <c r="VRA114" s="395"/>
      <c r="VRB114" s="395"/>
      <c r="VRC114" s="395"/>
      <c r="VRD114" s="395"/>
      <c r="VRE114" s="395"/>
      <c r="VRF114" s="395"/>
      <c r="VRG114" s="395"/>
      <c r="VRH114" s="395"/>
      <c r="VRI114" s="395"/>
      <c r="VRJ114" s="395"/>
      <c r="VRK114" s="395"/>
      <c r="VRL114" s="395"/>
      <c r="VRM114" s="395"/>
      <c r="VRN114" s="395"/>
      <c r="VRO114" s="395"/>
      <c r="VRP114" s="395"/>
      <c r="VRQ114" s="395"/>
      <c r="VRR114" s="395"/>
      <c r="VRS114" s="395"/>
      <c r="VRT114" s="395"/>
      <c r="VRU114" s="395"/>
      <c r="VRV114" s="395"/>
      <c r="VRW114" s="396"/>
      <c r="VRX114" s="394"/>
      <c r="VRY114" s="395"/>
      <c r="VRZ114" s="395"/>
      <c r="VSA114" s="395"/>
      <c r="VSB114" s="395"/>
      <c r="VSC114" s="395"/>
      <c r="VSD114" s="395"/>
      <c r="VSE114" s="395"/>
      <c r="VSF114" s="395"/>
      <c r="VSG114" s="395"/>
      <c r="VSH114" s="395"/>
      <c r="VSI114" s="395"/>
      <c r="VSJ114" s="395"/>
      <c r="VSK114" s="395"/>
      <c r="VSL114" s="395"/>
      <c r="VSM114" s="395"/>
      <c r="VSN114" s="395"/>
      <c r="VSO114" s="395"/>
      <c r="VSP114" s="395"/>
      <c r="VSQ114" s="395"/>
      <c r="VSR114" s="395"/>
      <c r="VSS114" s="395"/>
      <c r="VST114" s="395"/>
      <c r="VSU114" s="395"/>
      <c r="VSV114" s="395"/>
      <c r="VSW114" s="395"/>
      <c r="VSX114" s="396"/>
      <c r="VSY114" s="394"/>
      <c r="VSZ114" s="395"/>
      <c r="VTA114" s="395"/>
      <c r="VTB114" s="395"/>
      <c r="VTC114" s="395"/>
      <c r="VTD114" s="395"/>
      <c r="VTE114" s="395"/>
      <c r="VTF114" s="395"/>
      <c r="VTG114" s="395"/>
      <c r="VTH114" s="395"/>
      <c r="VTI114" s="395"/>
      <c r="VTJ114" s="395"/>
      <c r="VTK114" s="395"/>
      <c r="VTL114" s="395"/>
      <c r="VTM114" s="395"/>
      <c r="VTN114" s="395"/>
      <c r="VTO114" s="395"/>
      <c r="VTP114" s="395"/>
      <c r="VTQ114" s="395"/>
      <c r="VTR114" s="395"/>
      <c r="VTS114" s="395"/>
      <c r="VTT114" s="395"/>
      <c r="VTU114" s="395"/>
      <c r="VTV114" s="395"/>
      <c r="VTW114" s="395"/>
      <c r="VTX114" s="395"/>
      <c r="VTY114" s="396"/>
      <c r="VTZ114" s="394"/>
      <c r="VUA114" s="395"/>
      <c r="VUB114" s="395"/>
      <c r="VUC114" s="395"/>
      <c r="VUD114" s="395"/>
      <c r="VUE114" s="395"/>
      <c r="VUF114" s="395"/>
      <c r="VUG114" s="395"/>
      <c r="VUH114" s="395"/>
      <c r="VUI114" s="395"/>
      <c r="VUJ114" s="395"/>
      <c r="VUK114" s="395"/>
      <c r="VUL114" s="395"/>
      <c r="VUM114" s="395"/>
      <c r="VUN114" s="395"/>
      <c r="VUO114" s="395"/>
      <c r="VUP114" s="395"/>
      <c r="VUQ114" s="395"/>
      <c r="VUR114" s="395"/>
      <c r="VUS114" s="395"/>
      <c r="VUT114" s="395"/>
      <c r="VUU114" s="395"/>
      <c r="VUV114" s="395"/>
      <c r="VUW114" s="395"/>
      <c r="VUX114" s="395"/>
      <c r="VUY114" s="395"/>
      <c r="VUZ114" s="396"/>
      <c r="VVA114" s="394"/>
      <c r="VVB114" s="395"/>
      <c r="VVC114" s="395"/>
      <c r="VVD114" s="395"/>
      <c r="VVE114" s="395"/>
      <c r="VVF114" s="395"/>
      <c r="VVG114" s="395"/>
      <c r="VVH114" s="395"/>
      <c r="VVI114" s="395"/>
      <c r="VVJ114" s="395"/>
      <c r="VVK114" s="395"/>
      <c r="VVL114" s="395"/>
      <c r="VVM114" s="395"/>
      <c r="VVN114" s="395"/>
      <c r="VVO114" s="395"/>
      <c r="VVP114" s="395"/>
      <c r="VVQ114" s="395"/>
      <c r="VVR114" s="395"/>
      <c r="VVS114" s="395"/>
      <c r="VVT114" s="395"/>
      <c r="VVU114" s="395"/>
      <c r="VVV114" s="395"/>
      <c r="VVW114" s="395"/>
      <c r="VVX114" s="395"/>
      <c r="VVY114" s="395"/>
      <c r="VVZ114" s="395"/>
      <c r="VWA114" s="396"/>
      <c r="VWB114" s="394"/>
      <c r="VWC114" s="395"/>
      <c r="VWD114" s="395"/>
      <c r="VWE114" s="395"/>
      <c r="VWF114" s="395"/>
      <c r="VWG114" s="395"/>
      <c r="VWH114" s="395"/>
      <c r="VWI114" s="395"/>
      <c r="VWJ114" s="395"/>
      <c r="VWK114" s="395"/>
      <c r="VWL114" s="395"/>
      <c r="VWM114" s="395"/>
      <c r="VWN114" s="395"/>
      <c r="VWO114" s="395"/>
      <c r="VWP114" s="395"/>
      <c r="VWQ114" s="395"/>
      <c r="VWR114" s="395"/>
      <c r="VWS114" s="395"/>
      <c r="VWT114" s="395"/>
      <c r="VWU114" s="395"/>
      <c r="VWV114" s="395"/>
      <c r="VWW114" s="395"/>
      <c r="VWX114" s="395"/>
      <c r="VWY114" s="395"/>
      <c r="VWZ114" s="395"/>
      <c r="VXA114" s="395"/>
      <c r="VXB114" s="396"/>
      <c r="VXC114" s="394"/>
      <c r="VXD114" s="395"/>
      <c r="VXE114" s="395"/>
      <c r="VXF114" s="395"/>
      <c r="VXG114" s="395"/>
      <c r="VXH114" s="395"/>
      <c r="VXI114" s="395"/>
      <c r="VXJ114" s="395"/>
      <c r="VXK114" s="395"/>
      <c r="VXL114" s="395"/>
      <c r="VXM114" s="395"/>
      <c r="VXN114" s="395"/>
      <c r="VXO114" s="395"/>
      <c r="VXP114" s="395"/>
      <c r="VXQ114" s="395"/>
      <c r="VXR114" s="395"/>
      <c r="VXS114" s="395"/>
      <c r="VXT114" s="395"/>
      <c r="VXU114" s="395"/>
      <c r="VXV114" s="395"/>
      <c r="VXW114" s="395"/>
      <c r="VXX114" s="395"/>
      <c r="VXY114" s="395"/>
      <c r="VXZ114" s="395"/>
      <c r="VYA114" s="395"/>
      <c r="VYB114" s="395"/>
      <c r="VYC114" s="396"/>
      <c r="VYD114" s="394"/>
      <c r="VYE114" s="395"/>
      <c r="VYF114" s="395"/>
      <c r="VYG114" s="395"/>
      <c r="VYH114" s="395"/>
      <c r="VYI114" s="395"/>
      <c r="VYJ114" s="395"/>
      <c r="VYK114" s="395"/>
      <c r="VYL114" s="395"/>
      <c r="VYM114" s="395"/>
      <c r="VYN114" s="395"/>
      <c r="VYO114" s="395"/>
      <c r="VYP114" s="395"/>
      <c r="VYQ114" s="395"/>
      <c r="VYR114" s="395"/>
      <c r="VYS114" s="395"/>
      <c r="VYT114" s="395"/>
      <c r="VYU114" s="395"/>
      <c r="VYV114" s="395"/>
      <c r="VYW114" s="395"/>
      <c r="VYX114" s="395"/>
      <c r="VYY114" s="395"/>
      <c r="VYZ114" s="395"/>
      <c r="VZA114" s="395"/>
      <c r="VZB114" s="395"/>
      <c r="VZC114" s="395"/>
      <c r="VZD114" s="396"/>
      <c r="VZE114" s="394"/>
      <c r="VZF114" s="395"/>
      <c r="VZG114" s="395"/>
      <c r="VZH114" s="395"/>
      <c r="VZI114" s="395"/>
      <c r="VZJ114" s="395"/>
      <c r="VZK114" s="395"/>
      <c r="VZL114" s="395"/>
      <c r="VZM114" s="395"/>
      <c r="VZN114" s="395"/>
      <c r="VZO114" s="395"/>
      <c r="VZP114" s="395"/>
      <c r="VZQ114" s="395"/>
      <c r="VZR114" s="395"/>
      <c r="VZS114" s="395"/>
      <c r="VZT114" s="395"/>
      <c r="VZU114" s="395"/>
      <c r="VZV114" s="395"/>
      <c r="VZW114" s="395"/>
      <c r="VZX114" s="395"/>
      <c r="VZY114" s="395"/>
      <c r="VZZ114" s="395"/>
      <c r="WAA114" s="395"/>
      <c r="WAB114" s="395"/>
      <c r="WAC114" s="395"/>
      <c r="WAD114" s="395"/>
      <c r="WAE114" s="396"/>
      <c r="WAF114" s="394"/>
      <c r="WAG114" s="395"/>
      <c r="WAH114" s="395"/>
      <c r="WAI114" s="395"/>
      <c r="WAJ114" s="395"/>
      <c r="WAK114" s="395"/>
      <c r="WAL114" s="395"/>
      <c r="WAM114" s="395"/>
      <c r="WAN114" s="395"/>
      <c r="WAO114" s="395"/>
      <c r="WAP114" s="395"/>
      <c r="WAQ114" s="395"/>
      <c r="WAR114" s="395"/>
      <c r="WAS114" s="395"/>
      <c r="WAT114" s="395"/>
      <c r="WAU114" s="395"/>
      <c r="WAV114" s="395"/>
      <c r="WAW114" s="395"/>
      <c r="WAX114" s="395"/>
      <c r="WAY114" s="395"/>
      <c r="WAZ114" s="395"/>
      <c r="WBA114" s="395"/>
      <c r="WBB114" s="395"/>
      <c r="WBC114" s="395"/>
      <c r="WBD114" s="395"/>
      <c r="WBE114" s="395"/>
      <c r="WBF114" s="396"/>
      <c r="WBG114" s="394"/>
      <c r="WBH114" s="395"/>
      <c r="WBI114" s="395"/>
      <c r="WBJ114" s="395"/>
      <c r="WBK114" s="395"/>
      <c r="WBL114" s="395"/>
      <c r="WBM114" s="395"/>
      <c r="WBN114" s="395"/>
      <c r="WBO114" s="395"/>
      <c r="WBP114" s="395"/>
      <c r="WBQ114" s="395"/>
      <c r="WBR114" s="395"/>
      <c r="WBS114" s="395"/>
      <c r="WBT114" s="395"/>
      <c r="WBU114" s="395"/>
      <c r="WBV114" s="395"/>
      <c r="WBW114" s="395"/>
      <c r="WBX114" s="395"/>
      <c r="WBY114" s="395"/>
      <c r="WBZ114" s="395"/>
      <c r="WCA114" s="395"/>
      <c r="WCB114" s="395"/>
      <c r="WCC114" s="395"/>
      <c r="WCD114" s="395"/>
      <c r="WCE114" s="395"/>
      <c r="WCF114" s="395"/>
      <c r="WCG114" s="396"/>
      <c r="WCH114" s="394"/>
      <c r="WCI114" s="395"/>
      <c r="WCJ114" s="395"/>
      <c r="WCK114" s="395"/>
      <c r="WCL114" s="395"/>
      <c r="WCM114" s="395"/>
      <c r="WCN114" s="395"/>
      <c r="WCO114" s="395"/>
      <c r="WCP114" s="395"/>
      <c r="WCQ114" s="395"/>
      <c r="WCR114" s="395"/>
      <c r="WCS114" s="395"/>
      <c r="WCT114" s="395"/>
      <c r="WCU114" s="395"/>
      <c r="WCV114" s="395"/>
      <c r="WCW114" s="395"/>
      <c r="WCX114" s="395"/>
      <c r="WCY114" s="395"/>
      <c r="WCZ114" s="395"/>
      <c r="WDA114" s="395"/>
      <c r="WDB114" s="395"/>
      <c r="WDC114" s="395"/>
      <c r="WDD114" s="395"/>
      <c r="WDE114" s="395"/>
      <c r="WDF114" s="395"/>
      <c r="WDG114" s="395"/>
      <c r="WDH114" s="396"/>
      <c r="WDI114" s="394"/>
      <c r="WDJ114" s="395"/>
      <c r="WDK114" s="395"/>
      <c r="WDL114" s="395"/>
      <c r="WDM114" s="395"/>
      <c r="WDN114" s="395"/>
      <c r="WDO114" s="395"/>
      <c r="WDP114" s="395"/>
      <c r="WDQ114" s="395"/>
      <c r="WDR114" s="395"/>
      <c r="WDS114" s="395"/>
      <c r="WDT114" s="395"/>
      <c r="WDU114" s="395"/>
      <c r="WDV114" s="395"/>
      <c r="WDW114" s="395"/>
      <c r="WDX114" s="395"/>
      <c r="WDY114" s="395"/>
      <c r="WDZ114" s="395"/>
      <c r="WEA114" s="395"/>
      <c r="WEB114" s="395"/>
      <c r="WEC114" s="395"/>
      <c r="WED114" s="395"/>
      <c r="WEE114" s="395"/>
      <c r="WEF114" s="395"/>
      <c r="WEG114" s="395"/>
      <c r="WEH114" s="395"/>
      <c r="WEI114" s="396"/>
      <c r="WEJ114" s="394"/>
      <c r="WEK114" s="395"/>
      <c r="WEL114" s="395"/>
      <c r="WEM114" s="395"/>
      <c r="WEN114" s="395"/>
      <c r="WEO114" s="395"/>
      <c r="WEP114" s="395"/>
      <c r="WEQ114" s="395"/>
      <c r="WER114" s="395"/>
      <c r="WES114" s="395"/>
      <c r="WET114" s="395"/>
      <c r="WEU114" s="395"/>
      <c r="WEV114" s="395"/>
      <c r="WEW114" s="395"/>
      <c r="WEX114" s="395"/>
      <c r="WEY114" s="395"/>
      <c r="WEZ114" s="395"/>
      <c r="WFA114" s="395"/>
      <c r="WFB114" s="395"/>
      <c r="WFC114" s="395"/>
      <c r="WFD114" s="395"/>
      <c r="WFE114" s="395"/>
      <c r="WFF114" s="395"/>
      <c r="WFG114" s="395"/>
      <c r="WFH114" s="395"/>
      <c r="WFI114" s="395"/>
      <c r="WFJ114" s="396"/>
      <c r="WFK114" s="394"/>
      <c r="WFL114" s="395"/>
      <c r="WFM114" s="395"/>
      <c r="WFN114" s="395"/>
      <c r="WFO114" s="395"/>
      <c r="WFP114" s="395"/>
      <c r="WFQ114" s="395"/>
      <c r="WFR114" s="395"/>
      <c r="WFS114" s="395"/>
      <c r="WFT114" s="395"/>
      <c r="WFU114" s="395"/>
      <c r="WFV114" s="395"/>
      <c r="WFW114" s="395"/>
      <c r="WFX114" s="395"/>
      <c r="WFY114" s="395"/>
      <c r="WFZ114" s="395"/>
      <c r="WGA114" s="395"/>
      <c r="WGB114" s="395"/>
      <c r="WGC114" s="395"/>
      <c r="WGD114" s="395"/>
      <c r="WGE114" s="395"/>
      <c r="WGF114" s="395"/>
      <c r="WGG114" s="395"/>
      <c r="WGH114" s="395"/>
      <c r="WGI114" s="395"/>
      <c r="WGJ114" s="395"/>
      <c r="WGK114" s="396"/>
      <c r="WGL114" s="394"/>
      <c r="WGM114" s="395"/>
      <c r="WGN114" s="395"/>
      <c r="WGO114" s="395"/>
      <c r="WGP114" s="395"/>
      <c r="WGQ114" s="395"/>
      <c r="WGR114" s="395"/>
      <c r="WGS114" s="395"/>
      <c r="WGT114" s="395"/>
      <c r="WGU114" s="395"/>
      <c r="WGV114" s="395"/>
      <c r="WGW114" s="395"/>
      <c r="WGX114" s="395"/>
      <c r="WGY114" s="395"/>
      <c r="WGZ114" s="395"/>
      <c r="WHA114" s="395"/>
      <c r="WHB114" s="395"/>
      <c r="WHC114" s="395"/>
      <c r="WHD114" s="395"/>
      <c r="WHE114" s="395"/>
      <c r="WHF114" s="395"/>
      <c r="WHG114" s="395"/>
      <c r="WHH114" s="395"/>
      <c r="WHI114" s="395"/>
      <c r="WHJ114" s="395"/>
      <c r="WHK114" s="395"/>
      <c r="WHL114" s="396"/>
      <c r="WHM114" s="394"/>
      <c r="WHN114" s="395"/>
      <c r="WHO114" s="395"/>
      <c r="WHP114" s="395"/>
      <c r="WHQ114" s="395"/>
      <c r="WHR114" s="395"/>
      <c r="WHS114" s="395"/>
      <c r="WHT114" s="395"/>
      <c r="WHU114" s="395"/>
      <c r="WHV114" s="395"/>
      <c r="WHW114" s="395"/>
      <c r="WHX114" s="395"/>
      <c r="WHY114" s="395"/>
      <c r="WHZ114" s="395"/>
      <c r="WIA114" s="395"/>
      <c r="WIB114" s="395"/>
      <c r="WIC114" s="395"/>
      <c r="WID114" s="395"/>
      <c r="WIE114" s="395"/>
      <c r="WIF114" s="395"/>
      <c r="WIG114" s="395"/>
      <c r="WIH114" s="395"/>
      <c r="WII114" s="395"/>
      <c r="WIJ114" s="395"/>
      <c r="WIK114" s="395"/>
      <c r="WIL114" s="395"/>
      <c r="WIM114" s="396"/>
      <c r="WIN114" s="394"/>
      <c r="WIO114" s="395"/>
      <c r="WIP114" s="395"/>
      <c r="WIQ114" s="395"/>
      <c r="WIR114" s="395"/>
      <c r="WIS114" s="395"/>
      <c r="WIT114" s="395"/>
      <c r="WIU114" s="395"/>
      <c r="WIV114" s="395"/>
      <c r="WIW114" s="395"/>
      <c r="WIX114" s="395"/>
      <c r="WIY114" s="395"/>
      <c r="WIZ114" s="395"/>
      <c r="WJA114" s="395"/>
      <c r="WJB114" s="395"/>
      <c r="WJC114" s="395"/>
      <c r="WJD114" s="395"/>
      <c r="WJE114" s="395"/>
      <c r="WJF114" s="395"/>
      <c r="WJG114" s="395"/>
      <c r="WJH114" s="395"/>
      <c r="WJI114" s="395"/>
      <c r="WJJ114" s="395"/>
      <c r="WJK114" s="395"/>
      <c r="WJL114" s="395"/>
      <c r="WJM114" s="395"/>
      <c r="WJN114" s="396"/>
      <c r="WJO114" s="394"/>
      <c r="WJP114" s="395"/>
      <c r="WJQ114" s="395"/>
      <c r="WJR114" s="395"/>
      <c r="WJS114" s="395"/>
      <c r="WJT114" s="395"/>
      <c r="WJU114" s="395"/>
      <c r="WJV114" s="395"/>
      <c r="WJW114" s="395"/>
      <c r="WJX114" s="395"/>
      <c r="WJY114" s="395"/>
      <c r="WJZ114" s="395"/>
      <c r="WKA114" s="395"/>
      <c r="WKB114" s="395"/>
      <c r="WKC114" s="395"/>
      <c r="WKD114" s="395"/>
      <c r="WKE114" s="395"/>
      <c r="WKF114" s="395"/>
      <c r="WKG114" s="395"/>
      <c r="WKH114" s="395"/>
      <c r="WKI114" s="395"/>
      <c r="WKJ114" s="395"/>
      <c r="WKK114" s="395"/>
      <c r="WKL114" s="395"/>
      <c r="WKM114" s="395"/>
      <c r="WKN114" s="395"/>
      <c r="WKO114" s="396"/>
      <c r="WKP114" s="394"/>
      <c r="WKQ114" s="395"/>
      <c r="WKR114" s="395"/>
      <c r="WKS114" s="395"/>
      <c r="WKT114" s="395"/>
      <c r="WKU114" s="395"/>
      <c r="WKV114" s="395"/>
      <c r="WKW114" s="395"/>
      <c r="WKX114" s="395"/>
      <c r="WKY114" s="395"/>
      <c r="WKZ114" s="395"/>
      <c r="WLA114" s="395"/>
      <c r="WLB114" s="395"/>
      <c r="WLC114" s="395"/>
      <c r="WLD114" s="395"/>
      <c r="WLE114" s="395"/>
      <c r="WLF114" s="395"/>
      <c r="WLG114" s="395"/>
      <c r="WLH114" s="395"/>
      <c r="WLI114" s="395"/>
      <c r="WLJ114" s="395"/>
      <c r="WLK114" s="395"/>
      <c r="WLL114" s="395"/>
      <c r="WLM114" s="395"/>
      <c r="WLN114" s="395"/>
      <c r="WLO114" s="395"/>
      <c r="WLP114" s="396"/>
      <c r="WLQ114" s="394"/>
      <c r="WLR114" s="395"/>
      <c r="WLS114" s="395"/>
      <c r="WLT114" s="395"/>
      <c r="WLU114" s="395"/>
      <c r="WLV114" s="395"/>
      <c r="WLW114" s="395"/>
      <c r="WLX114" s="395"/>
      <c r="WLY114" s="395"/>
      <c r="WLZ114" s="395"/>
      <c r="WMA114" s="395"/>
      <c r="WMB114" s="395"/>
      <c r="WMC114" s="395"/>
      <c r="WMD114" s="395"/>
      <c r="WME114" s="395"/>
      <c r="WMF114" s="395"/>
      <c r="WMG114" s="395"/>
      <c r="WMH114" s="395"/>
      <c r="WMI114" s="395"/>
      <c r="WMJ114" s="395"/>
      <c r="WMK114" s="395"/>
      <c r="WML114" s="395"/>
      <c r="WMM114" s="395"/>
      <c r="WMN114" s="395"/>
      <c r="WMO114" s="395"/>
      <c r="WMP114" s="395"/>
      <c r="WMQ114" s="396"/>
      <c r="WMR114" s="394"/>
      <c r="WMS114" s="395"/>
      <c r="WMT114" s="395"/>
      <c r="WMU114" s="395"/>
      <c r="WMV114" s="395"/>
      <c r="WMW114" s="395"/>
      <c r="WMX114" s="395"/>
      <c r="WMY114" s="395"/>
      <c r="WMZ114" s="395"/>
      <c r="WNA114" s="395"/>
      <c r="WNB114" s="395"/>
      <c r="WNC114" s="395"/>
      <c r="WND114" s="395"/>
      <c r="WNE114" s="395"/>
      <c r="WNF114" s="395"/>
      <c r="WNG114" s="395"/>
      <c r="WNH114" s="395"/>
      <c r="WNI114" s="395"/>
      <c r="WNJ114" s="395"/>
      <c r="WNK114" s="395"/>
      <c r="WNL114" s="395"/>
      <c r="WNM114" s="395"/>
      <c r="WNN114" s="395"/>
      <c r="WNO114" s="395"/>
      <c r="WNP114" s="395"/>
      <c r="WNQ114" s="395"/>
      <c r="WNR114" s="396"/>
      <c r="WNS114" s="394"/>
      <c r="WNT114" s="395"/>
      <c r="WNU114" s="395"/>
      <c r="WNV114" s="395"/>
      <c r="WNW114" s="395"/>
      <c r="WNX114" s="395"/>
      <c r="WNY114" s="395"/>
      <c r="WNZ114" s="395"/>
      <c r="WOA114" s="395"/>
      <c r="WOB114" s="395"/>
      <c r="WOC114" s="395"/>
      <c r="WOD114" s="395"/>
      <c r="WOE114" s="395"/>
      <c r="WOF114" s="395"/>
      <c r="WOG114" s="395"/>
      <c r="WOH114" s="395"/>
      <c r="WOI114" s="395"/>
      <c r="WOJ114" s="395"/>
      <c r="WOK114" s="395"/>
      <c r="WOL114" s="395"/>
      <c r="WOM114" s="395"/>
      <c r="WON114" s="395"/>
      <c r="WOO114" s="395"/>
      <c r="WOP114" s="395"/>
      <c r="WOQ114" s="395"/>
      <c r="WOR114" s="395"/>
      <c r="WOS114" s="396"/>
      <c r="WOT114" s="394"/>
      <c r="WOU114" s="395"/>
      <c r="WOV114" s="395"/>
      <c r="WOW114" s="395"/>
      <c r="WOX114" s="395"/>
      <c r="WOY114" s="395"/>
      <c r="WOZ114" s="395"/>
      <c r="WPA114" s="395"/>
      <c r="WPB114" s="395"/>
      <c r="WPC114" s="395"/>
      <c r="WPD114" s="395"/>
      <c r="WPE114" s="395"/>
      <c r="WPF114" s="395"/>
      <c r="WPG114" s="395"/>
      <c r="WPH114" s="395"/>
      <c r="WPI114" s="395"/>
      <c r="WPJ114" s="395"/>
      <c r="WPK114" s="395"/>
      <c r="WPL114" s="395"/>
      <c r="WPM114" s="395"/>
      <c r="WPN114" s="395"/>
      <c r="WPO114" s="395"/>
      <c r="WPP114" s="395"/>
      <c r="WPQ114" s="395"/>
      <c r="WPR114" s="395"/>
      <c r="WPS114" s="395"/>
      <c r="WPT114" s="396"/>
      <c r="WPU114" s="394"/>
      <c r="WPV114" s="395"/>
      <c r="WPW114" s="395"/>
      <c r="WPX114" s="395"/>
      <c r="WPY114" s="395"/>
      <c r="WPZ114" s="395"/>
      <c r="WQA114" s="395"/>
      <c r="WQB114" s="395"/>
      <c r="WQC114" s="395"/>
      <c r="WQD114" s="395"/>
      <c r="WQE114" s="395"/>
      <c r="WQF114" s="395"/>
      <c r="WQG114" s="395"/>
      <c r="WQH114" s="395"/>
      <c r="WQI114" s="395"/>
      <c r="WQJ114" s="395"/>
      <c r="WQK114" s="395"/>
      <c r="WQL114" s="395"/>
      <c r="WQM114" s="395"/>
      <c r="WQN114" s="395"/>
      <c r="WQO114" s="395"/>
      <c r="WQP114" s="395"/>
      <c r="WQQ114" s="395"/>
      <c r="WQR114" s="395"/>
      <c r="WQS114" s="395"/>
      <c r="WQT114" s="395"/>
      <c r="WQU114" s="396"/>
      <c r="WQV114" s="394"/>
      <c r="WQW114" s="395"/>
      <c r="WQX114" s="395"/>
      <c r="WQY114" s="395"/>
      <c r="WQZ114" s="395"/>
      <c r="WRA114" s="395"/>
      <c r="WRB114" s="395"/>
      <c r="WRC114" s="395"/>
      <c r="WRD114" s="395"/>
      <c r="WRE114" s="395"/>
      <c r="WRF114" s="395"/>
      <c r="WRG114" s="395"/>
      <c r="WRH114" s="395"/>
      <c r="WRI114" s="395"/>
      <c r="WRJ114" s="395"/>
      <c r="WRK114" s="395"/>
      <c r="WRL114" s="395"/>
      <c r="WRM114" s="395"/>
      <c r="WRN114" s="395"/>
      <c r="WRO114" s="395"/>
      <c r="WRP114" s="395"/>
      <c r="WRQ114" s="395"/>
      <c r="WRR114" s="395"/>
      <c r="WRS114" s="395"/>
      <c r="WRT114" s="395"/>
      <c r="WRU114" s="395"/>
      <c r="WRV114" s="396"/>
      <c r="WRW114" s="394"/>
      <c r="WRX114" s="395"/>
      <c r="WRY114" s="395"/>
      <c r="WRZ114" s="395"/>
      <c r="WSA114" s="395"/>
      <c r="WSB114" s="395"/>
      <c r="WSC114" s="395"/>
      <c r="WSD114" s="395"/>
      <c r="WSE114" s="395"/>
      <c r="WSF114" s="395"/>
      <c r="WSG114" s="395"/>
      <c r="WSH114" s="395"/>
      <c r="WSI114" s="395"/>
      <c r="WSJ114" s="395"/>
      <c r="WSK114" s="395"/>
      <c r="WSL114" s="395"/>
      <c r="WSM114" s="395"/>
      <c r="WSN114" s="395"/>
      <c r="WSO114" s="395"/>
      <c r="WSP114" s="395"/>
      <c r="WSQ114" s="395"/>
      <c r="WSR114" s="395"/>
      <c r="WSS114" s="395"/>
      <c r="WST114" s="395"/>
      <c r="WSU114" s="395"/>
      <c r="WSV114" s="395"/>
      <c r="WSW114" s="396"/>
      <c r="WSX114" s="394"/>
      <c r="WSY114" s="395"/>
      <c r="WSZ114" s="395"/>
      <c r="WTA114" s="395"/>
      <c r="WTB114" s="395"/>
      <c r="WTC114" s="395"/>
      <c r="WTD114" s="395"/>
      <c r="WTE114" s="395"/>
      <c r="WTF114" s="395"/>
      <c r="WTG114" s="395"/>
      <c r="WTH114" s="395"/>
      <c r="WTI114" s="395"/>
      <c r="WTJ114" s="395"/>
      <c r="WTK114" s="395"/>
      <c r="WTL114" s="395"/>
      <c r="WTM114" s="395"/>
      <c r="WTN114" s="395"/>
      <c r="WTO114" s="395"/>
      <c r="WTP114" s="395"/>
      <c r="WTQ114" s="395"/>
      <c r="WTR114" s="395"/>
      <c r="WTS114" s="395"/>
      <c r="WTT114" s="395"/>
      <c r="WTU114" s="395"/>
      <c r="WTV114" s="395"/>
      <c r="WTW114" s="395"/>
      <c r="WTX114" s="396"/>
      <c r="WTY114" s="394"/>
      <c r="WTZ114" s="395"/>
      <c r="WUA114" s="395"/>
      <c r="WUB114" s="395"/>
      <c r="WUC114" s="395"/>
      <c r="WUD114" s="395"/>
      <c r="WUE114" s="395"/>
      <c r="WUF114" s="395"/>
      <c r="WUG114" s="395"/>
      <c r="WUH114" s="395"/>
      <c r="WUI114" s="395"/>
      <c r="WUJ114" s="395"/>
      <c r="WUK114" s="395"/>
      <c r="WUL114" s="395"/>
      <c r="WUM114" s="395"/>
      <c r="WUN114" s="395"/>
      <c r="WUO114" s="395"/>
      <c r="WUP114" s="395"/>
      <c r="WUQ114" s="395"/>
      <c r="WUR114" s="395"/>
      <c r="WUS114" s="395"/>
      <c r="WUT114" s="395"/>
      <c r="WUU114" s="395"/>
      <c r="WUV114" s="395"/>
      <c r="WUW114" s="395"/>
      <c r="WUX114" s="395"/>
      <c r="WUY114" s="396"/>
      <c r="WUZ114" s="394"/>
      <c r="WVA114" s="395"/>
      <c r="WVB114" s="395"/>
      <c r="WVC114" s="395"/>
      <c r="WVD114" s="395"/>
      <c r="WVE114" s="395"/>
      <c r="WVF114" s="395"/>
      <c r="WVG114" s="395"/>
      <c r="WVH114" s="395"/>
      <c r="WVI114" s="395"/>
      <c r="WVJ114" s="395"/>
      <c r="WVK114" s="395"/>
      <c r="WVL114" s="395"/>
      <c r="WVM114" s="395"/>
      <c r="WVN114" s="395"/>
      <c r="WVO114" s="395"/>
      <c r="WVP114" s="395"/>
      <c r="WVQ114" s="395"/>
      <c r="WVR114" s="395"/>
      <c r="WVS114" s="395"/>
      <c r="WVT114" s="395"/>
      <c r="WVU114" s="395"/>
      <c r="WVV114" s="395"/>
      <c r="WVW114" s="395"/>
      <c r="WVX114" s="395"/>
      <c r="WVY114" s="395"/>
      <c r="WVZ114" s="396"/>
      <c r="WWA114" s="394"/>
      <c r="WWB114" s="395"/>
      <c r="WWC114" s="395"/>
      <c r="WWD114" s="395"/>
      <c r="WWE114" s="395"/>
      <c r="WWF114" s="395"/>
      <c r="WWG114" s="395"/>
      <c r="WWH114" s="395"/>
      <c r="WWI114" s="395"/>
      <c r="WWJ114" s="395"/>
      <c r="WWK114" s="395"/>
      <c r="WWL114" s="395"/>
      <c r="WWM114" s="395"/>
      <c r="WWN114" s="395"/>
      <c r="WWO114" s="395"/>
      <c r="WWP114" s="395"/>
      <c r="WWQ114" s="395"/>
      <c r="WWR114" s="395"/>
      <c r="WWS114" s="395"/>
      <c r="WWT114" s="395"/>
      <c r="WWU114" s="395"/>
      <c r="WWV114" s="395"/>
      <c r="WWW114" s="395"/>
      <c r="WWX114" s="395"/>
      <c r="WWY114" s="395"/>
      <c r="WWZ114" s="395"/>
      <c r="WXA114" s="396"/>
      <c r="WXB114" s="394"/>
      <c r="WXC114" s="395"/>
      <c r="WXD114" s="395"/>
      <c r="WXE114" s="395"/>
      <c r="WXF114" s="395"/>
      <c r="WXG114" s="395"/>
      <c r="WXH114" s="395"/>
      <c r="WXI114" s="395"/>
      <c r="WXJ114" s="395"/>
      <c r="WXK114" s="395"/>
      <c r="WXL114" s="395"/>
      <c r="WXM114" s="395"/>
      <c r="WXN114" s="395"/>
      <c r="WXO114" s="395"/>
      <c r="WXP114" s="395"/>
      <c r="WXQ114" s="395"/>
      <c r="WXR114" s="395"/>
      <c r="WXS114" s="395"/>
      <c r="WXT114" s="395"/>
      <c r="WXU114" s="395"/>
      <c r="WXV114" s="395"/>
      <c r="WXW114" s="395"/>
      <c r="WXX114" s="395"/>
      <c r="WXY114" s="395"/>
      <c r="WXZ114" s="395"/>
      <c r="WYA114" s="395"/>
      <c r="WYB114" s="396"/>
      <c r="WYC114" s="394"/>
      <c r="WYD114" s="395"/>
      <c r="WYE114" s="395"/>
      <c r="WYF114" s="395"/>
      <c r="WYG114" s="395"/>
      <c r="WYH114" s="395"/>
      <c r="WYI114" s="395"/>
      <c r="WYJ114" s="395"/>
      <c r="WYK114" s="395"/>
      <c r="WYL114" s="395"/>
      <c r="WYM114" s="395"/>
      <c r="WYN114" s="395"/>
      <c r="WYO114" s="395"/>
      <c r="WYP114" s="395"/>
      <c r="WYQ114" s="395"/>
      <c r="WYR114" s="395"/>
      <c r="WYS114" s="395"/>
      <c r="WYT114" s="395"/>
      <c r="WYU114" s="395"/>
      <c r="WYV114" s="395"/>
      <c r="WYW114" s="395"/>
      <c r="WYX114" s="395"/>
      <c r="WYY114" s="395"/>
      <c r="WYZ114" s="395"/>
      <c r="WZA114" s="395"/>
      <c r="WZB114" s="395"/>
      <c r="WZC114" s="396"/>
      <c r="WZD114" s="394"/>
      <c r="WZE114" s="395"/>
      <c r="WZF114" s="395"/>
      <c r="WZG114" s="395"/>
      <c r="WZH114" s="395"/>
      <c r="WZI114" s="395"/>
      <c r="WZJ114" s="395"/>
      <c r="WZK114" s="395"/>
      <c r="WZL114" s="395"/>
      <c r="WZM114" s="395"/>
      <c r="WZN114" s="395"/>
      <c r="WZO114" s="395"/>
      <c r="WZP114" s="395"/>
      <c r="WZQ114" s="395"/>
      <c r="WZR114" s="395"/>
      <c r="WZS114" s="395"/>
      <c r="WZT114" s="395"/>
      <c r="WZU114" s="395"/>
      <c r="WZV114" s="395"/>
      <c r="WZW114" s="395"/>
      <c r="WZX114" s="395"/>
      <c r="WZY114" s="395"/>
      <c r="WZZ114" s="395"/>
      <c r="XAA114" s="395"/>
      <c r="XAB114" s="395"/>
      <c r="XAC114" s="395"/>
      <c r="XAD114" s="396"/>
      <c r="XAE114" s="394"/>
      <c r="XAF114" s="395"/>
      <c r="XAG114" s="395"/>
      <c r="XAH114" s="395"/>
      <c r="XAI114" s="395"/>
      <c r="XAJ114" s="395"/>
      <c r="XAK114" s="395"/>
      <c r="XAL114" s="395"/>
      <c r="XAM114" s="395"/>
      <c r="XAN114" s="395"/>
      <c r="XAO114" s="395"/>
      <c r="XAP114" s="395"/>
      <c r="XAQ114" s="395"/>
      <c r="XAR114" s="395"/>
      <c r="XAS114" s="395"/>
      <c r="XAT114" s="395"/>
      <c r="XAU114" s="395"/>
      <c r="XAV114" s="395"/>
      <c r="XAW114" s="395"/>
      <c r="XAX114" s="395"/>
      <c r="XAY114" s="395"/>
      <c r="XAZ114" s="395"/>
      <c r="XBA114" s="395"/>
      <c r="XBB114" s="395"/>
      <c r="XBC114" s="395"/>
      <c r="XBD114" s="395"/>
      <c r="XBE114" s="396"/>
      <c r="XBF114" s="394"/>
      <c r="XBG114" s="395"/>
      <c r="XBH114" s="395"/>
      <c r="XBI114" s="395"/>
      <c r="XBJ114" s="395"/>
      <c r="XBK114" s="395"/>
      <c r="XBL114" s="395"/>
      <c r="XBM114" s="395"/>
      <c r="XBN114" s="395"/>
      <c r="XBO114" s="395"/>
      <c r="XBP114" s="395"/>
      <c r="XBQ114" s="395"/>
      <c r="XBR114" s="395"/>
      <c r="XBS114" s="395"/>
      <c r="XBT114" s="395"/>
      <c r="XBU114" s="395"/>
      <c r="XBV114" s="395"/>
      <c r="XBW114" s="395"/>
      <c r="XBX114" s="395"/>
      <c r="XBY114" s="395"/>
      <c r="XBZ114" s="395"/>
      <c r="XCA114" s="395"/>
      <c r="XCB114" s="395"/>
      <c r="XCC114" s="395"/>
      <c r="XCD114" s="395"/>
      <c r="XCE114" s="395"/>
      <c r="XCF114" s="396"/>
      <c r="XCG114" s="394"/>
      <c r="XCH114" s="395"/>
      <c r="XCI114" s="395"/>
      <c r="XCJ114" s="395"/>
      <c r="XCK114" s="395"/>
      <c r="XCL114" s="395"/>
      <c r="XCM114" s="395"/>
      <c r="XCN114" s="395"/>
      <c r="XCO114" s="395"/>
      <c r="XCP114" s="395"/>
      <c r="XCQ114" s="395"/>
      <c r="XCR114" s="395"/>
      <c r="XCS114" s="395"/>
      <c r="XCT114" s="395"/>
      <c r="XCU114" s="395"/>
      <c r="XCV114" s="395"/>
      <c r="XCW114" s="395"/>
      <c r="XCX114" s="395"/>
      <c r="XCY114" s="395"/>
      <c r="XCZ114" s="395"/>
      <c r="XDA114" s="395"/>
      <c r="XDB114" s="395"/>
      <c r="XDC114" s="395"/>
      <c r="XDD114" s="395"/>
      <c r="XDE114" s="395"/>
      <c r="XDF114" s="395"/>
      <c r="XDG114" s="396"/>
      <c r="XDH114" s="394"/>
      <c r="XDI114" s="395"/>
      <c r="XDJ114" s="395"/>
      <c r="XDK114" s="395"/>
      <c r="XDL114" s="395"/>
      <c r="XDM114" s="395"/>
      <c r="XDN114" s="395"/>
      <c r="XDO114" s="395"/>
      <c r="XDP114" s="395"/>
      <c r="XDQ114" s="395"/>
      <c r="XDR114" s="395"/>
      <c r="XDS114" s="395"/>
      <c r="XDT114" s="395"/>
      <c r="XDU114" s="395"/>
      <c r="XDV114" s="395"/>
      <c r="XDW114" s="395"/>
      <c r="XDX114" s="395"/>
      <c r="XDY114" s="395"/>
      <c r="XDZ114" s="395"/>
      <c r="XEA114" s="395"/>
      <c r="XEB114" s="395"/>
      <c r="XEC114" s="395"/>
      <c r="XED114" s="395"/>
      <c r="XEE114" s="395"/>
      <c r="XEF114" s="395"/>
      <c r="XEG114" s="395"/>
      <c r="XEH114" s="396"/>
      <c r="XEI114" s="394"/>
      <c r="XEJ114" s="394"/>
      <c r="XEK114" s="394"/>
      <c r="XEL114" s="394"/>
      <c r="XEM114" s="394"/>
      <c r="XEN114" s="394"/>
      <c r="XEO114" s="394"/>
      <c r="XEP114" s="394"/>
      <c r="XEQ114" s="394"/>
      <c r="XER114" s="394"/>
      <c r="XES114" s="394"/>
      <c r="XET114" s="394"/>
      <c r="XEU114" s="394"/>
      <c r="XEV114" s="394"/>
      <c r="XEW114" s="394"/>
      <c r="XEX114" s="394"/>
      <c r="XEY114" s="394"/>
      <c r="XEZ114" s="394"/>
      <c r="XFA114" s="394"/>
      <c r="XFB114" s="394"/>
      <c r="XFC114" s="394"/>
      <c r="XFD114" s="394"/>
    </row>
    <row r="115" spans="1:16384">
      <c r="A115" s="302" t="s">
        <v>398</v>
      </c>
      <c r="B115" s="303"/>
      <c r="C115" s="303"/>
      <c r="D115" s="304"/>
      <c r="E115" s="307" t="s">
        <v>369</v>
      </c>
      <c r="F115" s="308"/>
      <c r="G115" s="302" t="s">
        <v>399</v>
      </c>
      <c r="H115" s="303"/>
      <c r="I115" s="303"/>
      <c r="J115" s="303"/>
      <c r="K115" s="304"/>
      <c r="L115" s="112">
        <v>30</v>
      </c>
      <c r="M115" s="112">
        <v>60</v>
      </c>
      <c r="N115" s="112">
        <v>20</v>
      </c>
      <c r="O115" s="112">
        <v>90</v>
      </c>
      <c r="P115" s="307">
        <f t="shared" si="2"/>
        <v>55</v>
      </c>
      <c r="Q115" s="308"/>
      <c r="R115" s="270">
        <v>1.4999999999999999E-2</v>
      </c>
      <c r="S115" s="271"/>
      <c r="T115" s="302" t="s">
        <v>400</v>
      </c>
      <c r="U115" s="303"/>
      <c r="V115" s="303"/>
      <c r="W115" s="303"/>
      <c r="X115" s="303"/>
      <c r="Y115" s="303"/>
      <c r="Z115" s="303"/>
      <c r="AA115" s="304"/>
    </row>
    <row r="116" spans="1:16384">
      <c r="A116" s="302" t="s">
        <v>401</v>
      </c>
      <c r="B116" s="303"/>
      <c r="C116" s="303"/>
      <c r="D116" s="304"/>
      <c r="E116" s="307" t="s">
        <v>402</v>
      </c>
      <c r="F116" s="308"/>
      <c r="G116" s="302" t="s">
        <v>403</v>
      </c>
      <c r="H116" s="303"/>
      <c r="I116" s="303"/>
      <c r="J116" s="303"/>
      <c r="K116" s="304"/>
      <c r="L116" s="112">
        <v>60</v>
      </c>
      <c r="M116" s="112">
        <v>120</v>
      </c>
      <c r="N116" s="112">
        <v>30</v>
      </c>
      <c r="O116" s="112">
        <v>180</v>
      </c>
      <c r="P116" s="307">
        <f t="shared" si="2"/>
        <v>105</v>
      </c>
      <c r="Q116" s="308"/>
      <c r="R116" s="270">
        <v>7.4999999999999997E-3</v>
      </c>
      <c r="S116" s="271"/>
      <c r="T116" s="302" t="s">
        <v>404</v>
      </c>
      <c r="U116" s="303"/>
      <c r="V116" s="303"/>
      <c r="W116" s="303"/>
      <c r="X116" s="303"/>
      <c r="Y116" s="303"/>
      <c r="Z116" s="303"/>
      <c r="AA116" s="304"/>
    </row>
    <row r="117" spans="1:16384">
      <c r="A117" s="302" t="s">
        <v>405</v>
      </c>
      <c r="B117" s="303"/>
      <c r="C117" s="303"/>
      <c r="D117" s="304"/>
      <c r="E117" s="307" t="s">
        <v>402</v>
      </c>
      <c r="F117" s="308"/>
      <c r="G117" s="302" t="s">
        <v>406</v>
      </c>
      <c r="H117" s="303"/>
      <c r="I117" s="303"/>
      <c r="J117" s="303"/>
      <c r="K117" s="304"/>
      <c r="L117" s="112">
        <v>45</v>
      </c>
      <c r="M117" s="112">
        <v>75</v>
      </c>
      <c r="N117" s="112">
        <v>30</v>
      </c>
      <c r="O117" s="112">
        <v>120</v>
      </c>
      <c r="P117" s="307">
        <f t="shared" si="2"/>
        <v>75</v>
      </c>
      <c r="Q117" s="308"/>
      <c r="R117" s="270">
        <v>7.4999999999999997E-3</v>
      </c>
      <c r="S117" s="271"/>
      <c r="T117" s="302" t="s">
        <v>407</v>
      </c>
      <c r="U117" s="303"/>
      <c r="V117" s="303"/>
      <c r="W117" s="303"/>
      <c r="X117" s="303"/>
      <c r="Y117" s="303"/>
      <c r="Z117" s="303"/>
      <c r="AA117" s="304"/>
    </row>
    <row r="118" spans="1:16384">
      <c r="A118" s="302" t="s">
        <v>408</v>
      </c>
      <c r="B118" s="303"/>
      <c r="C118" s="303"/>
      <c r="D118" s="304"/>
      <c r="E118" s="307" t="s">
        <v>402</v>
      </c>
      <c r="F118" s="308"/>
      <c r="G118" s="302" t="s">
        <v>409</v>
      </c>
      <c r="H118" s="303"/>
      <c r="I118" s="303"/>
      <c r="J118" s="303"/>
      <c r="K118" s="304"/>
      <c r="L118" s="112">
        <v>30</v>
      </c>
      <c r="M118" s="112">
        <v>75</v>
      </c>
      <c r="N118" s="112">
        <v>20</v>
      </c>
      <c r="O118" s="112">
        <v>120</v>
      </c>
      <c r="P118" s="307">
        <f t="shared" si="2"/>
        <v>70</v>
      </c>
      <c r="Q118" s="308"/>
      <c r="R118" s="270">
        <v>0.01</v>
      </c>
      <c r="S118" s="271"/>
      <c r="T118" s="302" t="s">
        <v>410</v>
      </c>
      <c r="U118" s="303"/>
      <c r="V118" s="303"/>
      <c r="W118" s="303"/>
      <c r="X118" s="303"/>
      <c r="Y118" s="303"/>
      <c r="Z118" s="303"/>
      <c r="AA118" s="304"/>
    </row>
    <row r="120" spans="1:16384" s="35" customFormat="1">
      <c r="A120" s="35" t="s">
        <v>69</v>
      </c>
    </row>
    <row r="121" spans="1:16384">
      <c r="A121" s="365" t="s">
        <v>411</v>
      </c>
      <c r="B121" s="366"/>
      <c r="C121" s="366"/>
      <c r="D121" s="367"/>
      <c r="E121" s="365" t="s">
        <v>412</v>
      </c>
      <c r="F121" s="366"/>
      <c r="G121" s="366"/>
      <c r="H121" s="367"/>
      <c r="I121" s="365" t="s">
        <v>413</v>
      </c>
      <c r="J121" s="366"/>
      <c r="K121" s="367"/>
      <c r="L121" s="107" t="s">
        <v>4</v>
      </c>
      <c r="M121" s="365" t="s">
        <v>75</v>
      </c>
      <c r="N121" s="367"/>
    </row>
    <row r="122" spans="1:16384" ht="15" thickBot="1">
      <c r="A122" s="202">
        <f>(L90*D90+L91*D91+L92*D92)/SUM(D90:E92)</f>
        <v>0.62971887550200789</v>
      </c>
      <c r="B122" s="278"/>
      <c r="C122" s="278"/>
      <c r="D122" s="203"/>
      <c r="E122" s="202">
        <f xml:space="preserve"> SUM(SUMPRODUCT(R97:S101,P97:Q101),SUMPRODUCT(R103:S106,P103:Q106),SUMPRODUCT(R108:S113,P108:Q113),SUMPRODUCT(R115:S118,P115:Q118))</f>
        <v>73.322499999999991</v>
      </c>
      <c r="F122" s="278"/>
      <c r="G122" s="278"/>
      <c r="H122" s="203"/>
      <c r="I122" s="364">
        <f xml:space="preserve"> A122*E122*12/3650</f>
        <v>0.1518002046542333</v>
      </c>
      <c r="J122" s="352"/>
      <c r="K122" s="393"/>
      <c r="L122" s="40">
        <v>0.08</v>
      </c>
      <c r="M122" s="364">
        <f xml:space="preserve"> I122*(1+L122)^10</f>
        <v>0.32772525641914924</v>
      </c>
      <c r="N122" s="352"/>
    </row>
    <row r="123" spans="1:16384" ht="15" thickTop="1"/>
    <row r="124" spans="1:16384" s="35" customFormat="1">
      <c r="A124" s="35" t="s">
        <v>414</v>
      </c>
    </row>
    <row r="125" spans="1:16384">
      <c r="A125" s="365" t="s">
        <v>208</v>
      </c>
      <c r="B125" s="367"/>
      <c r="C125" s="365" t="s">
        <v>209</v>
      </c>
      <c r="D125" s="367"/>
      <c r="E125" s="365" t="s">
        <v>415</v>
      </c>
      <c r="F125" s="367"/>
      <c r="G125" s="365" t="s">
        <v>416</v>
      </c>
      <c r="H125" s="367"/>
      <c r="I125" s="108" t="s">
        <v>417</v>
      </c>
      <c r="J125" s="108"/>
      <c r="K125" s="365" t="s">
        <v>418</v>
      </c>
      <c r="L125" s="367"/>
      <c r="M125" s="365" t="s">
        <v>419</v>
      </c>
      <c r="N125" s="366"/>
      <c r="O125" s="366"/>
      <c r="P125" s="365" t="s">
        <v>420</v>
      </c>
      <c r="Q125" s="366"/>
      <c r="R125" s="366"/>
      <c r="S125" s="367"/>
      <c r="T125" s="365" t="s">
        <v>421</v>
      </c>
      <c r="U125" s="367"/>
      <c r="V125" s="365" t="s">
        <v>422</v>
      </c>
      <c r="W125" s="367"/>
    </row>
    <row r="126" spans="1:16384" ht="15" thickBot="1">
      <c r="A126" s="202">
        <f>I122</f>
        <v>0.1518002046542333</v>
      </c>
      <c r="B126" s="203"/>
      <c r="C126" s="202">
        <f>M122</f>
        <v>0.32772525641914924</v>
      </c>
      <c r="D126" s="203"/>
      <c r="E126" s="368">
        <v>0.35</v>
      </c>
      <c r="F126" s="369"/>
      <c r="G126" s="368">
        <v>0.03</v>
      </c>
      <c r="H126" s="369"/>
      <c r="I126" s="270">
        <f>E126*(1+G126)^10</f>
        <v>0.47037073277044261</v>
      </c>
      <c r="J126" s="271"/>
      <c r="K126" s="368">
        <v>0.03</v>
      </c>
      <c r="L126" s="369"/>
      <c r="M126" s="368">
        <v>0.05</v>
      </c>
      <c r="N126" s="370"/>
      <c r="O126" s="370"/>
      <c r="P126" s="368">
        <v>0.8</v>
      </c>
      <c r="Q126" s="370"/>
      <c r="R126" s="370"/>
      <c r="S126" s="369"/>
      <c r="T126" s="364">
        <f>A126*E126*K126*P126*1000</f>
        <v>1.2751217190955597</v>
      </c>
      <c r="U126" s="352"/>
      <c r="V126" s="352">
        <f xml:space="preserve"> C126*I126*M126*P126*1000</f>
        <v>6.1660947603702585</v>
      </c>
      <c r="W126" s="352"/>
    </row>
    <row r="127" spans="1:16384" ht="15" thickTop="1"/>
    <row r="129" spans="1:26" s="101" customFormat="1">
      <c r="A129" s="101" t="s">
        <v>423</v>
      </c>
    </row>
    <row r="130" spans="1:26">
      <c r="A130" s="388" t="s">
        <v>298</v>
      </c>
      <c r="B130" s="389"/>
      <c r="C130" s="390"/>
      <c r="D130" s="391" t="s">
        <v>299</v>
      </c>
      <c r="E130" s="392"/>
      <c r="F130" s="392"/>
      <c r="G130" s="392"/>
      <c r="H130" s="392"/>
      <c r="I130" s="392"/>
      <c r="J130" s="392"/>
      <c r="K130" s="392"/>
      <c r="L130" s="392"/>
      <c r="M130" s="392"/>
      <c r="N130" s="392"/>
      <c r="O130" s="392"/>
      <c r="P130" s="392"/>
      <c r="Q130" s="392"/>
    </row>
    <row r="131" spans="1:26" ht="14.4" customHeight="1">
      <c r="A131" s="382" t="s">
        <v>300</v>
      </c>
      <c r="B131" s="383"/>
      <c r="C131" s="384"/>
      <c r="D131" s="385" t="s">
        <v>424</v>
      </c>
      <c r="E131" s="386"/>
      <c r="F131" s="386"/>
      <c r="G131" s="386"/>
      <c r="H131" s="386"/>
      <c r="I131" s="386"/>
      <c r="J131" s="386"/>
      <c r="K131" s="386"/>
      <c r="L131" s="386"/>
      <c r="M131" s="386"/>
      <c r="N131" s="386"/>
      <c r="O131" s="386"/>
      <c r="P131" s="386"/>
      <c r="Q131" s="387"/>
    </row>
    <row r="132" spans="1:26" ht="14.4" customHeight="1">
      <c r="A132" s="382" t="s">
        <v>302</v>
      </c>
      <c r="B132" s="383"/>
      <c r="C132" s="384"/>
      <c r="D132" s="385" t="s">
        <v>425</v>
      </c>
      <c r="E132" s="386"/>
      <c r="F132" s="386"/>
      <c r="G132" s="386"/>
      <c r="H132" s="386"/>
      <c r="I132" s="386"/>
      <c r="J132" s="386"/>
      <c r="K132" s="386"/>
      <c r="L132" s="386"/>
      <c r="M132" s="386"/>
      <c r="N132" s="386"/>
      <c r="O132" s="386"/>
      <c r="P132" s="386"/>
      <c r="Q132" s="387"/>
    </row>
    <row r="133" spans="1:26" ht="14.4" customHeight="1">
      <c r="A133" s="382" t="s">
        <v>304</v>
      </c>
      <c r="B133" s="383"/>
      <c r="C133" s="384"/>
      <c r="D133" s="385" t="s">
        <v>426</v>
      </c>
      <c r="E133" s="386"/>
      <c r="F133" s="386"/>
      <c r="G133" s="386"/>
      <c r="H133" s="386"/>
      <c r="I133" s="386"/>
      <c r="J133" s="386"/>
      <c r="K133" s="386"/>
      <c r="L133" s="386"/>
      <c r="M133" s="386"/>
      <c r="N133" s="386"/>
      <c r="O133" s="386"/>
      <c r="P133" s="386"/>
      <c r="Q133" s="387"/>
    </row>
    <row r="134" spans="1:26" ht="14.4" customHeight="1">
      <c r="A134" s="382" t="s">
        <v>306</v>
      </c>
      <c r="B134" s="383"/>
      <c r="C134" s="384"/>
      <c r="D134" s="385" t="s">
        <v>427</v>
      </c>
      <c r="E134" s="386"/>
      <c r="F134" s="386"/>
      <c r="G134" s="386"/>
      <c r="H134" s="386"/>
      <c r="I134" s="386"/>
      <c r="J134" s="386"/>
      <c r="K134" s="386"/>
      <c r="L134" s="386"/>
      <c r="M134" s="386"/>
      <c r="N134" s="386"/>
      <c r="O134" s="386"/>
      <c r="P134" s="386"/>
      <c r="Q134" s="387"/>
    </row>
    <row r="135" spans="1:26" ht="14.4" customHeight="1">
      <c r="A135" s="382" t="s">
        <v>308</v>
      </c>
      <c r="B135" s="383"/>
      <c r="C135" s="384"/>
      <c r="D135" s="385" t="s">
        <v>428</v>
      </c>
      <c r="E135" s="386"/>
      <c r="F135" s="386"/>
      <c r="G135" s="386"/>
      <c r="H135" s="386"/>
      <c r="I135" s="386"/>
      <c r="J135" s="386"/>
      <c r="K135" s="386"/>
      <c r="L135" s="386"/>
      <c r="M135" s="386"/>
      <c r="N135" s="386"/>
      <c r="O135" s="386"/>
      <c r="P135" s="386"/>
      <c r="Q135" s="387"/>
    </row>
    <row r="136" spans="1:26" ht="14.4" customHeight="1">
      <c r="A136" s="382" t="s">
        <v>310</v>
      </c>
      <c r="B136" s="383"/>
      <c r="C136" s="384"/>
      <c r="D136" s="385" t="s">
        <v>429</v>
      </c>
      <c r="E136" s="386"/>
      <c r="F136" s="386"/>
      <c r="G136" s="386"/>
      <c r="H136" s="386"/>
      <c r="I136" s="386"/>
      <c r="J136" s="386"/>
      <c r="K136" s="386"/>
      <c r="L136" s="386"/>
      <c r="M136" s="386"/>
      <c r="N136" s="386"/>
      <c r="O136" s="386"/>
      <c r="P136" s="386"/>
      <c r="Q136" s="387"/>
    </row>
    <row r="137" spans="1:26" ht="14.4" customHeight="1">
      <c r="A137" s="382" t="s">
        <v>430</v>
      </c>
      <c r="B137" s="383"/>
      <c r="C137" s="384"/>
      <c r="D137" s="385" t="s">
        <v>431</v>
      </c>
      <c r="E137" s="386"/>
      <c r="F137" s="386"/>
      <c r="G137" s="386"/>
      <c r="H137" s="386"/>
      <c r="I137" s="386"/>
      <c r="J137" s="386"/>
      <c r="K137" s="386"/>
      <c r="L137" s="386"/>
      <c r="M137" s="386"/>
      <c r="N137" s="386"/>
      <c r="O137" s="386"/>
      <c r="P137" s="386"/>
      <c r="Q137" s="387"/>
    </row>
    <row r="138" spans="1:26" ht="14.4" customHeight="1">
      <c r="A138" s="382" t="s">
        <v>432</v>
      </c>
      <c r="B138" s="383"/>
      <c r="C138" s="384"/>
      <c r="D138" s="385" t="s">
        <v>433</v>
      </c>
      <c r="E138" s="386"/>
      <c r="F138" s="386"/>
      <c r="G138" s="386"/>
      <c r="H138" s="386"/>
      <c r="I138" s="386"/>
      <c r="J138" s="386"/>
      <c r="K138" s="386"/>
      <c r="L138" s="386"/>
      <c r="M138" s="386"/>
      <c r="N138" s="386"/>
      <c r="O138" s="386"/>
      <c r="P138" s="386"/>
      <c r="Q138" s="387"/>
    </row>
    <row r="139" spans="1:26" ht="14.4" customHeight="1">
      <c r="A139" s="382" t="s">
        <v>316</v>
      </c>
      <c r="B139" s="383"/>
      <c r="C139" s="384"/>
      <c r="D139" s="385" t="s">
        <v>434</v>
      </c>
      <c r="E139" s="386"/>
      <c r="F139" s="386"/>
      <c r="G139" s="386"/>
      <c r="H139" s="386"/>
      <c r="I139" s="386"/>
      <c r="J139" s="386"/>
      <c r="K139" s="386"/>
      <c r="L139" s="386"/>
      <c r="M139" s="386"/>
      <c r="N139" s="386"/>
      <c r="O139" s="386"/>
      <c r="P139" s="386"/>
      <c r="Q139" s="387"/>
    </row>
    <row r="140" spans="1:26" ht="14.4" customHeight="1">
      <c r="A140" s="382" t="s">
        <v>318</v>
      </c>
      <c r="B140" s="383"/>
      <c r="C140" s="384"/>
      <c r="D140" s="385" t="s">
        <v>435</v>
      </c>
      <c r="E140" s="386"/>
      <c r="F140" s="386"/>
      <c r="G140" s="386"/>
      <c r="H140" s="386"/>
      <c r="I140" s="386"/>
      <c r="J140" s="386"/>
      <c r="K140" s="386"/>
      <c r="L140" s="386"/>
      <c r="M140" s="386"/>
      <c r="N140" s="386"/>
      <c r="O140" s="386"/>
      <c r="P140" s="386"/>
      <c r="Q140" s="387"/>
    </row>
    <row r="142" spans="1:26" s="103" customFormat="1">
      <c r="A142" s="102" t="s">
        <v>320</v>
      </c>
      <c r="B142" s="102"/>
      <c r="C142" s="102"/>
      <c r="E142" s="102"/>
      <c r="F142" s="102"/>
      <c r="G142" s="102"/>
      <c r="H142" s="102"/>
      <c r="I142" s="102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</row>
    <row r="143" spans="1:26">
      <c r="A143" s="365" t="s">
        <v>436</v>
      </c>
      <c r="B143" s="366"/>
      <c r="C143" s="367"/>
      <c r="D143" s="365" t="s">
        <v>437</v>
      </c>
      <c r="E143" s="366"/>
      <c r="F143" s="367"/>
      <c r="G143" s="365" t="s">
        <v>438</v>
      </c>
      <c r="H143" s="366"/>
      <c r="I143" s="366"/>
      <c r="J143" s="367"/>
    </row>
    <row r="144" spans="1:26">
      <c r="A144" s="307">
        <v>1.45</v>
      </c>
      <c r="B144" s="372"/>
      <c r="C144" s="308"/>
      <c r="D144" s="270">
        <f>40/1000</f>
        <v>0.04</v>
      </c>
      <c r="E144" s="315"/>
      <c r="F144" s="271"/>
      <c r="G144" s="202">
        <f xml:space="preserve"> A144*D144*1000</f>
        <v>57.999999999999993</v>
      </c>
      <c r="H144" s="278"/>
      <c r="I144" s="278"/>
      <c r="J144" s="203"/>
    </row>
    <row r="146" spans="1:24">
      <c r="A146" s="379" t="s">
        <v>321</v>
      </c>
      <c r="B146" s="380"/>
      <c r="C146" s="381"/>
      <c r="D146" s="108" t="s">
        <v>323</v>
      </c>
      <c r="E146" s="365" t="s">
        <v>322</v>
      </c>
      <c r="F146" s="367"/>
      <c r="G146" s="108" t="s">
        <v>325</v>
      </c>
      <c r="H146" s="374" t="s">
        <v>439</v>
      </c>
      <c r="I146" s="280"/>
      <c r="J146" s="280"/>
      <c r="K146" s="280" t="s">
        <v>440</v>
      </c>
      <c r="L146" s="280"/>
      <c r="M146" s="280"/>
    </row>
    <row r="147" spans="1:24">
      <c r="A147" s="376" t="s">
        <v>328</v>
      </c>
      <c r="B147" s="377"/>
      <c r="C147" s="378"/>
      <c r="D147" s="83">
        <v>400</v>
      </c>
      <c r="E147" s="202">
        <v>10000</v>
      </c>
      <c r="F147" s="203"/>
      <c r="G147" s="113">
        <v>50000</v>
      </c>
      <c r="H147" s="202">
        <f>E147*D147*G147/83000000000</f>
        <v>2.4096385542168677</v>
      </c>
      <c r="I147" s="278"/>
      <c r="J147" s="203"/>
      <c r="K147" s="202">
        <f>H147-L90</f>
        <v>1.3975903614457834</v>
      </c>
      <c r="L147" s="278"/>
      <c r="M147" s="203"/>
      <c r="N147" s="95">
        <f>K147/H147</f>
        <v>0.58000000000000007</v>
      </c>
    </row>
    <row r="148" spans="1:24">
      <c r="A148" s="376" t="s">
        <v>329</v>
      </c>
      <c r="B148" s="377"/>
      <c r="C148" s="378"/>
      <c r="D148" s="83">
        <v>150</v>
      </c>
      <c r="E148" s="202">
        <v>40000</v>
      </c>
      <c r="F148" s="203"/>
      <c r="G148" s="113">
        <v>35000</v>
      </c>
      <c r="H148" s="202">
        <f t="shared" ref="H148:H149" si="3">E148*D148*G148/83000000000</f>
        <v>2.5301204819277108</v>
      </c>
      <c r="I148" s="278"/>
      <c r="J148" s="203"/>
      <c r="K148" s="202">
        <f>H148-L91</f>
        <v>1.6626506024096384</v>
      </c>
      <c r="L148" s="278"/>
      <c r="M148" s="203"/>
      <c r="N148" s="95">
        <f t="shared" ref="N148:N149" si="4">K148/H148</f>
        <v>0.65714285714285703</v>
      </c>
    </row>
    <row r="149" spans="1:24">
      <c r="A149" s="376" t="s">
        <v>330</v>
      </c>
      <c r="B149" s="377"/>
      <c r="C149" s="378"/>
      <c r="D149" s="83">
        <v>200</v>
      </c>
      <c r="E149" s="202">
        <v>25000</v>
      </c>
      <c r="F149" s="203"/>
      <c r="G149" s="113">
        <v>3500</v>
      </c>
      <c r="H149" s="202">
        <f t="shared" si="3"/>
        <v>0.21084337349397592</v>
      </c>
      <c r="I149" s="278"/>
      <c r="J149" s="203"/>
      <c r="K149" s="202">
        <f>H149-L92</f>
        <v>0.11445783132530121</v>
      </c>
      <c r="L149" s="278"/>
      <c r="M149" s="203"/>
      <c r="N149" s="95">
        <f t="shared" si="4"/>
        <v>0.54285714285714282</v>
      </c>
    </row>
    <row r="151" spans="1:24" s="35" customFormat="1">
      <c r="A151" s="35" t="s">
        <v>69</v>
      </c>
    </row>
    <row r="152" spans="1:24">
      <c r="A152" s="374" t="s">
        <v>441</v>
      </c>
      <c r="B152" s="280"/>
      <c r="C152" s="280"/>
      <c r="D152" s="280"/>
      <c r="E152" s="280"/>
      <c r="F152" s="375"/>
      <c r="G152" s="365" t="s">
        <v>438</v>
      </c>
      <c r="H152" s="366"/>
      <c r="I152" s="366"/>
      <c r="J152" s="367"/>
      <c r="K152" s="374" t="s">
        <v>442</v>
      </c>
      <c r="L152" s="280"/>
      <c r="M152" s="280" t="s">
        <v>443</v>
      </c>
      <c r="N152" s="280"/>
      <c r="O152" s="280"/>
      <c r="P152" s="280" t="s">
        <v>444</v>
      </c>
      <c r="Q152" s="280"/>
      <c r="R152" s="280"/>
      <c r="S152" s="371" t="s">
        <v>445</v>
      </c>
      <c r="T152" s="371"/>
      <c r="U152" s="280" t="s">
        <v>4</v>
      </c>
      <c r="V152" s="280"/>
      <c r="W152" s="371" t="s">
        <v>446</v>
      </c>
      <c r="X152" s="371"/>
    </row>
    <row r="153" spans="1:24" ht="15" thickBot="1">
      <c r="A153" s="202">
        <f>(K147*E147+K148*E148+K149*E149)/SUM(E147:F149)</f>
        <v>1.1112449799196784</v>
      </c>
      <c r="B153" s="278"/>
      <c r="C153" s="278"/>
      <c r="D153" s="278"/>
      <c r="E153" s="278"/>
      <c r="F153" s="203"/>
      <c r="G153" s="307">
        <f>G144</f>
        <v>57.999999999999993</v>
      </c>
      <c r="H153" s="372"/>
      <c r="I153" s="372"/>
      <c r="J153" s="308"/>
      <c r="K153" s="368">
        <v>0.3</v>
      </c>
      <c r="L153" s="369"/>
      <c r="M153" s="368">
        <v>0.75</v>
      </c>
      <c r="N153" s="370"/>
      <c r="O153" s="369"/>
      <c r="P153" s="368">
        <v>0.7</v>
      </c>
      <c r="Q153" s="370"/>
      <c r="R153" s="369"/>
      <c r="S153" s="373">
        <f>A153*G153*K153*M153*P153</f>
        <v>10.15122289156626</v>
      </c>
      <c r="T153" s="250"/>
      <c r="U153" s="368">
        <v>0.12</v>
      </c>
      <c r="V153" s="369"/>
      <c r="W153" s="373">
        <f>S153*(1+U153)^10</f>
        <v>31.528157430273811</v>
      </c>
      <c r="X153" s="168"/>
    </row>
    <row r="154" spans="1:24" ht="15" thickTop="1"/>
    <row r="155" spans="1:24" s="35" customFormat="1">
      <c r="A155" s="35" t="s">
        <v>414</v>
      </c>
    </row>
    <row r="156" spans="1:24">
      <c r="A156" s="365" t="s">
        <v>208</v>
      </c>
      <c r="B156" s="367"/>
      <c r="C156" s="365" t="s">
        <v>209</v>
      </c>
      <c r="D156" s="367"/>
      <c r="E156" s="365" t="s">
        <v>415</v>
      </c>
      <c r="F156" s="367"/>
      <c r="G156" s="365" t="s">
        <v>416</v>
      </c>
      <c r="H156" s="367"/>
      <c r="I156" s="108" t="s">
        <v>417</v>
      </c>
      <c r="J156" s="108"/>
      <c r="K156" s="365" t="s">
        <v>418</v>
      </c>
      <c r="L156" s="367"/>
      <c r="M156" s="365" t="s">
        <v>419</v>
      </c>
      <c r="N156" s="366"/>
      <c r="O156" s="366"/>
      <c r="P156" s="365" t="s">
        <v>447</v>
      </c>
      <c r="Q156" s="366"/>
      <c r="R156" s="366"/>
      <c r="S156" s="367"/>
      <c r="T156" s="108" t="s">
        <v>448</v>
      </c>
      <c r="U156" s="108"/>
      <c r="V156" s="365" t="s">
        <v>449</v>
      </c>
      <c r="W156" s="367"/>
    </row>
    <row r="157" spans="1:24" ht="15" thickBot="1">
      <c r="A157" s="202">
        <f>S153</f>
        <v>10.15122289156626</v>
      </c>
      <c r="B157" s="203"/>
      <c r="C157" s="202">
        <f>W153</f>
        <v>31.528157430273811</v>
      </c>
      <c r="D157" s="203"/>
      <c r="E157" s="368">
        <v>0.2</v>
      </c>
      <c r="F157" s="369"/>
      <c r="G157" s="368">
        <v>0.03</v>
      </c>
      <c r="H157" s="369"/>
      <c r="I157" s="270">
        <f>E157*(1+G157)^10</f>
        <v>0.26878327586882439</v>
      </c>
      <c r="J157" s="271"/>
      <c r="K157" s="368">
        <v>0.03</v>
      </c>
      <c r="L157" s="369"/>
      <c r="M157" s="368">
        <v>0.05</v>
      </c>
      <c r="N157" s="370"/>
      <c r="O157" s="370"/>
      <c r="P157" s="368">
        <v>0.8</v>
      </c>
      <c r="Q157" s="370"/>
      <c r="R157" s="370"/>
      <c r="S157" s="369"/>
      <c r="T157" s="364">
        <f>A157*E157*K157*P157</f>
        <v>4.8725869879518047E-2</v>
      </c>
      <c r="U157" s="352"/>
      <c r="V157" s="352">
        <f xml:space="preserve"> C157*I157*K157*P157</f>
        <v>0.20338179446920829</v>
      </c>
      <c r="W157" s="352"/>
    </row>
    <row r="158" spans="1:24" ht="15" thickTop="1"/>
    <row r="159" spans="1:24" s="3" customFormat="1">
      <c r="A159" s="2" t="s">
        <v>144</v>
      </c>
    </row>
    <row r="160" spans="1:24">
      <c r="A160" s="52" t="s">
        <v>116</v>
      </c>
      <c r="B160" s="52"/>
      <c r="D160" s="53">
        <f>DATE(2025, 4, 1)</f>
        <v>45748</v>
      </c>
      <c r="E160" s="53">
        <f>EDATE(D160, 12)</f>
        <v>46113</v>
      </c>
      <c r="F160" s="53">
        <f t="shared" ref="F160:N160" si="5">EDATE(E160, 12)</f>
        <v>46478</v>
      </c>
      <c r="G160" s="53">
        <f t="shared" si="5"/>
        <v>46844</v>
      </c>
      <c r="H160" s="53">
        <f t="shared" si="5"/>
        <v>47209</v>
      </c>
      <c r="I160" s="53">
        <f t="shared" si="5"/>
        <v>47574</v>
      </c>
      <c r="J160" s="53">
        <f t="shared" si="5"/>
        <v>47939</v>
      </c>
      <c r="K160" s="53">
        <f t="shared" si="5"/>
        <v>48305</v>
      </c>
      <c r="L160" s="53">
        <f t="shared" si="5"/>
        <v>48670</v>
      </c>
      <c r="M160" s="53">
        <f>EDATE(L160, 12)</f>
        <v>49035</v>
      </c>
      <c r="N160" s="53">
        <f t="shared" si="5"/>
        <v>49400</v>
      </c>
    </row>
    <row r="161" spans="1:14">
      <c r="A161" s="52" t="s">
        <v>131</v>
      </c>
      <c r="B161" s="52"/>
      <c r="D161" s="54">
        <v>0</v>
      </c>
      <c r="E161" s="54">
        <v>1</v>
      </c>
      <c r="F161" s="54">
        <v>2</v>
      </c>
      <c r="G161" s="54">
        <v>3</v>
      </c>
      <c r="H161" s="54">
        <v>4</v>
      </c>
      <c r="I161" s="54">
        <v>5</v>
      </c>
      <c r="J161" s="54">
        <v>6</v>
      </c>
      <c r="K161" s="54">
        <v>7</v>
      </c>
      <c r="L161" s="54">
        <v>8</v>
      </c>
      <c r="M161" s="54">
        <v>9</v>
      </c>
      <c r="N161" s="54">
        <v>10</v>
      </c>
    </row>
    <row r="163" spans="1:14">
      <c r="A163" s="55" t="s">
        <v>132</v>
      </c>
      <c r="B163" s="55"/>
      <c r="D163" s="56">
        <f>P55*1000</f>
        <v>50.009</v>
      </c>
      <c r="E163" s="56">
        <f>D163*(1+E164)</f>
        <v>87.515749999999997</v>
      </c>
      <c r="F163" s="56">
        <f t="shared" ref="F163:N163" si="6">E163*(1+F164)</f>
        <v>131.27362499999998</v>
      </c>
      <c r="G163" s="56">
        <f t="shared" si="6"/>
        <v>177.21939374999999</v>
      </c>
      <c r="H163" s="56">
        <f t="shared" si="6"/>
        <v>221.52424218749999</v>
      </c>
      <c r="I163" s="56">
        <f t="shared" si="6"/>
        <v>254.75287851562499</v>
      </c>
      <c r="J163" s="56">
        <f t="shared" si="6"/>
        <v>285.32322393750002</v>
      </c>
      <c r="K163" s="56">
        <f t="shared" si="6"/>
        <v>311.00231409187506</v>
      </c>
      <c r="L163" s="56">
        <f t="shared" si="6"/>
        <v>326.55242979646886</v>
      </c>
      <c r="M163" s="56">
        <f t="shared" si="6"/>
        <v>336.34900269036291</v>
      </c>
      <c r="N163" s="56">
        <f t="shared" si="6"/>
        <v>346.43947277107378</v>
      </c>
    </row>
    <row r="164" spans="1:14" s="58" customFormat="1" ht="12">
      <c r="A164" s="164" t="s">
        <v>133</v>
      </c>
      <c r="B164" s="164"/>
      <c r="D164" s="59"/>
      <c r="E164" s="59">
        <v>0.75</v>
      </c>
      <c r="F164" s="59">
        <v>0.5</v>
      </c>
      <c r="G164" s="59">
        <v>0.35</v>
      </c>
      <c r="H164" s="59">
        <v>0.25</v>
      </c>
      <c r="I164" s="59">
        <v>0.15</v>
      </c>
      <c r="J164" s="59">
        <v>0.12</v>
      </c>
      <c r="K164" s="59">
        <v>0.09</v>
      </c>
      <c r="L164" s="59">
        <v>0.05</v>
      </c>
      <c r="M164" s="59">
        <v>0.03</v>
      </c>
      <c r="N164" s="59">
        <v>0.03</v>
      </c>
    </row>
    <row r="165" spans="1:14">
      <c r="A165" s="55"/>
      <c r="B165" s="55"/>
    </row>
    <row r="166" spans="1:14">
      <c r="A166" s="55" t="s">
        <v>134</v>
      </c>
      <c r="B166" s="55"/>
      <c r="D166" s="56">
        <f>D163*D167</f>
        <v>3.00054</v>
      </c>
      <c r="E166" s="56">
        <f t="shared" ref="E166:N166" si="7">E163*E167</f>
        <v>5.0759135000000004</v>
      </c>
      <c r="F166" s="56">
        <f t="shared" si="7"/>
        <v>7.3513229999999989</v>
      </c>
      <c r="G166" s="56">
        <f t="shared" si="7"/>
        <v>9.5698472624999997</v>
      </c>
      <c r="H166" s="56">
        <f t="shared" si="7"/>
        <v>11.519260593749999</v>
      </c>
      <c r="I166" s="56">
        <f t="shared" si="7"/>
        <v>12.737643925781249</v>
      </c>
      <c r="J166" s="56">
        <f t="shared" si="7"/>
        <v>13.695514749000001</v>
      </c>
      <c r="K166" s="56">
        <f t="shared" si="7"/>
        <v>14.306106448226252</v>
      </c>
      <c r="L166" s="56">
        <f t="shared" si="7"/>
        <v>14.368306911044629</v>
      </c>
      <c r="M166" s="56">
        <f t="shared" si="7"/>
        <v>14.126658112995242</v>
      </c>
      <c r="N166" s="56">
        <f t="shared" si="7"/>
        <v>13.857578910842985</v>
      </c>
    </row>
    <row r="167" spans="1:14" s="58" customFormat="1">
      <c r="A167" s="164" t="s">
        <v>135</v>
      </c>
      <c r="B167" s="164"/>
      <c r="D167" s="94">
        <v>0.06</v>
      </c>
      <c r="E167" s="94">
        <v>5.8000000000000003E-2</v>
      </c>
      <c r="F167" s="94">
        <v>5.6000000000000001E-2</v>
      </c>
      <c r="G167" s="94">
        <v>5.3999999999999999E-2</v>
      </c>
      <c r="H167" s="94">
        <v>5.1999999999999998E-2</v>
      </c>
      <c r="I167" s="94">
        <v>0.05</v>
      </c>
      <c r="J167" s="94">
        <v>4.8000000000000001E-2</v>
      </c>
      <c r="K167" s="94">
        <v>4.5999999999999999E-2</v>
      </c>
      <c r="L167" s="94">
        <v>4.3999999999999997E-2</v>
      </c>
      <c r="M167" s="94">
        <v>4.2000000000000003E-2</v>
      </c>
      <c r="N167" s="94">
        <v>4.0000000000000098E-2</v>
      </c>
    </row>
    <row r="169" spans="1:14">
      <c r="A169" s="92" t="s">
        <v>136</v>
      </c>
      <c r="B169" s="92"/>
      <c r="D169" s="56">
        <f xml:space="preserve"> D163-D166</f>
        <v>47.008459999999999</v>
      </c>
      <c r="E169" s="56">
        <f t="shared" ref="E169:N169" si="8" xml:space="preserve"> E163-E166</f>
        <v>82.439836499999998</v>
      </c>
      <c r="F169" s="56">
        <f t="shared" si="8"/>
        <v>123.92230199999999</v>
      </c>
      <c r="G169" s="56">
        <f t="shared" si="8"/>
        <v>167.6495464875</v>
      </c>
      <c r="H169" s="56">
        <f t="shared" si="8"/>
        <v>210.00498159374999</v>
      </c>
      <c r="I169" s="56">
        <f t="shared" si="8"/>
        <v>242.01523458984374</v>
      </c>
      <c r="J169" s="56">
        <f t="shared" si="8"/>
        <v>271.62770918850003</v>
      </c>
      <c r="K169" s="56">
        <f t="shared" si="8"/>
        <v>296.69620764364879</v>
      </c>
      <c r="L169" s="56">
        <f t="shared" si="8"/>
        <v>312.18412288542424</v>
      </c>
      <c r="M169" s="56">
        <f t="shared" si="8"/>
        <v>322.22234457736766</v>
      </c>
      <c r="N169" s="56">
        <f t="shared" si="8"/>
        <v>332.58189386023082</v>
      </c>
    </row>
    <row r="170" spans="1:14" s="58" customFormat="1" ht="12">
      <c r="A170" s="262" t="s">
        <v>135</v>
      </c>
      <c r="B170" s="262"/>
      <c r="D170" s="59">
        <f>D169/D163</f>
        <v>0.94</v>
      </c>
      <c r="E170" s="59">
        <f t="shared" ref="E170:N170" si="9">E169/E163</f>
        <v>0.94200000000000006</v>
      </c>
      <c r="F170" s="59">
        <f t="shared" si="9"/>
        <v>0.94400000000000006</v>
      </c>
      <c r="G170" s="59">
        <f t="shared" si="9"/>
        <v>0.94600000000000006</v>
      </c>
      <c r="H170" s="59">
        <f t="shared" si="9"/>
        <v>0.94799999999999995</v>
      </c>
      <c r="I170" s="59">
        <f t="shared" si="9"/>
        <v>0.95000000000000007</v>
      </c>
      <c r="J170" s="59">
        <f t="shared" si="9"/>
        <v>0.95200000000000007</v>
      </c>
      <c r="K170" s="59">
        <f t="shared" si="9"/>
        <v>0.95399999999999996</v>
      </c>
      <c r="L170" s="59">
        <f t="shared" si="9"/>
        <v>0.95600000000000007</v>
      </c>
      <c r="M170" s="59">
        <f t="shared" si="9"/>
        <v>0.95799999999999996</v>
      </c>
      <c r="N170" s="59">
        <f t="shared" si="9"/>
        <v>0.96</v>
      </c>
    </row>
    <row r="172" spans="1:14">
      <c r="A172" s="55" t="s">
        <v>137</v>
      </c>
      <c r="B172" s="55"/>
      <c r="D172" s="56">
        <f>D163*D173</f>
        <v>5.6260124999999999</v>
      </c>
      <c r="E172" s="56">
        <f t="shared" ref="E172:N172" si="10">E163*E173</f>
        <v>9.1891537499999991</v>
      </c>
      <c r="F172" s="56">
        <f t="shared" si="10"/>
        <v>12.799178437499998</v>
      </c>
      <c r="G172" s="56">
        <f t="shared" si="10"/>
        <v>15.949745437499999</v>
      </c>
      <c r="H172" s="56">
        <f t="shared" si="10"/>
        <v>18.275749980468749</v>
      </c>
      <c r="I172" s="56">
        <f t="shared" si="10"/>
        <v>19.106465888671874</v>
      </c>
      <c r="J172" s="56">
        <f t="shared" si="10"/>
        <v>19.259317615781253</v>
      </c>
      <c r="K172" s="56">
        <f t="shared" si="10"/>
        <v>18.660138845512503</v>
      </c>
      <c r="L172" s="56">
        <f t="shared" si="10"/>
        <v>17.144002564314615</v>
      </c>
      <c r="M172" s="56">
        <f t="shared" si="10"/>
        <v>15.13570512106633</v>
      </c>
      <c r="N172" s="56">
        <f t="shared" si="10"/>
        <v>15.58977627469832</v>
      </c>
    </row>
    <row r="173" spans="1:14" s="58" customFormat="1" ht="12">
      <c r="A173" s="164" t="s">
        <v>135</v>
      </c>
      <c r="B173" s="164"/>
      <c r="D173" s="59">
        <f>15%*D181</f>
        <v>0.11249999999999999</v>
      </c>
      <c r="E173" s="59">
        <f t="shared" ref="E173:N173" si="11">15%*E181</f>
        <v>0.105</v>
      </c>
      <c r="F173" s="59">
        <f t="shared" si="11"/>
        <v>9.7500000000000003E-2</v>
      </c>
      <c r="G173" s="59">
        <f t="shared" si="11"/>
        <v>0.09</v>
      </c>
      <c r="H173" s="59">
        <f t="shared" si="11"/>
        <v>8.2500000000000004E-2</v>
      </c>
      <c r="I173" s="59">
        <f t="shared" si="11"/>
        <v>7.4999999999999997E-2</v>
      </c>
      <c r="J173" s="59">
        <f t="shared" si="11"/>
        <v>6.7500000000000004E-2</v>
      </c>
      <c r="K173" s="59">
        <f t="shared" si="11"/>
        <v>0.06</v>
      </c>
      <c r="L173" s="59">
        <f t="shared" si="11"/>
        <v>5.2499999999999998E-2</v>
      </c>
      <c r="M173" s="59">
        <f t="shared" si="11"/>
        <v>4.4999999999999998E-2</v>
      </c>
      <c r="N173" s="59">
        <f t="shared" si="11"/>
        <v>4.4999999999999998E-2</v>
      </c>
    </row>
    <row r="174" spans="1:14">
      <c r="A174" s="55" t="s">
        <v>450</v>
      </c>
      <c r="B174" s="55"/>
      <c r="D174" s="56">
        <f>D163*D175</f>
        <v>7.5013500000000013</v>
      </c>
      <c r="E174" s="56">
        <f t="shared" ref="E174:N174" si="12">E163*E175</f>
        <v>12.252204999999998</v>
      </c>
      <c r="F174" s="56">
        <f t="shared" si="12"/>
        <v>17.065571249999998</v>
      </c>
      <c r="G174" s="56">
        <f t="shared" si="12"/>
        <v>21.26632725</v>
      </c>
      <c r="H174" s="56">
        <f t="shared" si="12"/>
        <v>24.367666640625004</v>
      </c>
      <c r="I174" s="56">
        <f t="shared" si="12"/>
        <v>25.475287851562499</v>
      </c>
      <c r="J174" s="56">
        <f t="shared" si="12"/>
        <v>25.679090154375004</v>
      </c>
      <c r="K174" s="56">
        <f t="shared" si="12"/>
        <v>24.880185127350011</v>
      </c>
      <c r="L174" s="56">
        <f t="shared" si="12"/>
        <v>22.858670085752816</v>
      </c>
      <c r="M174" s="56">
        <f t="shared" si="12"/>
        <v>20.180940161421773</v>
      </c>
      <c r="N174" s="56">
        <f t="shared" si="12"/>
        <v>20.786368366264426</v>
      </c>
    </row>
    <row r="175" spans="1:14" s="58" customFormat="1" ht="12">
      <c r="A175" s="164" t="s">
        <v>135</v>
      </c>
      <c r="B175" s="164"/>
      <c r="D175" s="59">
        <f>20%*D181</f>
        <v>0.15000000000000002</v>
      </c>
      <c r="E175" s="59">
        <f t="shared" ref="E175:N175" si="13">20%*E181</f>
        <v>0.13999999999999999</v>
      </c>
      <c r="F175" s="59">
        <f t="shared" si="13"/>
        <v>0.13</v>
      </c>
      <c r="G175" s="59">
        <f t="shared" si="13"/>
        <v>0.12</v>
      </c>
      <c r="H175" s="59">
        <f t="shared" si="13"/>
        <v>0.11000000000000001</v>
      </c>
      <c r="I175" s="59">
        <f t="shared" si="13"/>
        <v>0.1</v>
      </c>
      <c r="J175" s="59">
        <f t="shared" si="13"/>
        <v>9.0000000000000011E-2</v>
      </c>
      <c r="K175" s="59">
        <f t="shared" si="13"/>
        <v>8.0000000000000016E-2</v>
      </c>
      <c r="L175" s="59">
        <f t="shared" si="13"/>
        <v>6.9999999999999993E-2</v>
      </c>
      <c r="M175" s="59">
        <f t="shared" si="13"/>
        <v>0.06</v>
      </c>
      <c r="N175" s="59">
        <f t="shared" si="13"/>
        <v>0.06</v>
      </c>
    </row>
    <row r="176" spans="1:14">
      <c r="A176" s="55" t="s">
        <v>451</v>
      </c>
      <c r="B176" s="55"/>
      <c r="D176" s="56">
        <f>D163*D177</f>
        <v>7.5013500000000013</v>
      </c>
      <c r="E176" s="56">
        <f t="shared" ref="E176:N176" si="14">E163*E177</f>
        <v>12.252204999999998</v>
      </c>
      <c r="F176" s="56">
        <f t="shared" si="14"/>
        <v>17.065571249999998</v>
      </c>
      <c r="G176" s="56">
        <f t="shared" si="14"/>
        <v>21.26632725</v>
      </c>
      <c r="H176" s="56">
        <f t="shared" si="14"/>
        <v>24.367666640625004</v>
      </c>
      <c r="I176" s="56">
        <f t="shared" si="14"/>
        <v>25.475287851562499</v>
      </c>
      <c r="J176" s="56">
        <f t="shared" si="14"/>
        <v>25.679090154375004</v>
      </c>
      <c r="K176" s="56">
        <f t="shared" si="14"/>
        <v>24.880185127350011</v>
      </c>
      <c r="L176" s="56">
        <f t="shared" si="14"/>
        <v>22.858670085752816</v>
      </c>
      <c r="M176" s="56">
        <f t="shared" si="14"/>
        <v>20.180940161421773</v>
      </c>
      <c r="N176" s="56">
        <f t="shared" si="14"/>
        <v>20.786368366264426</v>
      </c>
    </row>
    <row r="177" spans="1:19" s="58" customFormat="1" ht="12">
      <c r="A177" s="164" t="s">
        <v>135</v>
      </c>
      <c r="B177" s="164"/>
      <c r="D177" s="59">
        <f>20%*D181</f>
        <v>0.15000000000000002</v>
      </c>
      <c r="E177" s="59">
        <f t="shared" ref="E177:N177" si="15">20%*E181</f>
        <v>0.13999999999999999</v>
      </c>
      <c r="F177" s="59">
        <f t="shared" si="15"/>
        <v>0.13</v>
      </c>
      <c r="G177" s="59">
        <f t="shared" si="15"/>
        <v>0.12</v>
      </c>
      <c r="H177" s="59">
        <f t="shared" si="15"/>
        <v>0.11000000000000001</v>
      </c>
      <c r="I177" s="59">
        <f t="shared" si="15"/>
        <v>0.1</v>
      </c>
      <c r="J177" s="59">
        <f t="shared" si="15"/>
        <v>9.0000000000000011E-2</v>
      </c>
      <c r="K177" s="59">
        <f t="shared" si="15"/>
        <v>8.0000000000000016E-2</v>
      </c>
      <c r="L177" s="59">
        <f t="shared" si="15"/>
        <v>6.9999999999999993E-2</v>
      </c>
      <c r="M177" s="59">
        <f t="shared" si="15"/>
        <v>0.06</v>
      </c>
      <c r="N177" s="59">
        <f t="shared" si="15"/>
        <v>0.06</v>
      </c>
    </row>
    <row r="178" spans="1:19">
      <c r="A178" s="55" t="s">
        <v>138</v>
      </c>
      <c r="B178" s="55"/>
      <c r="D178" s="56">
        <f>D163*D179</f>
        <v>16.878037500000001</v>
      </c>
      <c r="E178" s="56">
        <f t="shared" ref="E178:N178" si="16">E163*E179</f>
        <v>27.567461250000001</v>
      </c>
      <c r="F178" s="56">
        <f t="shared" si="16"/>
        <v>38.397535312499997</v>
      </c>
      <c r="G178" s="56">
        <f t="shared" si="16"/>
        <v>47.849236312500004</v>
      </c>
      <c r="H178" s="56">
        <f t="shared" si="16"/>
        <v>54.827249941406251</v>
      </c>
      <c r="I178" s="56">
        <f t="shared" si="16"/>
        <v>57.319397666015625</v>
      </c>
      <c r="J178" s="56">
        <f t="shared" si="16"/>
        <v>57.777952847343755</v>
      </c>
      <c r="K178" s="56">
        <f t="shared" si="16"/>
        <v>55.980416536537518</v>
      </c>
      <c r="L178" s="56">
        <f t="shared" si="16"/>
        <v>51.432007692943849</v>
      </c>
      <c r="M178" s="56">
        <f t="shared" si="16"/>
        <v>45.407115363198997</v>
      </c>
      <c r="N178" s="56">
        <f t="shared" si="16"/>
        <v>46.769328824094963</v>
      </c>
    </row>
    <row r="179" spans="1:19" s="58" customFormat="1" ht="12">
      <c r="A179" s="164" t="s">
        <v>135</v>
      </c>
      <c r="B179" s="164"/>
      <c r="D179" s="59">
        <f>45%*D181</f>
        <v>0.33750000000000002</v>
      </c>
      <c r="E179" s="59">
        <f t="shared" ref="E179:N179" si="17">45%*E181</f>
        <v>0.315</v>
      </c>
      <c r="F179" s="59">
        <f t="shared" si="17"/>
        <v>0.29250000000000004</v>
      </c>
      <c r="G179" s="59">
        <f t="shared" si="17"/>
        <v>0.27</v>
      </c>
      <c r="H179" s="59">
        <f t="shared" si="17"/>
        <v>0.24750000000000003</v>
      </c>
      <c r="I179" s="59">
        <f t="shared" si="17"/>
        <v>0.22500000000000001</v>
      </c>
      <c r="J179" s="59">
        <f t="shared" si="17"/>
        <v>0.20250000000000001</v>
      </c>
      <c r="K179" s="59">
        <f t="shared" si="17"/>
        <v>0.18000000000000002</v>
      </c>
      <c r="L179" s="59">
        <f t="shared" si="17"/>
        <v>0.1575</v>
      </c>
      <c r="M179" s="59">
        <f t="shared" si="17"/>
        <v>0.13500000000000001</v>
      </c>
      <c r="N179" s="59">
        <f t="shared" si="17"/>
        <v>0.13500000000000001</v>
      </c>
    </row>
    <row r="180" spans="1:19" s="58" customFormat="1">
      <c r="A180" s="55" t="s">
        <v>452</v>
      </c>
      <c r="B180" s="55"/>
      <c r="D180" s="56">
        <f>D181*D163</f>
        <v>37.506749999999997</v>
      </c>
      <c r="E180" s="56">
        <f t="shared" ref="E180:N180" si="18">E181*E163</f>
        <v>61.261024999999997</v>
      </c>
      <c r="F180" s="56">
        <f t="shared" si="18"/>
        <v>85.327856249999996</v>
      </c>
      <c r="G180" s="56">
        <f t="shared" si="18"/>
        <v>106.33163624999999</v>
      </c>
      <c r="H180" s="56">
        <f t="shared" si="18"/>
        <v>121.838333203125</v>
      </c>
      <c r="I180" s="56">
        <f t="shared" si="18"/>
        <v>127.37643925781249</v>
      </c>
      <c r="J180" s="56">
        <f t="shared" si="18"/>
        <v>128.39545077187501</v>
      </c>
      <c r="K180" s="56">
        <f t="shared" si="18"/>
        <v>124.40092563675003</v>
      </c>
      <c r="L180" s="56">
        <f t="shared" si="18"/>
        <v>114.29335042876409</v>
      </c>
      <c r="M180" s="56">
        <f t="shared" si="18"/>
        <v>100.90470080710887</v>
      </c>
      <c r="N180" s="56">
        <f t="shared" si="18"/>
        <v>103.93184183132213</v>
      </c>
    </row>
    <row r="181" spans="1:19" s="58" customFormat="1" ht="12">
      <c r="A181" s="164" t="s">
        <v>135</v>
      </c>
      <c r="B181" s="164"/>
      <c r="D181" s="59">
        <v>0.75</v>
      </c>
      <c r="E181" s="59">
        <v>0.7</v>
      </c>
      <c r="F181" s="59">
        <v>0.65</v>
      </c>
      <c r="G181" s="59">
        <v>0.6</v>
      </c>
      <c r="H181" s="59">
        <v>0.55000000000000004</v>
      </c>
      <c r="I181" s="59">
        <v>0.5</v>
      </c>
      <c r="J181" s="59">
        <v>0.45</v>
      </c>
      <c r="K181" s="59">
        <v>0.4</v>
      </c>
      <c r="L181" s="59">
        <v>0.35</v>
      </c>
      <c r="M181" s="59">
        <v>0.3</v>
      </c>
      <c r="N181" s="59">
        <v>0.3</v>
      </c>
    </row>
    <row r="183" spans="1:19">
      <c r="A183" s="92" t="s">
        <v>285</v>
      </c>
      <c r="B183" s="92"/>
      <c r="D183" s="56">
        <f>D169-SUM(D172,D174,D178)</f>
        <v>17.003059999999998</v>
      </c>
      <c r="E183" s="56">
        <f t="shared" ref="E183:N183" si="19">E169-SUM(E172,E174,E178)</f>
        <v>33.431016499999998</v>
      </c>
      <c r="F183" s="56">
        <f t="shared" si="19"/>
        <v>55.660016999999996</v>
      </c>
      <c r="G183" s="56">
        <f t="shared" si="19"/>
        <v>82.58423748749999</v>
      </c>
      <c r="H183" s="56">
        <f t="shared" si="19"/>
        <v>112.53431503124999</v>
      </c>
      <c r="I183" s="56">
        <f t="shared" si="19"/>
        <v>140.11408318359375</v>
      </c>
      <c r="J183" s="56">
        <f t="shared" si="19"/>
        <v>168.91134857100002</v>
      </c>
      <c r="K183" s="56">
        <f t="shared" si="19"/>
        <v>197.17546713424878</v>
      </c>
      <c r="L183" s="56">
        <f t="shared" si="19"/>
        <v>220.74944254241296</v>
      </c>
      <c r="M183" s="56">
        <f t="shared" si="19"/>
        <v>241.49858393168057</v>
      </c>
      <c r="N183" s="56">
        <f t="shared" si="19"/>
        <v>249.43642039517312</v>
      </c>
    </row>
    <row r="184" spans="1:19" s="58" customFormat="1" ht="12">
      <c r="A184" s="262" t="s">
        <v>135</v>
      </c>
      <c r="B184" s="262"/>
      <c r="D184" s="59">
        <f>D183/D163</f>
        <v>0.33999999999999997</v>
      </c>
      <c r="E184" s="59">
        <f t="shared" ref="E184:N184" si="20">E183/E163</f>
        <v>0.38200000000000001</v>
      </c>
      <c r="F184" s="59">
        <f t="shared" si="20"/>
        <v>0.42400000000000004</v>
      </c>
      <c r="G184" s="59">
        <f t="shared" si="20"/>
        <v>0.46599999999999997</v>
      </c>
      <c r="H184" s="59">
        <f t="shared" si="20"/>
        <v>0.50800000000000001</v>
      </c>
      <c r="I184" s="59">
        <f t="shared" si="20"/>
        <v>0.55000000000000004</v>
      </c>
      <c r="J184" s="59">
        <f t="shared" si="20"/>
        <v>0.59200000000000008</v>
      </c>
      <c r="K184" s="59">
        <f t="shared" si="20"/>
        <v>0.63400000000000001</v>
      </c>
      <c r="L184" s="59">
        <f t="shared" si="20"/>
        <v>0.67600000000000005</v>
      </c>
      <c r="M184" s="59">
        <f t="shared" si="20"/>
        <v>0.71799999999999997</v>
      </c>
      <c r="N184" s="59">
        <f t="shared" si="20"/>
        <v>0.72</v>
      </c>
    </row>
    <row r="186" spans="1:19">
      <c r="A186" s="55" t="s">
        <v>139</v>
      </c>
      <c r="B186" s="55"/>
      <c r="D186" s="56">
        <f>D163*D187</f>
        <v>1.50027</v>
      </c>
      <c r="E186" s="56">
        <f t="shared" ref="E186:N186" si="21">E163*E187</f>
        <v>2.4504410000000001</v>
      </c>
      <c r="F186" s="56">
        <f t="shared" si="21"/>
        <v>3.2818406249999996</v>
      </c>
      <c r="G186" s="56">
        <f t="shared" si="21"/>
        <v>4.07604605625</v>
      </c>
      <c r="H186" s="56">
        <f t="shared" si="21"/>
        <v>4.4304848437500004</v>
      </c>
      <c r="I186" s="56">
        <f t="shared" si="21"/>
        <v>4.5855518132812492</v>
      </c>
      <c r="J186" s="56">
        <f t="shared" si="21"/>
        <v>4.2798483590625001</v>
      </c>
      <c r="K186" s="56">
        <f t="shared" si="21"/>
        <v>4.6650347113781256</v>
      </c>
      <c r="L186" s="56">
        <f t="shared" si="21"/>
        <v>4.8982864469470329</v>
      </c>
      <c r="M186" s="56">
        <f t="shared" si="21"/>
        <v>5.0452350403554433</v>
      </c>
      <c r="N186" s="56">
        <f t="shared" si="21"/>
        <v>5.1965920915661066</v>
      </c>
    </row>
    <row r="187" spans="1:19" s="58" customFormat="1" ht="12">
      <c r="A187" s="164" t="s">
        <v>135</v>
      </c>
      <c r="B187" s="164"/>
      <c r="D187" s="59">
        <v>0.03</v>
      </c>
      <c r="E187" s="59">
        <v>2.8000000000000001E-2</v>
      </c>
      <c r="F187" s="59">
        <v>2.5000000000000001E-2</v>
      </c>
      <c r="G187" s="59">
        <v>2.3E-2</v>
      </c>
      <c r="H187" s="59">
        <v>0.02</v>
      </c>
      <c r="I187" s="59">
        <v>1.7999999999999999E-2</v>
      </c>
      <c r="J187" s="59">
        <v>1.4999999999999999E-2</v>
      </c>
      <c r="K187" s="59">
        <v>1.4999999999999999E-2</v>
      </c>
      <c r="L187" s="59">
        <v>1.4999999999999999E-2</v>
      </c>
      <c r="M187" s="59">
        <v>1.4999999999999999E-2</v>
      </c>
      <c r="N187" s="59">
        <v>1.4999999999999999E-2</v>
      </c>
    </row>
    <row r="189" spans="1:19">
      <c r="A189" s="92" t="s">
        <v>140</v>
      </c>
      <c r="B189" s="92"/>
      <c r="D189" s="56">
        <f>D169-SUM(D172,D174,D178, D176)-D186</f>
        <v>8.0014399999999952</v>
      </c>
      <c r="E189" s="56">
        <f t="shared" ref="E189:M189" si="22">E169-SUM(E172,E174,E178, E176)-E186</f>
        <v>18.7283705</v>
      </c>
      <c r="F189" s="56">
        <f t="shared" si="22"/>
        <v>35.31260512499999</v>
      </c>
      <c r="G189" s="56">
        <f t="shared" si="22"/>
        <v>57.241864181249987</v>
      </c>
      <c r="H189" s="56">
        <f t="shared" si="22"/>
        <v>83.736163546874991</v>
      </c>
      <c r="I189" s="56">
        <f t="shared" si="22"/>
        <v>110.05324351875001</v>
      </c>
      <c r="J189" s="56">
        <f t="shared" si="22"/>
        <v>138.95241005756253</v>
      </c>
      <c r="K189" s="56">
        <f t="shared" si="22"/>
        <v>167.63024729552063</v>
      </c>
      <c r="L189" s="56">
        <f t="shared" si="22"/>
        <v>192.99248600971313</v>
      </c>
      <c r="M189" s="56">
        <f t="shared" si="22"/>
        <v>216.27240872990336</v>
      </c>
      <c r="N189" s="56">
        <f>N169-SUM(N172,N174,N178, N176)-N186</f>
        <v>223.45345993734259</v>
      </c>
    </row>
    <row r="190" spans="1:19" s="58" customFormat="1" ht="12">
      <c r="A190" s="262" t="s">
        <v>135</v>
      </c>
      <c r="B190" s="262"/>
      <c r="D190" s="59">
        <f>D189/D163</f>
        <v>0.15999999999999989</v>
      </c>
      <c r="E190" s="59">
        <f t="shared" ref="E190:N190" si="23">E189/E163</f>
        <v>0.21400000000000002</v>
      </c>
      <c r="F190" s="59">
        <f t="shared" si="23"/>
        <v>0.26899999999999996</v>
      </c>
      <c r="G190" s="59">
        <f t="shared" si="23"/>
        <v>0.32299999999999995</v>
      </c>
      <c r="H190" s="59">
        <f t="shared" si="23"/>
        <v>0.37799999999999995</v>
      </c>
      <c r="I190" s="59">
        <f t="shared" si="23"/>
        <v>0.43200000000000005</v>
      </c>
      <c r="J190" s="59">
        <f t="shared" si="23"/>
        <v>0.4870000000000001</v>
      </c>
      <c r="K190" s="59">
        <f t="shared" si="23"/>
        <v>0.53899999999999992</v>
      </c>
      <c r="L190" s="59">
        <f t="shared" si="23"/>
        <v>0.59100000000000008</v>
      </c>
      <c r="M190" s="59">
        <f t="shared" si="23"/>
        <v>0.64300000000000002</v>
      </c>
      <c r="N190" s="59">
        <f t="shared" si="23"/>
        <v>0.64500000000000002</v>
      </c>
    </row>
    <row r="192" spans="1:19">
      <c r="A192" s="55" t="s">
        <v>141</v>
      </c>
      <c r="B192" s="55"/>
      <c r="D192" s="56">
        <f>D163*D193</f>
        <v>10.001800000000001</v>
      </c>
      <c r="E192" s="56">
        <f t="shared" ref="E192:N192" si="24">E163*E193</f>
        <v>15.752834999999999</v>
      </c>
      <c r="F192" s="56">
        <f t="shared" si="24"/>
        <v>21.003779999999999</v>
      </c>
      <c r="G192" s="56">
        <f t="shared" si="24"/>
        <v>24.810715125000002</v>
      </c>
      <c r="H192" s="56">
        <f t="shared" si="24"/>
        <v>26.582909062499997</v>
      </c>
      <c r="I192" s="56">
        <f t="shared" si="24"/>
        <v>25.475287851562499</v>
      </c>
      <c r="J192" s="56">
        <f t="shared" si="24"/>
        <v>22.825857915</v>
      </c>
      <c r="K192" s="56">
        <f t="shared" si="24"/>
        <v>18.660138845512503</v>
      </c>
      <c r="L192" s="56">
        <f t="shared" si="24"/>
        <v>13.062097191858754</v>
      </c>
      <c r="M192" s="56">
        <f t="shared" si="24"/>
        <v>13.453960107614517</v>
      </c>
      <c r="N192" s="56">
        <f t="shared" si="24"/>
        <v>13.857578910842951</v>
      </c>
      <c r="S192" s="94"/>
    </row>
    <row r="193" spans="1:14" s="58" customFormat="1" ht="12">
      <c r="A193" s="164" t="s">
        <v>135</v>
      </c>
      <c r="B193" s="164"/>
      <c r="D193" s="59">
        <v>0.2</v>
      </c>
      <c r="E193" s="59">
        <v>0.18</v>
      </c>
      <c r="F193" s="59">
        <v>0.16</v>
      </c>
      <c r="G193" s="59">
        <v>0.14000000000000001</v>
      </c>
      <c r="H193" s="59">
        <v>0.12</v>
      </c>
      <c r="I193" s="59">
        <v>0.1</v>
      </c>
      <c r="J193" s="59">
        <v>0.08</v>
      </c>
      <c r="K193" s="59">
        <v>0.06</v>
      </c>
      <c r="L193" s="59">
        <v>0.04</v>
      </c>
      <c r="M193" s="59">
        <v>0.04</v>
      </c>
      <c r="N193" s="59">
        <v>0.04</v>
      </c>
    </row>
    <row r="195" spans="1:14">
      <c r="A195" s="55" t="s">
        <v>142</v>
      </c>
      <c r="B195" s="55"/>
      <c r="D195" s="56">
        <f>D163*D196</f>
        <v>12.50225</v>
      </c>
      <c r="E195" s="56">
        <f>E163*E196</f>
        <v>19.253464999999998</v>
      </c>
      <c r="F195" s="56">
        <f t="shared" ref="F195:N195" si="25">F163*F196</f>
        <v>24.941988749999997</v>
      </c>
      <c r="G195" s="56">
        <f t="shared" si="25"/>
        <v>28.355103</v>
      </c>
      <c r="H195" s="56">
        <f t="shared" si="25"/>
        <v>28.798151484375001</v>
      </c>
      <c r="I195" s="56">
        <f t="shared" si="25"/>
        <v>25.475287851562499</v>
      </c>
      <c r="J195" s="56">
        <f t="shared" si="25"/>
        <v>19.972625675625004</v>
      </c>
      <c r="K195" s="56">
        <f t="shared" si="25"/>
        <v>12.440092563675003</v>
      </c>
      <c r="L195" s="56">
        <f t="shared" si="25"/>
        <v>13.062097191858754</v>
      </c>
      <c r="M195" s="56">
        <f t="shared" si="25"/>
        <v>13.453960107614517</v>
      </c>
      <c r="N195" s="56">
        <f t="shared" si="25"/>
        <v>13.857578910842951</v>
      </c>
    </row>
    <row r="196" spans="1:14" s="58" customFormat="1" ht="12">
      <c r="A196" s="164" t="s">
        <v>135</v>
      </c>
      <c r="B196" s="164"/>
      <c r="D196" s="59">
        <v>0.25</v>
      </c>
      <c r="E196" s="59">
        <v>0.22</v>
      </c>
      <c r="F196" s="59">
        <v>0.19</v>
      </c>
      <c r="G196" s="59">
        <v>0.16</v>
      </c>
      <c r="H196" s="59">
        <v>0.13</v>
      </c>
      <c r="I196" s="59">
        <v>0.1</v>
      </c>
      <c r="J196" s="59">
        <v>7.0000000000000007E-2</v>
      </c>
      <c r="K196" s="59">
        <v>0.04</v>
      </c>
      <c r="L196" s="59">
        <v>0.04</v>
      </c>
      <c r="M196" s="59">
        <v>0.04</v>
      </c>
      <c r="N196" s="59">
        <v>0.04</v>
      </c>
    </row>
    <row r="198" spans="1:14">
      <c r="A198" s="55" t="s">
        <v>143</v>
      </c>
      <c r="B198" s="55"/>
      <c r="D198" s="56">
        <f xml:space="preserve"> MAX(D189,0)*25%</f>
        <v>2.0003599999999988</v>
      </c>
      <c r="E198" s="56">
        <f t="shared" ref="E198:N198" si="26" xml:space="preserve"> MAX(E189,0)*25%</f>
        <v>4.6820926250000001</v>
      </c>
      <c r="F198" s="56">
        <f t="shared" si="26"/>
        <v>8.8281512812499976</v>
      </c>
      <c r="G198" s="56">
        <f t="shared" si="26"/>
        <v>14.310466045312497</v>
      </c>
      <c r="H198" s="56">
        <f t="shared" si="26"/>
        <v>20.934040886718748</v>
      </c>
      <c r="I198" s="56">
        <f t="shared" si="26"/>
        <v>27.513310879687502</v>
      </c>
      <c r="J198" s="56">
        <f t="shared" si="26"/>
        <v>34.738102514390633</v>
      </c>
      <c r="K198" s="56">
        <f t="shared" si="26"/>
        <v>41.907561823880158</v>
      </c>
      <c r="L198" s="56">
        <f t="shared" si="26"/>
        <v>48.248121502428283</v>
      </c>
      <c r="M198" s="56">
        <f t="shared" si="26"/>
        <v>54.06810218247584</v>
      </c>
      <c r="N198" s="56">
        <f t="shared" si="26"/>
        <v>55.863364984335647</v>
      </c>
    </row>
    <row r="199" spans="1:14" s="58" customFormat="1" ht="12">
      <c r="A199" s="164" t="s">
        <v>135</v>
      </c>
      <c r="B199" s="164"/>
      <c r="D199" s="59">
        <v>0.25</v>
      </c>
      <c r="E199" s="59">
        <v>0.25</v>
      </c>
      <c r="F199" s="59">
        <v>0.25</v>
      </c>
      <c r="G199" s="59">
        <v>0.25</v>
      </c>
      <c r="H199" s="59">
        <v>0.25</v>
      </c>
      <c r="I199" s="59">
        <v>0.25</v>
      </c>
      <c r="J199" s="59">
        <v>0.25</v>
      </c>
      <c r="K199" s="59">
        <v>0.25</v>
      </c>
      <c r="L199" s="59">
        <v>0.25</v>
      </c>
      <c r="M199" s="59">
        <v>0.25</v>
      </c>
      <c r="N199" s="59">
        <v>0.25</v>
      </c>
    </row>
    <row r="201" spans="1:14">
      <c r="A201" s="60" t="s">
        <v>144</v>
      </c>
      <c r="B201" s="60"/>
      <c r="D201" s="56">
        <f>D189+D186-D192-D195 -D198</f>
        <v>-15.002700000000004</v>
      </c>
      <c r="E201" s="56">
        <f t="shared" ref="E201:N201" si="27">E189+E186-E192-E195 -E198</f>
        <v>-18.509581124999997</v>
      </c>
      <c r="F201" s="56">
        <f t="shared" si="27"/>
        <v>-16.179474281250002</v>
      </c>
      <c r="G201" s="56">
        <f t="shared" si="27"/>
        <v>-6.1583739328125109</v>
      </c>
      <c r="H201" s="56">
        <f t="shared" si="27"/>
        <v>11.851546957031246</v>
      </c>
      <c r="I201" s="56">
        <f t="shared" si="27"/>
        <v>36.174908749218766</v>
      </c>
      <c r="J201" s="56">
        <f t="shared" si="27"/>
        <v>65.695672311609385</v>
      </c>
      <c r="K201" s="56">
        <f t="shared" si="27"/>
        <v>99.2874887738311</v>
      </c>
      <c r="L201" s="56">
        <f t="shared" si="27"/>
        <v>123.51845657051436</v>
      </c>
      <c r="M201" s="56">
        <f t="shared" si="27"/>
        <v>140.34162137255396</v>
      </c>
      <c r="N201" s="56">
        <f t="shared" si="27"/>
        <v>145.07152922288714</v>
      </c>
    </row>
    <row r="202" spans="1:14" s="58" customFormat="1" ht="12">
      <c r="A202" s="165" t="s">
        <v>135</v>
      </c>
      <c r="B202" s="165"/>
      <c r="D202" s="59">
        <f t="shared" ref="D202:N202" si="28">D201/D163</f>
        <v>-0.3000000000000001</v>
      </c>
      <c r="E202" s="59">
        <f t="shared" si="28"/>
        <v>-0.21149999999999997</v>
      </c>
      <c r="F202" s="59">
        <f t="shared" si="28"/>
        <v>-0.12325000000000003</v>
      </c>
      <c r="G202" s="59">
        <f t="shared" si="28"/>
        <v>-3.4750000000000066E-2</v>
      </c>
      <c r="H202" s="59">
        <f t="shared" si="28"/>
        <v>5.3499999999999985E-2</v>
      </c>
      <c r="I202" s="59">
        <f t="shared" si="28"/>
        <v>0.14200000000000007</v>
      </c>
      <c r="J202" s="59">
        <f t="shared" si="28"/>
        <v>0.23025000000000001</v>
      </c>
      <c r="K202" s="59">
        <f t="shared" si="28"/>
        <v>0.31924999999999998</v>
      </c>
      <c r="L202" s="59">
        <f t="shared" si="28"/>
        <v>0.37825000000000003</v>
      </c>
      <c r="M202" s="59">
        <f t="shared" si="28"/>
        <v>0.41725000000000012</v>
      </c>
      <c r="N202" s="59">
        <f t="shared" si="28"/>
        <v>0.41874999999999996</v>
      </c>
    </row>
    <row r="204" spans="1:14">
      <c r="A204" s="166" t="s">
        <v>145</v>
      </c>
      <c r="B204" s="166"/>
      <c r="D204" s="61">
        <f>D201/(1+$D$208)^(D161-0.5)</f>
        <v>-16.29710368753295</v>
      </c>
      <c r="E204" s="61">
        <f t="shared" ref="E204:N204" si="29">E201/(1+$D$208)^(E161-0.5)</f>
        <v>-17.039450571604892</v>
      </c>
      <c r="F204" s="61">
        <f t="shared" si="29"/>
        <v>-12.622384198523282</v>
      </c>
      <c r="G204" s="61">
        <f t="shared" si="29"/>
        <v>-4.0715618572779899</v>
      </c>
      <c r="H204" s="61">
        <f t="shared" si="29"/>
        <v>6.6403048214965246</v>
      </c>
      <c r="I204" s="61">
        <f t="shared" si="29"/>
        <v>17.176647827504887</v>
      </c>
      <c r="J204" s="61">
        <f t="shared" si="29"/>
        <v>26.435389960354257</v>
      </c>
      <c r="K204" s="61">
        <f t="shared" si="29"/>
        <v>33.858013901172171</v>
      </c>
      <c r="L204" s="61">
        <f t="shared" si="29"/>
        <v>35.695773850322659</v>
      </c>
      <c r="M204" s="61">
        <f t="shared" si="29"/>
        <v>34.370783129753541</v>
      </c>
      <c r="N204" s="61">
        <f t="shared" si="29"/>
        <v>30.109470602820771</v>
      </c>
    </row>
    <row r="205" spans="1:14" s="142" customFormat="1" ht="10.8">
      <c r="A205" s="142" t="s">
        <v>146</v>
      </c>
      <c r="D205" s="143">
        <f>SUM(C204:D204)</f>
        <v>-16.29710368753295</v>
      </c>
      <c r="E205" s="143">
        <f>SUM(D204:E204)</f>
        <v>-33.336554259137841</v>
      </c>
      <c r="F205" s="143">
        <f xml:space="preserve"> SUM(F204,E205)</f>
        <v>-45.95893845766112</v>
      </c>
      <c r="G205" s="143">
        <f t="shared" ref="G205:N205" si="30" xml:space="preserve"> SUM(G204,F205)</f>
        <v>-50.030500314939111</v>
      </c>
      <c r="H205" s="143">
        <f t="shared" si="30"/>
        <v>-43.39019549344259</v>
      </c>
      <c r="I205" s="143">
        <f t="shared" si="30"/>
        <v>-26.213547665937703</v>
      </c>
      <c r="J205" s="143">
        <f t="shared" si="30"/>
        <v>0.2218422944165539</v>
      </c>
      <c r="K205" s="143">
        <f t="shared" si="30"/>
        <v>34.079856195588725</v>
      </c>
      <c r="L205" s="143">
        <f t="shared" si="30"/>
        <v>69.775630045911385</v>
      </c>
      <c r="M205" s="143">
        <f t="shared" si="30"/>
        <v>104.14641317566492</v>
      </c>
      <c r="N205" s="143">
        <f t="shared" si="30"/>
        <v>134.2558837784857</v>
      </c>
    </row>
    <row r="206" spans="1:14"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</row>
    <row r="207" spans="1:14" s="3" customFormat="1">
      <c r="A207" s="2" t="s">
        <v>130</v>
      </c>
    </row>
    <row r="208" spans="1:14">
      <c r="A208" s="161" t="s">
        <v>147</v>
      </c>
      <c r="B208" s="162"/>
      <c r="C208" s="163"/>
      <c r="D208" s="63">
        <f>CHOOSE(ASSUMPTIONS!E5,ASSUMPTIONS!D32,ASSUMPTIONS!D33,ASSUMPTIONS!D34)</f>
        <v>0.18</v>
      </c>
    </row>
    <row r="209" spans="1:4">
      <c r="A209" s="161" t="s">
        <v>148</v>
      </c>
      <c r="B209" s="162"/>
      <c r="C209" s="163"/>
      <c r="D209" s="63">
        <f>CHOOSE(ASSUMPTIONS!E5,ASSUMPTIONS!E32,ASSUMPTIONS!E33,ASSUMPTIONS!E34)</f>
        <v>3.5000000000000003E-2</v>
      </c>
    </row>
    <row r="210" spans="1:4">
      <c r="A210" s="160" t="s">
        <v>149</v>
      </c>
      <c r="B210" s="160"/>
      <c r="C210" s="160"/>
      <c r="D210" s="64">
        <f>N201*(1+D209)/(D208-D209)</f>
        <v>1035.5105706599186</v>
      </c>
    </row>
    <row r="211" spans="1:4">
      <c r="A211" s="160" t="s">
        <v>150</v>
      </c>
      <c r="B211" s="160"/>
      <c r="C211" s="160"/>
      <c r="D211" s="64">
        <f xml:space="preserve"> D210/(1+D208)^N161</f>
        <v>197.84927516654113</v>
      </c>
    </row>
    <row r="212" spans="1:4">
      <c r="A212" s="160" t="s">
        <v>732</v>
      </c>
      <c r="B212" s="160"/>
      <c r="C212" s="160"/>
      <c r="D212" s="64">
        <f>SUM(D201:N201)</f>
        <v>566.09109461858338</v>
      </c>
    </row>
    <row r="213" spans="1:4">
      <c r="D213" s="65"/>
    </row>
    <row r="214" spans="1:4">
      <c r="A214" s="161" t="s">
        <v>151</v>
      </c>
      <c r="B214" s="162"/>
      <c r="C214" s="163"/>
      <c r="D214" s="66">
        <f>SUM(D211:D212)</f>
        <v>763.94036978512452</v>
      </c>
    </row>
    <row r="215" spans="1:4">
      <c r="A215" s="161" t="s">
        <v>152</v>
      </c>
      <c r="B215" s="162"/>
      <c r="C215" s="163"/>
      <c r="D215" s="66">
        <f>D214</f>
        <v>763.94036978512452</v>
      </c>
    </row>
    <row r="216" spans="1:4">
      <c r="A216" s="161" t="s">
        <v>153</v>
      </c>
      <c r="B216" s="162"/>
      <c r="C216" s="163"/>
      <c r="D216" s="67">
        <f>-D214/SUM(D204:F204)</f>
        <v>16.62223705381906</v>
      </c>
    </row>
    <row r="218" spans="1:4">
      <c r="A218" s="160" t="s">
        <v>154</v>
      </c>
      <c r="B218" s="160"/>
      <c r="C218" s="160"/>
      <c r="D218" s="68">
        <f xml:space="preserve"> 5+(-I205/J204)</f>
        <v>5.9916081323275634</v>
      </c>
    </row>
  </sheetData>
  <mergeCells count="2798">
    <mergeCell ref="A1:F1"/>
    <mergeCell ref="A3:D3"/>
    <mergeCell ref="E3:F3"/>
    <mergeCell ref="G3:H3"/>
    <mergeCell ref="A4:D4"/>
    <mergeCell ref="E4:F4"/>
    <mergeCell ref="G4:H4"/>
    <mergeCell ref="A13:D13"/>
    <mergeCell ref="E13:F13"/>
    <mergeCell ref="G13:H13"/>
    <mergeCell ref="E14:F14"/>
    <mergeCell ref="G14:H14"/>
    <mergeCell ref="A17:B17"/>
    <mergeCell ref="E17:F17"/>
    <mergeCell ref="A9:D9"/>
    <mergeCell ref="E9:F9"/>
    <mergeCell ref="G9:H9"/>
    <mergeCell ref="E10:F10"/>
    <mergeCell ref="G10:H10"/>
    <mergeCell ref="A12:D12"/>
    <mergeCell ref="E12:F12"/>
    <mergeCell ref="G12:H12"/>
    <mergeCell ref="A5:D5"/>
    <mergeCell ref="E5:F5"/>
    <mergeCell ref="G5:H5"/>
    <mergeCell ref="E6:F6"/>
    <mergeCell ref="G6:H6"/>
    <mergeCell ref="A8:D8"/>
    <mergeCell ref="E8:F8"/>
    <mergeCell ref="G8:H8"/>
    <mergeCell ref="A27:D27"/>
    <mergeCell ref="H27:K27"/>
    <mergeCell ref="A30:D30"/>
    <mergeCell ref="H30:K30"/>
    <mergeCell ref="A31:D31"/>
    <mergeCell ref="H31:K31"/>
    <mergeCell ref="A24:D24"/>
    <mergeCell ref="H24:K24"/>
    <mergeCell ref="A25:D25"/>
    <mergeCell ref="H25:K25"/>
    <mergeCell ref="A26:D26"/>
    <mergeCell ref="H26:K26"/>
    <mergeCell ref="A19:F19"/>
    <mergeCell ref="H19:M19"/>
    <mergeCell ref="A22:D22"/>
    <mergeCell ref="H22:K22"/>
    <mergeCell ref="A23:D23"/>
    <mergeCell ref="H23:K23"/>
    <mergeCell ref="A40:E40"/>
    <mergeCell ref="H40:L40"/>
    <mergeCell ref="A41:D41"/>
    <mergeCell ref="H41:K41"/>
    <mergeCell ref="A42:D42"/>
    <mergeCell ref="H42:K42"/>
    <mergeCell ref="A36:D36"/>
    <mergeCell ref="H36:K36"/>
    <mergeCell ref="A37:D37"/>
    <mergeCell ref="H37:K37"/>
    <mergeCell ref="A38:D38"/>
    <mergeCell ref="H38:K38"/>
    <mergeCell ref="A32:D32"/>
    <mergeCell ref="H32:K32"/>
    <mergeCell ref="A33:D33"/>
    <mergeCell ref="H33:K33"/>
    <mergeCell ref="A35:D35"/>
    <mergeCell ref="H35:K35"/>
    <mergeCell ref="A77:C77"/>
    <mergeCell ref="D77:L77"/>
    <mergeCell ref="A78:C78"/>
    <mergeCell ref="D78:L78"/>
    <mergeCell ref="A79:C79"/>
    <mergeCell ref="D79:L79"/>
    <mergeCell ref="A47:D47"/>
    <mergeCell ref="H47:K47"/>
    <mergeCell ref="A48:D48"/>
    <mergeCell ref="H48:K48"/>
    <mergeCell ref="A73:B73"/>
    <mergeCell ref="A76:C76"/>
    <mergeCell ref="D76:L76"/>
    <mergeCell ref="A43:D43"/>
    <mergeCell ref="H43:K43"/>
    <mergeCell ref="A45:D45"/>
    <mergeCell ref="H45:K45"/>
    <mergeCell ref="A46:D46"/>
    <mergeCell ref="H46:K46"/>
    <mergeCell ref="A86:C86"/>
    <mergeCell ref="D86:L86"/>
    <mergeCell ref="A89:C89"/>
    <mergeCell ref="D89:E89"/>
    <mergeCell ref="J89:K89"/>
    <mergeCell ref="L89:N89"/>
    <mergeCell ref="A83:C83"/>
    <mergeCell ref="D83:L83"/>
    <mergeCell ref="A84:C84"/>
    <mergeCell ref="D84:L84"/>
    <mergeCell ref="A85:C85"/>
    <mergeCell ref="D85:L85"/>
    <mergeCell ref="A80:C80"/>
    <mergeCell ref="D80:L80"/>
    <mergeCell ref="A81:C81"/>
    <mergeCell ref="D81:L81"/>
    <mergeCell ref="A82:C82"/>
    <mergeCell ref="D82:L82"/>
    <mergeCell ref="P94:Q95"/>
    <mergeCell ref="R94:S95"/>
    <mergeCell ref="T94:AA95"/>
    <mergeCell ref="A96:AA96"/>
    <mergeCell ref="AB96:BB96"/>
    <mergeCell ref="BC96:CC96"/>
    <mergeCell ref="A92:C92"/>
    <mergeCell ref="D92:E92"/>
    <mergeCell ref="G92:H92"/>
    <mergeCell ref="J92:K92"/>
    <mergeCell ref="L92:N92"/>
    <mergeCell ref="A94:D95"/>
    <mergeCell ref="E94:F95"/>
    <mergeCell ref="G94:K95"/>
    <mergeCell ref="L94:M94"/>
    <mergeCell ref="N94:O94"/>
    <mergeCell ref="A90:C90"/>
    <mergeCell ref="D90:E90"/>
    <mergeCell ref="G90:H90"/>
    <mergeCell ref="J90:K90"/>
    <mergeCell ref="L90:N90"/>
    <mergeCell ref="A91:C91"/>
    <mergeCell ref="D91:E91"/>
    <mergeCell ref="G91:H91"/>
    <mergeCell ref="J91:K91"/>
    <mergeCell ref="L91:N91"/>
    <mergeCell ref="OP96:PP96"/>
    <mergeCell ref="PQ96:QQ96"/>
    <mergeCell ref="QR96:RR96"/>
    <mergeCell ref="RS96:SS96"/>
    <mergeCell ref="ST96:TT96"/>
    <mergeCell ref="TU96:UU96"/>
    <mergeCell ref="IJ96:JJ96"/>
    <mergeCell ref="JK96:KK96"/>
    <mergeCell ref="KL96:LL96"/>
    <mergeCell ref="LM96:MM96"/>
    <mergeCell ref="MN96:NN96"/>
    <mergeCell ref="NO96:OO96"/>
    <mergeCell ref="CD96:DD96"/>
    <mergeCell ref="DE96:EE96"/>
    <mergeCell ref="EF96:FF96"/>
    <mergeCell ref="FG96:GG96"/>
    <mergeCell ref="GH96:HH96"/>
    <mergeCell ref="HI96:II96"/>
    <mergeCell ref="AHH96:AIH96"/>
    <mergeCell ref="AII96:AJI96"/>
    <mergeCell ref="AJJ96:AKJ96"/>
    <mergeCell ref="AKK96:ALK96"/>
    <mergeCell ref="ALL96:AML96"/>
    <mergeCell ref="AMM96:ANM96"/>
    <mergeCell ref="ABB96:ACB96"/>
    <mergeCell ref="ACC96:ADC96"/>
    <mergeCell ref="ADD96:AED96"/>
    <mergeCell ref="AEE96:AFE96"/>
    <mergeCell ref="AFF96:AGF96"/>
    <mergeCell ref="AGG96:AHG96"/>
    <mergeCell ref="UV96:VV96"/>
    <mergeCell ref="VW96:WW96"/>
    <mergeCell ref="WX96:XX96"/>
    <mergeCell ref="XY96:YY96"/>
    <mergeCell ref="YZ96:ZZ96"/>
    <mergeCell ref="AAA96:ABA96"/>
    <mergeCell ref="AZZ96:BAZ96"/>
    <mergeCell ref="BBA96:BCA96"/>
    <mergeCell ref="BCB96:BDB96"/>
    <mergeCell ref="BDC96:BEC96"/>
    <mergeCell ref="BED96:BFD96"/>
    <mergeCell ref="BFE96:BGE96"/>
    <mergeCell ref="ATT96:AUT96"/>
    <mergeCell ref="AUU96:AVU96"/>
    <mergeCell ref="AVV96:AWV96"/>
    <mergeCell ref="AWW96:AXW96"/>
    <mergeCell ref="AXX96:AYX96"/>
    <mergeCell ref="AYY96:AZY96"/>
    <mergeCell ref="ANN96:AON96"/>
    <mergeCell ref="AOO96:APO96"/>
    <mergeCell ref="APP96:AQP96"/>
    <mergeCell ref="AQQ96:ARQ96"/>
    <mergeCell ref="ARR96:ASR96"/>
    <mergeCell ref="ASS96:ATS96"/>
    <mergeCell ref="BSR96:BTR96"/>
    <mergeCell ref="BTS96:BUS96"/>
    <mergeCell ref="BUT96:BVT96"/>
    <mergeCell ref="BVU96:BWU96"/>
    <mergeCell ref="BWV96:BXV96"/>
    <mergeCell ref="BXW96:BYW96"/>
    <mergeCell ref="BML96:BNL96"/>
    <mergeCell ref="BNM96:BOM96"/>
    <mergeCell ref="BON96:BPN96"/>
    <mergeCell ref="BPO96:BQO96"/>
    <mergeCell ref="BQP96:BRP96"/>
    <mergeCell ref="BRQ96:BSQ96"/>
    <mergeCell ref="BGF96:BHF96"/>
    <mergeCell ref="BHG96:BIG96"/>
    <mergeCell ref="BIH96:BJH96"/>
    <mergeCell ref="BJI96:BKI96"/>
    <mergeCell ref="BKJ96:BLJ96"/>
    <mergeCell ref="BLK96:BMK96"/>
    <mergeCell ref="CLJ96:CMJ96"/>
    <mergeCell ref="CMK96:CNK96"/>
    <mergeCell ref="CNL96:COL96"/>
    <mergeCell ref="COM96:CPM96"/>
    <mergeCell ref="CPN96:CQN96"/>
    <mergeCell ref="CQO96:CRO96"/>
    <mergeCell ref="CFD96:CGD96"/>
    <mergeCell ref="CGE96:CHE96"/>
    <mergeCell ref="CHF96:CIF96"/>
    <mergeCell ref="CIG96:CJG96"/>
    <mergeCell ref="CJH96:CKH96"/>
    <mergeCell ref="CKI96:CLI96"/>
    <mergeCell ref="BYX96:BZX96"/>
    <mergeCell ref="BZY96:CAY96"/>
    <mergeCell ref="CAZ96:CBZ96"/>
    <mergeCell ref="CCA96:CDA96"/>
    <mergeCell ref="CDB96:CEB96"/>
    <mergeCell ref="CEC96:CFC96"/>
    <mergeCell ref="DEB96:DFB96"/>
    <mergeCell ref="DFC96:DGC96"/>
    <mergeCell ref="DGD96:DHD96"/>
    <mergeCell ref="DHE96:DIE96"/>
    <mergeCell ref="DIF96:DJF96"/>
    <mergeCell ref="DJG96:DKG96"/>
    <mergeCell ref="CXV96:CYV96"/>
    <mergeCell ref="CYW96:CZW96"/>
    <mergeCell ref="CZX96:DAX96"/>
    <mergeCell ref="DAY96:DBY96"/>
    <mergeCell ref="DBZ96:DCZ96"/>
    <mergeCell ref="DDA96:DEA96"/>
    <mergeCell ref="CRP96:CSP96"/>
    <mergeCell ref="CSQ96:CTQ96"/>
    <mergeCell ref="CTR96:CUR96"/>
    <mergeCell ref="CUS96:CVS96"/>
    <mergeCell ref="CVT96:CWT96"/>
    <mergeCell ref="CWU96:CXU96"/>
    <mergeCell ref="DWT96:DXT96"/>
    <mergeCell ref="DXU96:DYU96"/>
    <mergeCell ref="DYV96:DZV96"/>
    <mergeCell ref="DZW96:EAW96"/>
    <mergeCell ref="EAX96:EBX96"/>
    <mergeCell ref="EBY96:ECY96"/>
    <mergeCell ref="DQN96:DRN96"/>
    <mergeCell ref="DRO96:DSO96"/>
    <mergeCell ref="DSP96:DTP96"/>
    <mergeCell ref="DTQ96:DUQ96"/>
    <mergeCell ref="DUR96:DVR96"/>
    <mergeCell ref="DVS96:DWS96"/>
    <mergeCell ref="DKH96:DLH96"/>
    <mergeCell ref="DLI96:DMI96"/>
    <mergeCell ref="DMJ96:DNJ96"/>
    <mergeCell ref="DNK96:DOK96"/>
    <mergeCell ref="DOL96:DPL96"/>
    <mergeCell ref="DPM96:DQM96"/>
    <mergeCell ref="EPL96:EQL96"/>
    <mergeCell ref="EQM96:ERM96"/>
    <mergeCell ref="ERN96:ESN96"/>
    <mergeCell ref="ESO96:ETO96"/>
    <mergeCell ref="ETP96:EUP96"/>
    <mergeCell ref="EUQ96:EVQ96"/>
    <mergeCell ref="EJF96:EKF96"/>
    <mergeCell ref="EKG96:ELG96"/>
    <mergeCell ref="ELH96:EMH96"/>
    <mergeCell ref="EMI96:ENI96"/>
    <mergeCell ref="ENJ96:EOJ96"/>
    <mergeCell ref="EOK96:EPK96"/>
    <mergeCell ref="ECZ96:EDZ96"/>
    <mergeCell ref="EEA96:EFA96"/>
    <mergeCell ref="EFB96:EGB96"/>
    <mergeCell ref="EGC96:EHC96"/>
    <mergeCell ref="EHD96:EID96"/>
    <mergeCell ref="EIE96:EJE96"/>
    <mergeCell ref="FID96:FJD96"/>
    <mergeCell ref="FJE96:FKE96"/>
    <mergeCell ref="FKF96:FLF96"/>
    <mergeCell ref="FLG96:FMG96"/>
    <mergeCell ref="FMH96:FNH96"/>
    <mergeCell ref="FNI96:FOI96"/>
    <mergeCell ref="FBX96:FCX96"/>
    <mergeCell ref="FCY96:FDY96"/>
    <mergeCell ref="FDZ96:FEZ96"/>
    <mergeCell ref="FFA96:FGA96"/>
    <mergeCell ref="FGB96:FHB96"/>
    <mergeCell ref="FHC96:FIC96"/>
    <mergeCell ref="EVR96:EWR96"/>
    <mergeCell ref="EWS96:EXS96"/>
    <mergeCell ref="EXT96:EYT96"/>
    <mergeCell ref="EYU96:EZU96"/>
    <mergeCell ref="EZV96:FAV96"/>
    <mergeCell ref="FAW96:FBW96"/>
    <mergeCell ref="GAV96:GBV96"/>
    <mergeCell ref="GBW96:GCW96"/>
    <mergeCell ref="GCX96:GDX96"/>
    <mergeCell ref="GDY96:GEY96"/>
    <mergeCell ref="GEZ96:GFZ96"/>
    <mergeCell ref="GGA96:GHA96"/>
    <mergeCell ref="FUP96:FVP96"/>
    <mergeCell ref="FVQ96:FWQ96"/>
    <mergeCell ref="FWR96:FXR96"/>
    <mergeCell ref="FXS96:FYS96"/>
    <mergeCell ref="FYT96:FZT96"/>
    <mergeCell ref="FZU96:GAU96"/>
    <mergeCell ref="FOJ96:FPJ96"/>
    <mergeCell ref="FPK96:FQK96"/>
    <mergeCell ref="FQL96:FRL96"/>
    <mergeCell ref="FRM96:FSM96"/>
    <mergeCell ref="FSN96:FTN96"/>
    <mergeCell ref="FTO96:FUO96"/>
    <mergeCell ref="GTN96:GUN96"/>
    <mergeCell ref="GUO96:GVO96"/>
    <mergeCell ref="GVP96:GWP96"/>
    <mergeCell ref="GWQ96:GXQ96"/>
    <mergeCell ref="GXR96:GYR96"/>
    <mergeCell ref="GYS96:GZS96"/>
    <mergeCell ref="GNH96:GOH96"/>
    <mergeCell ref="GOI96:GPI96"/>
    <mergeCell ref="GPJ96:GQJ96"/>
    <mergeCell ref="GQK96:GRK96"/>
    <mergeCell ref="GRL96:GSL96"/>
    <mergeCell ref="GSM96:GTM96"/>
    <mergeCell ref="GHB96:GIB96"/>
    <mergeCell ref="GIC96:GJC96"/>
    <mergeCell ref="GJD96:GKD96"/>
    <mergeCell ref="GKE96:GLE96"/>
    <mergeCell ref="GLF96:GMF96"/>
    <mergeCell ref="GMG96:GNG96"/>
    <mergeCell ref="HMF96:HNF96"/>
    <mergeCell ref="HNG96:HOG96"/>
    <mergeCell ref="HOH96:HPH96"/>
    <mergeCell ref="HPI96:HQI96"/>
    <mergeCell ref="HQJ96:HRJ96"/>
    <mergeCell ref="HRK96:HSK96"/>
    <mergeCell ref="HFZ96:HGZ96"/>
    <mergeCell ref="HHA96:HIA96"/>
    <mergeCell ref="HIB96:HJB96"/>
    <mergeCell ref="HJC96:HKC96"/>
    <mergeCell ref="HKD96:HLD96"/>
    <mergeCell ref="HLE96:HME96"/>
    <mergeCell ref="GZT96:HAT96"/>
    <mergeCell ref="HAU96:HBU96"/>
    <mergeCell ref="HBV96:HCV96"/>
    <mergeCell ref="HCW96:HDW96"/>
    <mergeCell ref="HDX96:HEX96"/>
    <mergeCell ref="HEY96:HFY96"/>
    <mergeCell ref="IEX96:IFX96"/>
    <mergeCell ref="IFY96:IGY96"/>
    <mergeCell ref="IGZ96:IHZ96"/>
    <mergeCell ref="IIA96:IJA96"/>
    <mergeCell ref="IJB96:IKB96"/>
    <mergeCell ref="IKC96:ILC96"/>
    <mergeCell ref="HYR96:HZR96"/>
    <mergeCell ref="HZS96:IAS96"/>
    <mergeCell ref="IAT96:IBT96"/>
    <mergeCell ref="IBU96:ICU96"/>
    <mergeCell ref="ICV96:IDV96"/>
    <mergeCell ref="IDW96:IEW96"/>
    <mergeCell ref="HSL96:HTL96"/>
    <mergeCell ref="HTM96:HUM96"/>
    <mergeCell ref="HUN96:HVN96"/>
    <mergeCell ref="HVO96:HWO96"/>
    <mergeCell ref="HWP96:HXP96"/>
    <mergeCell ref="HXQ96:HYQ96"/>
    <mergeCell ref="IXP96:IYP96"/>
    <mergeCell ref="IYQ96:IZQ96"/>
    <mergeCell ref="IZR96:JAR96"/>
    <mergeCell ref="JAS96:JBS96"/>
    <mergeCell ref="JBT96:JCT96"/>
    <mergeCell ref="JCU96:JDU96"/>
    <mergeCell ref="IRJ96:ISJ96"/>
    <mergeCell ref="ISK96:ITK96"/>
    <mergeCell ref="ITL96:IUL96"/>
    <mergeCell ref="IUM96:IVM96"/>
    <mergeCell ref="IVN96:IWN96"/>
    <mergeCell ref="IWO96:IXO96"/>
    <mergeCell ref="ILD96:IMD96"/>
    <mergeCell ref="IME96:INE96"/>
    <mergeCell ref="INF96:IOF96"/>
    <mergeCell ref="IOG96:IPG96"/>
    <mergeCell ref="IPH96:IQH96"/>
    <mergeCell ref="IQI96:IRI96"/>
    <mergeCell ref="JQH96:JRH96"/>
    <mergeCell ref="JRI96:JSI96"/>
    <mergeCell ref="JSJ96:JTJ96"/>
    <mergeCell ref="JTK96:JUK96"/>
    <mergeCell ref="JUL96:JVL96"/>
    <mergeCell ref="JVM96:JWM96"/>
    <mergeCell ref="JKB96:JLB96"/>
    <mergeCell ref="JLC96:JMC96"/>
    <mergeCell ref="JMD96:JND96"/>
    <mergeCell ref="JNE96:JOE96"/>
    <mergeCell ref="JOF96:JPF96"/>
    <mergeCell ref="JPG96:JQG96"/>
    <mergeCell ref="JDV96:JEV96"/>
    <mergeCell ref="JEW96:JFW96"/>
    <mergeCell ref="JFX96:JGX96"/>
    <mergeCell ref="JGY96:JHY96"/>
    <mergeCell ref="JHZ96:JIZ96"/>
    <mergeCell ref="JJA96:JKA96"/>
    <mergeCell ref="KIZ96:KJZ96"/>
    <mergeCell ref="KKA96:KLA96"/>
    <mergeCell ref="KLB96:KMB96"/>
    <mergeCell ref="KMC96:KNC96"/>
    <mergeCell ref="KND96:KOD96"/>
    <mergeCell ref="KOE96:KPE96"/>
    <mergeCell ref="KCT96:KDT96"/>
    <mergeCell ref="KDU96:KEU96"/>
    <mergeCell ref="KEV96:KFV96"/>
    <mergeCell ref="KFW96:KGW96"/>
    <mergeCell ref="KGX96:KHX96"/>
    <mergeCell ref="KHY96:KIY96"/>
    <mergeCell ref="JWN96:JXN96"/>
    <mergeCell ref="JXO96:JYO96"/>
    <mergeCell ref="JYP96:JZP96"/>
    <mergeCell ref="JZQ96:KAQ96"/>
    <mergeCell ref="KAR96:KBR96"/>
    <mergeCell ref="KBS96:KCS96"/>
    <mergeCell ref="LBR96:LCR96"/>
    <mergeCell ref="LCS96:LDS96"/>
    <mergeCell ref="LDT96:LET96"/>
    <mergeCell ref="LEU96:LFU96"/>
    <mergeCell ref="LFV96:LGV96"/>
    <mergeCell ref="LGW96:LHW96"/>
    <mergeCell ref="KVL96:KWL96"/>
    <mergeCell ref="KWM96:KXM96"/>
    <mergeCell ref="KXN96:KYN96"/>
    <mergeCell ref="KYO96:KZO96"/>
    <mergeCell ref="KZP96:LAP96"/>
    <mergeCell ref="LAQ96:LBQ96"/>
    <mergeCell ref="KPF96:KQF96"/>
    <mergeCell ref="KQG96:KRG96"/>
    <mergeCell ref="KRH96:KSH96"/>
    <mergeCell ref="KSI96:KTI96"/>
    <mergeCell ref="KTJ96:KUJ96"/>
    <mergeCell ref="KUK96:KVK96"/>
    <mergeCell ref="LUJ96:LVJ96"/>
    <mergeCell ref="LVK96:LWK96"/>
    <mergeCell ref="LWL96:LXL96"/>
    <mergeCell ref="LXM96:LYM96"/>
    <mergeCell ref="LYN96:LZN96"/>
    <mergeCell ref="LZO96:MAO96"/>
    <mergeCell ref="LOD96:LPD96"/>
    <mergeCell ref="LPE96:LQE96"/>
    <mergeCell ref="LQF96:LRF96"/>
    <mergeCell ref="LRG96:LSG96"/>
    <mergeCell ref="LSH96:LTH96"/>
    <mergeCell ref="LTI96:LUI96"/>
    <mergeCell ref="LHX96:LIX96"/>
    <mergeCell ref="LIY96:LJY96"/>
    <mergeCell ref="LJZ96:LKZ96"/>
    <mergeCell ref="LLA96:LMA96"/>
    <mergeCell ref="LMB96:LNB96"/>
    <mergeCell ref="LNC96:LOC96"/>
    <mergeCell ref="MNB96:MOB96"/>
    <mergeCell ref="MOC96:MPC96"/>
    <mergeCell ref="MPD96:MQD96"/>
    <mergeCell ref="MQE96:MRE96"/>
    <mergeCell ref="MRF96:MSF96"/>
    <mergeCell ref="MSG96:MTG96"/>
    <mergeCell ref="MGV96:MHV96"/>
    <mergeCell ref="MHW96:MIW96"/>
    <mergeCell ref="MIX96:MJX96"/>
    <mergeCell ref="MJY96:MKY96"/>
    <mergeCell ref="MKZ96:MLZ96"/>
    <mergeCell ref="MMA96:MNA96"/>
    <mergeCell ref="MAP96:MBP96"/>
    <mergeCell ref="MBQ96:MCQ96"/>
    <mergeCell ref="MCR96:MDR96"/>
    <mergeCell ref="MDS96:MES96"/>
    <mergeCell ref="MET96:MFT96"/>
    <mergeCell ref="MFU96:MGU96"/>
    <mergeCell ref="NFT96:NGT96"/>
    <mergeCell ref="NGU96:NHU96"/>
    <mergeCell ref="NHV96:NIV96"/>
    <mergeCell ref="NIW96:NJW96"/>
    <mergeCell ref="NJX96:NKX96"/>
    <mergeCell ref="NKY96:NLY96"/>
    <mergeCell ref="MZN96:NAN96"/>
    <mergeCell ref="NAO96:NBO96"/>
    <mergeCell ref="NBP96:NCP96"/>
    <mergeCell ref="NCQ96:NDQ96"/>
    <mergeCell ref="NDR96:NER96"/>
    <mergeCell ref="NES96:NFS96"/>
    <mergeCell ref="MTH96:MUH96"/>
    <mergeCell ref="MUI96:MVI96"/>
    <mergeCell ref="MVJ96:MWJ96"/>
    <mergeCell ref="MWK96:MXK96"/>
    <mergeCell ref="MXL96:MYL96"/>
    <mergeCell ref="MYM96:MZM96"/>
    <mergeCell ref="NYL96:NZL96"/>
    <mergeCell ref="NZM96:OAM96"/>
    <mergeCell ref="OAN96:OBN96"/>
    <mergeCell ref="OBO96:OCO96"/>
    <mergeCell ref="OCP96:ODP96"/>
    <mergeCell ref="ODQ96:OEQ96"/>
    <mergeCell ref="NSF96:NTF96"/>
    <mergeCell ref="NTG96:NUG96"/>
    <mergeCell ref="NUH96:NVH96"/>
    <mergeCell ref="NVI96:NWI96"/>
    <mergeCell ref="NWJ96:NXJ96"/>
    <mergeCell ref="NXK96:NYK96"/>
    <mergeCell ref="NLZ96:NMZ96"/>
    <mergeCell ref="NNA96:NOA96"/>
    <mergeCell ref="NOB96:NPB96"/>
    <mergeCell ref="NPC96:NQC96"/>
    <mergeCell ref="NQD96:NRD96"/>
    <mergeCell ref="NRE96:NSE96"/>
    <mergeCell ref="ORD96:OSD96"/>
    <mergeCell ref="OSE96:OTE96"/>
    <mergeCell ref="OTF96:OUF96"/>
    <mergeCell ref="OUG96:OVG96"/>
    <mergeCell ref="OVH96:OWH96"/>
    <mergeCell ref="OWI96:OXI96"/>
    <mergeCell ref="OKX96:OLX96"/>
    <mergeCell ref="OLY96:OMY96"/>
    <mergeCell ref="OMZ96:ONZ96"/>
    <mergeCell ref="OOA96:OPA96"/>
    <mergeCell ref="OPB96:OQB96"/>
    <mergeCell ref="OQC96:ORC96"/>
    <mergeCell ref="OER96:OFR96"/>
    <mergeCell ref="OFS96:OGS96"/>
    <mergeCell ref="OGT96:OHT96"/>
    <mergeCell ref="OHU96:OIU96"/>
    <mergeCell ref="OIV96:OJV96"/>
    <mergeCell ref="OJW96:OKW96"/>
    <mergeCell ref="PJV96:PKV96"/>
    <mergeCell ref="PKW96:PLW96"/>
    <mergeCell ref="PLX96:PMX96"/>
    <mergeCell ref="PMY96:PNY96"/>
    <mergeCell ref="PNZ96:POZ96"/>
    <mergeCell ref="PPA96:PQA96"/>
    <mergeCell ref="PDP96:PEP96"/>
    <mergeCell ref="PEQ96:PFQ96"/>
    <mergeCell ref="PFR96:PGR96"/>
    <mergeCell ref="PGS96:PHS96"/>
    <mergeCell ref="PHT96:PIT96"/>
    <mergeCell ref="PIU96:PJU96"/>
    <mergeCell ref="OXJ96:OYJ96"/>
    <mergeCell ref="OYK96:OZK96"/>
    <mergeCell ref="OZL96:PAL96"/>
    <mergeCell ref="PAM96:PBM96"/>
    <mergeCell ref="PBN96:PCN96"/>
    <mergeCell ref="PCO96:PDO96"/>
    <mergeCell ref="QCN96:QDN96"/>
    <mergeCell ref="QDO96:QEO96"/>
    <mergeCell ref="QEP96:QFP96"/>
    <mergeCell ref="QFQ96:QGQ96"/>
    <mergeCell ref="QGR96:QHR96"/>
    <mergeCell ref="QHS96:QIS96"/>
    <mergeCell ref="PWH96:PXH96"/>
    <mergeCell ref="PXI96:PYI96"/>
    <mergeCell ref="PYJ96:PZJ96"/>
    <mergeCell ref="PZK96:QAK96"/>
    <mergeCell ref="QAL96:QBL96"/>
    <mergeCell ref="QBM96:QCM96"/>
    <mergeCell ref="PQB96:PRB96"/>
    <mergeCell ref="PRC96:PSC96"/>
    <mergeCell ref="PSD96:PTD96"/>
    <mergeCell ref="PTE96:PUE96"/>
    <mergeCell ref="PUF96:PVF96"/>
    <mergeCell ref="PVG96:PWG96"/>
    <mergeCell ref="QVF96:QWF96"/>
    <mergeCell ref="QWG96:QXG96"/>
    <mergeCell ref="QXH96:QYH96"/>
    <mergeCell ref="QYI96:QZI96"/>
    <mergeCell ref="QZJ96:RAJ96"/>
    <mergeCell ref="RAK96:RBK96"/>
    <mergeCell ref="QOZ96:QPZ96"/>
    <mergeCell ref="QQA96:QRA96"/>
    <mergeCell ref="QRB96:QSB96"/>
    <mergeCell ref="QSC96:QTC96"/>
    <mergeCell ref="QTD96:QUD96"/>
    <mergeCell ref="QUE96:QVE96"/>
    <mergeCell ref="QIT96:QJT96"/>
    <mergeCell ref="QJU96:QKU96"/>
    <mergeCell ref="QKV96:QLV96"/>
    <mergeCell ref="QLW96:QMW96"/>
    <mergeCell ref="QMX96:QNX96"/>
    <mergeCell ref="QNY96:QOY96"/>
    <mergeCell ref="RNX96:ROX96"/>
    <mergeCell ref="ROY96:RPY96"/>
    <mergeCell ref="RPZ96:RQZ96"/>
    <mergeCell ref="RRA96:RSA96"/>
    <mergeCell ref="RSB96:RTB96"/>
    <mergeCell ref="RTC96:RUC96"/>
    <mergeCell ref="RHR96:RIR96"/>
    <mergeCell ref="RIS96:RJS96"/>
    <mergeCell ref="RJT96:RKT96"/>
    <mergeCell ref="RKU96:RLU96"/>
    <mergeCell ref="RLV96:RMV96"/>
    <mergeCell ref="RMW96:RNW96"/>
    <mergeCell ref="RBL96:RCL96"/>
    <mergeCell ref="RCM96:RDM96"/>
    <mergeCell ref="RDN96:REN96"/>
    <mergeCell ref="REO96:RFO96"/>
    <mergeCell ref="RFP96:RGP96"/>
    <mergeCell ref="RGQ96:RHQ96"/>
    <mergeCell ref="SGP96:SHP96"/>
    <mergeCell ref="SHQ96:SIQ96"/>
    <mergeCell ref="SIR96:SJR96"/>
    <mergeCell ref="SJS96:SKS96"/>
    <mergeCell ref="SKT96:SLT96"/>
    <mergeCell ref="SLU96:SMU96"/>
    <mergeCell ref="SAJ96:SBJ96"/>
    <mergeCell ref="SBK96:SCK96"/>
    <mergeCell ref="SCL96:SDL96"/>
    <mergeCell ref="SDM96:SEM96"/>
    <mergeCell ref="SEN96:SFN96"/>
    <mergeCell ref="SFO96:SGO96"/>
    <mergeCell ref="RUD96:RVD96"/>
    <mergeCell ref="RVE96:RWE96"/>
    <mergeCell ref="RWF96:RXF96"/>
    <mergeCell ref="RXG96:RYG96"/>
    <mergeCell ref="RYH96:RZH96"/>
    <mergeCell ref="RZI96:SAI96"/>
    <mergeCell ref="SZH96:TAH96"/>
    <mergeCell ref="TAI96:TBI96"/>
    <mergeCell ref="TBJ96:TCJ96"/>
    <mergeCell ref="TCK96:TDK96"/>
    <mergeCell ref="TDL96:TEL96"/>
    <mergeCell ref="TEM96:TFM96"/>
    <mergeCell ref="STB96:SUB96"/>
    <mergeCell ref="SUC96:SVC96"/>
    <mergeCell ref="SVD96:SWD96"/>
    <mergeCell ref="SWE96:SXE96"/>
    <mergeCell ref="SXF96:SYF96"/>
    <mergeCell ref="SYG96:SZG96"/>
    <mergeCell ref="SMV96:SNV96"/>
    <mergeCell ref="SNW96:SOW96"/>
    <mergeCell ref="SOX96:SPX96"/>
    <mergeCell ref="SPY96:SQY96"/>
    <mergeCell ref="SQZ96:SRZ96"/>
    <mergeCell ref="SSA96:STA96"/>
    <mergeCell ref="TRZ96:TSZ96"/>
    <mergeCell ref="TTA96:TUA96"/>
    <mergeCell ref="TUB96:TVB96"/>
    <mergeCell ref="TVC96:TWC96"/>
    <mergeCell ref="TWD96:TXD96"/>
    <mergeCell ref="TXE96:TYE96"/>
    <mergeCell ref="TLT96:TMT96"/>
    <mergeCell ref="TMU96:TNU96"/>
    <mergeCell ref="TNV96:TOV96"/>
    <mergeCell ref="TOW96:TPW96"/>
    <mergeCell ref="TPX96:TQX96"/>
    <mergeCell ref="TQY96:TRY96"/>
    <mergeCell ref="TFN96:TGN96"/>
    <mergeCell ref="TGO96:THO96"/>
    <mergeCell ref="THP96:TIP96"/>
    <mergeCell ref="TIQ96:TJQ96"/>
    <mergeCell ref="TJR96:TKR96"/>
    <mergeCell ref="TKS96:TLS96"/>
    <mergeCell ref="UKR96:ULR96"/>
    <mergeCell ref="ULS96:UMS96"/>
    <mergeCell ref="UMT96:UNT96"/>
    <mergeCell ref="UNU96:UOU96"/>
    <mergeCell ref="UOV96:UPV96"/>
    <mergeCell ref="UPW96:UQW96"/>
    <mergeCell ref="UEL96:UFL96"/>
    <mergeCell ref="UFM96:UGM96"/>
    <mergeCell ref="UGN96:UHN96"/>
    <mergeCell ref="UHO96:UIO96"/>
    <mergeCell ref="UIP96:UJP96"/>
    <mergeCell ref="UJQ96:UKQ96"/>
    <mergeCell ref="TYF96:TZF96"/>
    <mergeCell ref="TZG96:UAG96"/>
    <mergeCell ref="UAH96:UBH96"/>
    <mergeCell ref="UBI96:UCI96"/>
    <mergeCell ref="UCJ96:UDJ96"/>
    <mergeCell ref="UDK96:UEK96"/>
    <mergeCell ref="VDJ96:VEJ96"/>
    <mergeCell ref="VEK96:VFK96"/>
    <mergeCell ref="VFL96:VGL96"/>
    <mergeCell ref="VGM96:VHM96"/>
    <mergeCell ref="VHN96:VIN96"/>
    <mergeCell ref="VIO96:VJO96"/>
    <mergeCell ref="UXD96:UYD96"/>
    <mergeCell ref="UYE96:UZE96"/>
    <mergeCell ref="UZF96:VAF96"/>
    <mergeCell ref="VAG96:VBG96"/>
    <mergeCell ref="VBH96:VCH96"/>
    <mergeCell ref="VCI96:VDI96"/>
    <mergeCell ref="UQX96:URX96"/>
    <mergeCell ref="URY96:USY96"/>
    <mergeCell ref="USZ96:UTZ96"/>
    <mergeCell ref="UUA96:UVA96"/>
    <mergeCell ref="UVB96:UWB96"/>
    <mergeCell ref="UWC96:UXC96"/>
    <mergeCell ref="WGL96:WHL96"/>
    <mergeCell ref="WHM96:WIM96"/>
    <mergeCell ref="VWB96:VXB96"/>
    <mergeCell ref="VXC96:VYC96"/>
    <mergeCell ref="VYD96:VZD96"/>
    <mergeCell ref="VZE96:WAE96"/>
    <mergeCell ref="WAF96:WBF96"/>
    <mergeCell ref="WBG96:WCG96"/>
    <mergeCell ref="VPV96:VQV96"/>
    <mergeCell ref="VQW96:VRW96"/>
    <mergeCell ref="VRX96:VSX96"/>
    <mergeCell ref="VSY96:VTY96"/>
    <mergeCell ref="VTZ96:VUZ96"/>
    <mergeCell ref="VVA96:VWA96"/>
    <mergeCell ref="VJP96:VKP96"/>
    <mergeCell ref="VKQ96:VLQ96"/>
    <mergeCell ref="VLR96:VMR96"/>
    <mergeCell ref="VMS96:VNS96"/>
    <mergeCell ref="VNT96:VOT96"/>
    <mergeCell ref="VOU96:VPU96"/>
    <mergeCell ref="XBF96:XCF96"/>
    <mergeCell ref="XCG96:XDG96"/>
    <mergeCell ref="XDH96:XEH96"/>
    <mergeCell ref="XEI96:XFD96"/>
    <mergeCell ref="A97:D97"/>
    <mergeCell ref="E97:F97"/>
    <mergeCell ref="G97:K97"/>
    <mergeCell ref="P97:Q97"/>
    <mergeCell ref="R97:S97"/>
    <mergeCell ref="T97:AA97"/>
    <mergeCell ref="WUZ96:WVZ96"/>
    <mergeCell ref="WWA96:WXA96"/>
    <mergeCell ref="WXB96:WYB96"/>
    <mergeCell ref="WYC96:WZC96"/>
    <mergeCell ref="WZD96:XAD96"/>
    <mergeCell ref="XAE96:XBE96"/>
    <mergeCell ref="WOT96:WPT96"/>
    <mergeCell ref="WPU96:WQU96"/>
    <mergeCell ref="WQV96:WRV96"/>
    <mergeCell ref="WRW96:WSW96"/>
    <mergeCell ref="WSX96:WTX96"/>
    <mergeCell ref="WTY96:WUY96"/>
    <mergeCell ref="WIN96:WJN96"/>
    <mergeCell ref="WJO96:WKO96"/>
    <mergeCell ref="WKP96:WLP96"/>
    <mergeCell ref="WLQ96:WMQ96"/>
    <mergeCell ref="WMR96:WNR96"/>
    <mergeCell ref="WNS96:WOS96"/>
    <mergeCell ref="WCH96:WDH96"/>
    <mergeCell ref="WDI96:WEI96"/>
    <mergeCell ref="WEJ96:WFJ96"/>
    <mergeCell ref="WFK96:WGK96"/>
    <mergeCell ref="A100:D100"/>
    <mergeCell ref="E100:F100"/>
    <mergeCell ref="G100:K100"/>
    <mergeCell ref="P100:Q100"/>
    <mergeCell ref="R100:S100"/>
    <mergeCell ref="T100:AA100"/>
    <mergeCell ref="A99:D99"/>
    <mergeCell ref="E99:F99"/>
    <mergeCell ref="G99:K99"/>
    <mergeCell ref="P99:Q99"/>
    <mergeCell ref="R99:S99"/>
    <mergeCell ref="T99:AA99"/>
    <mergeCell ref="A98:D98"/>
    <mergeCell ref="E98:F98"/>
    <mergeCell ref="G98:K98"/>
    <mergeCell ref="P98:Q98"/>
    <mergeCell ref="R98:S98"/>
    <mergeCell ref="T98:AA98"/>
    <mergeCell ref="FG102:GG102"/>
    <mergeCell ref="GH102:HH102"/>
    <mergeCell ref="HI102:II102"/>
    <mergeCell ref="IJ102:JJ102"/>
    <mergeCell ref="JK102:KK102"/>
    <mergeCell ref="KL102:LL102"/>
    <mergeCell ref="A102:AA102"/>
    <mergeCell ref="AB102:BB102"/>
    <mergeCell ref="BC102:CC102"/>
    <mergeCell ref="CD102:DD102"/>
    <mergeCell ref="DE102:EE102"/>
    <mergeCell ref="EF102:FF102"/>
    <mergeCell ref="A101:D101"/>
    <mergeCell ref="E101:F101"/>
    <mergeCell ref="G101:K101"/>
    <mergeCell ref="P101:Q101"/>
    <mergeCell ref="R101:S101"/>
    <mergeCell ref="T101:AA101"/>
    <mergeCell ref="XY102:YY102"/>
    <mergeCell ref="YZ102:ZZ102"/>
    <mergeCell ref="AAA102:ABA102"/>
    <mergeCell ref="ABB102:ACB102"/>
    <mergeCell ref="ACC102:ADC102"/>
    <mergeCell ref="ADD102:AED102"/>
    <mergeCell ref="RS102:SS102"/>
    <mergeCell ref="ST102:TT102"/>
    <mergeCell ref="TU102:UU102"/>
    <mergeCell ref="UV102:VV102"/>
    <mergeCell ref="VW102:WW102"/>
    <mergeCell ref="WX102:XX102"/>
    <mergeCell ref="LM102:MM102"/>
    <mergeCell ref="MN102:NN102"/>
    <mergeCell ref="NO102:OO102"/>
    <mergeCell ref="OP102:PP102"/>
    <mergeCell ref="PQ102:QQ102"/>
    <mergeCell ref="QR102:RR102"/>
    <mergeCell ref="AQQ102:ARQ102"/>
    <mergeCell ref="ARR102:ASR102"/>
    <mergeCell ref="ASS102:ATS102"/>
    <mergeCell ref="ATT102:AUT102"/>
    <mergeCell ref="AUU102:AVU102"/>
    <mergeCell ref="AVV102:AWV102"/>
    <mergeCell ref="AKK102:ALK102"/>
    <mergeCell ref="ALL102:AML102"/>
    <mergeCell ref="AMM102:ANM102"/>
    <mergeCell ref="ANN102:AON102"/>
    <mergeCell ref="AOO102:APO102"/>
    <mergeCell ref="APP102:AQP102"/>
    <mergeCell ref="AEE102:AFE102"/>
    <mergeCell ref="AFF102:AGF102"/>
    <mergeCell ref="AGG102:AHG102"/>
    <mergeCell ref="AHH102:AIH102"/>
    <mergeCell ref="AII102:AJI102"/>
    <mergeCell ref="AJJ102:AKJ102"/>
    <mergeCell ref="BJI102:BKI102"/>
    <mergeCell ref="BKJ102:BLJ102"/>
    <mergeCell ref="BLK102:BMK102"/>
    <mergeCell ref="BML102:BNL102"/>
    <mergeCell ref="BNM102:BOM102"/>
    <mergeCell ref="BON102:BPN102"/>
    <mergeCell ref="BDC102:BEC102"/>
    <mergeCell ref="BED102:BFD102"/>
    <mergeCell ref="BFE102:BGE102"/>
    <mergeCell ref="BGF102:BHF102"/>
    <mergeCell ref="BHG102:BIG102"/>
    <mergeCell ref="BIH102:BJH102"/>
    <mergeCell ref="AWW102:AXW102"/>
    <mergeCell ref="AXX102:AYX102"/>
    <mergeCell ref="AYY102:AZY102"/>
    <mergeCell ref="AZZ102:BAZ102"/>
    <mergeCell ref="BBA102:BCA102"/>
    <mergeCell ref="BCB102:BDB102"/>
    <mergeCell ref="CCA102:CDA102"/>
    <mergeCell ref="CDB102:CEB102"/>
    <mergeCell ref="CEC102:CFC102"/>
    <mergeCell ref="CFD102:CGD102"/>
    <mergeCell ref="CGE102:CHE102"/>
    <mergeCell ref="CHF102:CIF102"/>
    <mergeCell ref="BVU102:BWU102"/>
    <mergeCell ref="BWV102:BXV102"/>
    <mergeCell ref="BXW102:BYW102"/>
    <mergeCell ref="BYX102:BZX102"/>
    <mergeCell ref="BZY102:CAY102"/>
    <mergeCell ref="CAZ102:CBZ102"/>
    <mergeCell ref="BPO102:BQO102"/>
    <mergeCell ref="BQP102:BRP102"/>
    <mergeCell ref="BRQ102:BSQ102"/>
    <mergeCell ref="BSR102:BTR102"/>
    <mergeCell ref="BTS102:BUS102"/>
    <mergeCell ref="BUT102:BVT102"/>
    <mergeCell ref="CUS102:CVS102"/>
    <mergeCell ref="CVT102:CWT102"/>
    <mergeCell ref="CWU102:CXU102"/>
    <mergeCell ref="CXV102:CYV102"/>
    <mergeCell ref="CYW102:CZW102"/>
    <mergeCell ref="CZX102:DAX102"/>
    <mergeCell ref="COM102:CPM102"/>
    <mergeCell ref="CPN102:CQN102"/>
    <mergeCell ref="CQO102:CRO102"/>
    <mergeCell ref="CRP102:CSP102"/>
    <mergeCell ref="CSQ102:CTQ102"/>
    <mergeCell ref="CTR102:CUR102"/>
    <mergeCell ref="CIG102:CJG102"/>
    <mergeCell ref="CJH102:CKH102"/>
    <mergeCell ref="CKI102:CLI102"/>
    <mergeCell ref="CLJ102:CMJ102"/>
    <mergeCell ref="CMK102:CNK102"/>
    <mergeCell ref="CNL102:COL102"/>
    <mergeCell ref="DNK102:DOK102"/>
    <mergeCell ref="DOL102:DPL102"/>
    <mergeCell ref="DPM102:DQM102"/>
    <mergeCell ref="DQN102:DRN102"/>
    <mergeCell ref="DRO102:DSO102"/>
    <mergeCell ref="DSP102:DTP102"/>
    <mergeCell ref="DHE102:DIE102"/>
    <mergeCell ref="DIF102:DJF102"/>
    <mergeCell ref="DJG102:DKG102"/>
    <mergeCell ref="DKH102:DLH102"/>
    <mergeCell ref="DLI102:DMI102"/>
    <mergeCell ref="DMJ102:DNJ102"/>
    <mergeCell ref="DAY102:DBY102"/>
    <mergeCell ref="DBZ102:DCZ102"/>
    <mergeCell ref="DDA102:DEA102"/>
    <mergeCell ref="DEB102:DFB102"/>
    <mergeCell ref="DFC102:DGC102"/>
    <mergeCell ref="DGD102:DHD102"/>
    <mergeCell ref="EGC102:EHC102"/>
    <mergeCell ref="EHD102:EID102"/>
    <mergeCell ref="EIE102:EJE102"/>
    <mergeCell ref="EJF102:EKF102"/>
    <mergeCell ref="EKG102:ELG102"/>
    <mergeCell ref="ELH102:EMH102"/>
    <mergeCell ref="DZW102:EAW102"/>
    <mergeCell ref="EAX102:EBX102"/>
    <mergeCell ref="EBY102:ECY102"/>
    <mergeCell ref="ECZ102:EDZ102"/>
    <mergeCell ref="EEA102:EFA102"/>
    <mergeCell ref="EFB102:EGB102"/>
    <mergeCell ref="DTQ102:DUQ102"/>
    <mergeCell ref="DUR102:DVR102"/>
    <mergeCell ref="DVS102:DWS102"/>
    <mergeCell ref="DWT102:DXT102"/>
    <mergeCell ref="DXU102:DYU102"/>
    <mergeCell ref="DYV102:DZV102"/>
    <mergeCell ref="EYU102:EZU102"/>
    <mergeCell ref="EZV102:FAV102"/>
    <mergeCell ref="FAW102:FBW102"/>
    <mergeCell ref="FBX102:FCX102"/>
    <mergeCell ref="FCY102:FDY102"/>
    <mergeCell ref="FDZ102:FEZ102"/>
    <mergeCell ref="ESO102:ETO102"/>
    <mergeCell ref="ETP102:EUP102"/>
    <mergeCell ref="EUQ102:EVQ102"/>
    <mergeCell ref="EVR102:EWR102"/>
    <mergeCell ref="EWS102:EXS102"/>
    <mergeCell ref="EXT102:EYT102"/>
    <mergeCell ref="EMI102:ENI102"/>
    <mergeCell ref="ENJ102:EOJ102"/>
    <mergeCell ref="EOK102:EPK102"/>
    <mergeCell ref="EPL102:EQL102"/>
    <mergeCell ref="EQM102:ERM102"/>
    <mergeCell ref="ERN102:ESN102"/>
    <mergeCell ref="FRM102:FSM102"/>
    <mergeCell ref="FSN102:FTN102"/>
    <mergeCell ref="FTO102:FUO102"/>
    <mergeCell ref="FUP102:FVP102"/>
    <mergeCell ref="FVQ102:FWQ102"/>
    <mergeCell ref="FWR102:FXR102"/>
    <mergeCell ref="FLG102:FMG102"/>
    <mergeCell ref="FMH102:FNH102"/>
    <mergeCell ref="FNI102:FOI102"/>
    <mergeCell ref="FOJ102:FPJ102"/>
    <mergeCell ref="FPK102:FQK102"/>
    <mergeCell ref="FQL102:FRL102"/>
    <mergeCell ref="FFA102:FGA102"/>
    <mergeCell ref="FGB102:FHB102"/>
    <mergeCell ref="FHC102:FIC102"/>
    <mergeCell ref="FID102:FJD102"/>
    <mergeCell ref="FJE102:FKE102"/>
    <mergeCell ref="FKF102:FLF102"/>
    <mergeCell ref="GKE102:GLE102"/>
    <mergeCell ref="GLF102:GMF102"/>
    <mergeCell ref="GMG102:GNG102"/>
    <mergeCell ref="GNH102:GOH102"/>
    <mergeCell ref="GOI102:GPI102"/>
    <mergeCell ref="GPJ102:GQJ102"/>
    <mergeCell ref="GDY102:GEY102"/>
    <mergeCell ref="GEZ102:GFZ102"/>
    <mergeCell ref="GGA102:GHA102"/>
    <mergeCell ref="GHB102:GIB102"/>
    <mergeCell ref="GIC102:GJC102"/>
    <mergeCell ref="GJD102:GKD102"/>
    <mergeCell ref="FXS102:FYS102"/>
    <mergeCell ref="FYT102:FZT102"/>
    <mergeCell ref="FZU102:GAU102"/>
    <mergeCell ref="GAV102:GBV102"/>
    <mergeCell ref="GBW102:GCW102"/>
    <mergeCell ref="GCX102:GDX102"/>
    <mergeCell ref="HCW102:HDW102"/>
    <mergeCell ref="HDX102:HEX102"/>
    <mergeCell ref="HEY102:HFY102"/>
    <mergeCell ref="HFZ102:HGZ102"/>
    <mergeCell ref="HHA102:HIA102"/>
    <mergeCell ref="HIB102:HJB102"/>
    <mergeCell ref="GWQ102:GXQ102"/>
    <mergeCell ref="GXR102:GYR102"/>
    <mergeCell ref="GYS102:GZS102"/>
    <mergeCell ref="GZT102:HAT102"/>
    <mergeCell ref="HAU102:HBU102"/>
    <mergeCell ref="HBV102:HCV102"/>
    <mergeCell ref="GQK102:GRK102"/>
    <mergeCell ref="GRL102:GSL102"/>
    <mergeCell ref="GSM102:GTM102"/>
    <mergeCell ref="GTN102:GUN102"/>
    <mergeCell ref="GUO102:GVO102"/>
    <mergeCell ref="GVP102:GWP102"/>
    <mergeCell ref="HVO102:HWO102"/>
    <mergeCell ref="HWP102:HXP102"/>
    <mergeCell ref="HXQ102:HYQ102"/>
    <mergeCell ref="HYR102:HZR102"/>
    <mergeCell ref="HZS102:IAS102"/>
    <mergeCell ref="IAT102:IBT102"/>
    <mergeCell ref="HPI102:HQI102"/>
    <mergeCell ref="HQJ102:HRJ102"/>
    <mergeCell ref="HRK102:HSK102"/>
    <mergeCell ref="HSL102:HTL102"/>
    <mergeCell ref="HTM102:HUM102"/>
    <mergeCell ref="HUN102:HVN102"/>
    <mergeCell ref="HJC102:HKC102"/>
    <mergeCell ref="HKD102:HLD102"/>
    <mergeCell ref="HLE102:HME102"/>
    <mergeCell ref="HMF102:HNF102"/>
    <mergeCell ref="HNG102:HOG102"/>
    <mergeCell ref="HOH102:HPH102"/>
    <mergeCell ref="IOG102:IPG102"/>
    <mergeCell ref="IPH102:IQH102"/>
    <mergeCell ref="IQI102:IRI102"/>
    <mergeCell ref="IRJ102:ISJ102"/>
    <mergeCell ref="ISK102:ITK102"/>
    <mergeCell ref="ITL102:IUL102"/>
    <mergeCell ref="IIA102:IJA102"/>
    <mergeCell ref="IJB102:IKB102"/>
    <mergeCell ref="IKC102:ILC102"/>
    <mergeCell ref="ILD102:IMD102"/>
    <mergeCell ref="IME102:INE102"/>
    <mergeCell ref="INF102:IOF102"/>
    <mergeCell ref="IBU102:ICU102"/>
    <mergeCell ref="ICV102:IDV102"/>
    <mergeCell ref="IDW102:IEW102"/>
    <mergeCell ref="IEX102:IFX102"/>
    <mergeCell ref="IFY102:IGY102"/>
    <mergeCell ref="IGZ102:IHZ102"/>
    <mergeCell ref="JGY102:JHY102"/>
    <mergeCell ref="JHZ102:JIZ102"/>
    <mergeCell ref="JJA102:JKA102"/>
    <mergeCell ref="JKB102:JLB102"/>
    <mergeCell ref="JLC102:JMC102"/>
    <mergeCell ref="JMD102:JND102"/>
    <mergeCell ref="JAS102:JBS102"/>
    <mergeCell ref="JBT102:JCT102"/>
    <mergeCell ref="JCU102:JDU102"/>
    <mergeCell ref="JDV102:JEV102"/>
    <mergeCell ref="JEW102:JFW102"/>
    <mergeCell ref="JFX102:JGX102"/>
    <mergeCell ref="IUM102:IVM102"/>
    <mergeCell ref="IVN102:IWN102"/>
    <mergeCell ref="IWO102:IXO102"/>
    <mergeCell ref="IXP102:IYP102"/>
    <mergeCell ref="IYQ102:IZQ102"/>
    <mergeCell ref="IZR102:JAR102"/>
    <mergeCell ref="JZQ102:KAQ102"/>
    <mergeCell ref="KAR102:KBR102"/>
    <mergeCell ref="KBS102:KCS102"/>
    <mergeCell ref="KCT102:KDT102"/>
    <mergeCell ref="KDU102:KEU102"/>
    <mergeCell ref="KEV102:KFV102"/>
    <mergeCell ref="JTK102:JUK102"/>
    <mergeCell ref="JUL102:JVL102"/>
    <mergeCell ref="JVM102:JWM102"/>
    <mergeCell ref="JWN102:JXN102"/>
    <mergeCell ref="JXO102:JYO102"/>
    <mergeCell ref="JYP102:JZP102"/>
    <mergeCell ref="JNE102:JOE102"/>
    <mergeCell ref="JOF102:JPF102"/>
    <mergeCell ref="JPG102:JQG102"/>
    <mergeCell ref="JQH102:JRH102"/>
    <mergeCell ref="JRI102:JSI102"/>
    <mergeCell ref="JSJ102:JTJ102"/>
    <mergeCell ref="KSI102:KTI102"/>
    <mergeCell ref="KTJ102:KUJ102"/>
    <mergeCell ref="KUK102:KVK102"/>
    <mergeCell ref="KVL102:KWL102"/>
    <mergeCell ref="KWM102:KXM102"/>
    <mergeCell ref="KXN102:KYN102"/>
    <mergeCell ref="KMC102:KNC102"/>
    <mergeCell ref="KND102:KOD102"/>
    <mergeCell ref="KOE102:KPE102"/>
    <mergeCell ref="KPF102:KQF102"/>
    <mergeCell ref="KQG102:KRG102"/>
    <mergeCell ref="KRH102:KSH102"/>
    <mergeCell ref="KFW102:KGW102"/>
    <mergeCell ref="KGX102:KHX102"/>
    <mergeCell ref="KHY102:KIY102"/>
    <mergeCell ref="KIZ102:KJZ102"/>
    <mergeCell ref="KKA102:KLA102"/>
    <mergeCell ref="KLB102:KMB102"/>
    <mergeCell ref="LLA102:LMA102"/>
    <mergeCell ref="LMB102:LNB102"/>
    <mergeCell ref="LNC102:LOC102"/>
    <mergeCell ref="LOD102:LPD102"/>
    <mergeCell ref="LPE102:LQE102"/>
    <mergeCell ref="LQF102:LRF102"/>
    <mergeCell ref="LEU102:LFU102"/>
    <mergeCell ref="LFV102:LGV102"/>
    <mergeCell ref="LGW102:LHW102"/>
    <mergeCell ref="LHX102:LIX102"/>
    <mergeCell ref="LIY102:LJY102"/>
    <mergeCell ref="LJZ102:LKZ102"/>
    <mergeCell ref="KYO102:KZO102"/>
    <mergeCell ref="KZP102:LAP102"/>
    <mergeCell ref="LAQ102:LBQ102"/>
    <mergeCell ref="LBR102:LCR102"/>
    <mergeCell ref="LCS102:LDS102"/>
    <mergeCell ref="LDT102:LET102"/>
    <mergeCell ref="MDS102:MES102"/>
    <mergeCell ref="MET102:MFT102"/>
    <mergeCell ref="MFU102:MGU102"/>
    <mergeCell ref="MGV102:MHV102"/>
    <mergeCell ref="MHW102:MIW102"/>
    <mergeCell ref="MIX102:MJX102"/>
    <mergeCell ref="LXM102:LYM102"/>
    <mergeCell ref="LYN102:LZN102"/>
    <mergeCell ref="LZO102:MAO102"/>
    <mergeCell ref="MAP102:MBP102"/>
    <mergeCell ref="MBQ102:MCQ102"/>
    <mergeCell ref="MCR102:MDR102"/>
    <mergeCell ref="LRG102:LSG102"/>
    <mergeCell ref="LSH102:LTH102"/>
    <mergeCell ref="LTI102:LUI102"/>
    <mergeCell ref="LUJ102:LVJ102"/>
    <mergeCell ref="LVK102:LWK102"/>
    <mergeCell ref="LWL102:LXL102"/>
    <mergeCell ref="MWK102:MXK102"/>
    <mergeCell ref="MXL102:MYL102"/>
    <mergeCell ref="MYM102:MZM102"/>
    <mergeCell ref="MZN102:NAN102"/>
    <mergeCell ref="NAO102:NBO102"/>
    <mergeCell ref="NBP102:NCP102"/>
    <mergeCell ref="MQE102:MRE102"/>
    <mergeCell ref="MRF102:MSF102"/>
    <mergeCell ref="MSG102:MTG102"/>
    <mergeCell ref="MTH102:MUH102"/>
    <mergeCell ref="MUI102:MVI102"/>
    <mergeCell ref="MVJ102:MWJ102"/>
    <mergeCell ref="MJY102:MKY102"/>
    <mergeCell ref="MKZ102:MLZ102"/>
    <mergeCell ref="MMA102:MNA102"/>
    <mergeCell ref="MNB102:MOB102"/>
    <mergeCell ref="MOC102:MPC102"/>
    <mergeCell ref="MPD102:MQD102"/>
    <mergeCell ref="NPC102:NQC102"/>
    <mergeCell ref="NQD102:NRD102"/>
    <mergeCell ref="NRE102:NSE102"/>
    <mergeCell ref="NSF102:NTF102"/>
    <mergeCell ref="NTG102:NUG102"/>
    <mergeCell ref="NUH102:NVH102"/>
    <mergeCell ref="NIW102:NJW102"/>
    <mergeCell ref="NJX102:NKX102"/>
    <mergeCell ref="NKY102:NLY102"/>
    <mergeCell ref="NLZ102:NMZ102"/>
    <mergeCell ref="NNA102:NOA102"/>
    <mergeCell ref="NOB102:NPB102"/>
    <mergeCell ref="NCQ102:NDQ102"/>
    <mergeCell ref="NDR102:NER102"/>
    <mergeCell ref="NES102:NFS102"/>
    <mergeCell ref="NFT102:NGT102"/>
    <mergeCell ref="NGU102:NHU102"/>
    <mergeCell ref="NHV102:NIV102"/>
    <mergeCell ref="OHU102:OIU102"/>
    <mergeCell ref="OIV102:OJV102"/>
    <mergeCell ref="OJW102:OKW102"/>
    <mergeCell ref="OKX102:OLX102"/>
    <mergeCell ref="OLY102:OMY102"/>
    <mergeCell ref="OMZ102:ONZ102"/>
    <mergeCell ref="OBO102:OCO102"/>
    <mergeCell ref="OCP102:ODP102"/>
    <mergeCell ref="ODQ102:OEQ102"/>
    <mergeCell ref="OER102:OFR102"/>
    <mergeCell ref="OFS102:OGS102"/>
    <mergeCell ref="OGT102:OHT102"/>
    <mergeCell ref="NVI102:NWI102"/>
    <mergeCell ref="NWJ102:NXJ102"/>
    <mergeCell ref="NXK102:NYK102"/>
    <mergeCell ref="NYL102:NZL102"/>
    <mergeCell ref="NZM102:OAM102"/>
    <mergeCell ref="OAN102:OBN102"/>
    <mergeCell ref="PAM102:PBM102"/>
    <mergeCell ref="PBN102:PCN102"/>
    <mergeCell ref="PCO102:PDO102"/>
    <mergeCell ref="PDP102:PEP102"/>
    <mergeCell ref="PEQ102:PFQ102"/>
    <mergeCell ref="PFR102:PGR102"/>
    <mergeCell ref="OUG102:OVG102"/>
    <mergeCell ref="OVH102:OWH102"/>
    <mergeCell ref="OWI102:OXI102"/>
    <mergeCell ref="OXJ102:OYJ102"/>
    <mergeCell ref="OYK102:OZK102"/>
    <mergeCell ref="OZL102:PAL102"/>
    <mergeCell ref="OOA102:OPA102"/>
    <mergeCell ref="OPB102:OQB102"/>
    <mergeCell ref="OQC102:ORC102"/>
    <mergeCell ref="ORD102:OSD102"/>
    <mergeCell ref="OSE102:OTE102"/>
    <mergeCell ref="OTF102:OUF102"/>
    <mergeCell ref="PTE102:PUE102"/>
    <mergeCell ref="PUF102:PVF102"/>
    <mergeCell ref="PVG102:PWG102"/>
    <mergeCell ref="PWH102:PXH102"/>
    <mergeCell ref="PXI102:PYI102"/>
    <mergeCell ref="PYJ102:PZJ102"/>
    <mergeCell ref="PMY102:PNY102"/>
    <mergeCell ref="PNZ102:POZ102"/>
    <mergeCell ref="PPA102:PQA102"/>
    <mergeCell ref="PQB102:PRB102"/>
    <mergeCell ref="PRC102:PSC102"/>
    <mergeCell ref="PSD102:PTD102"/>
    <mergeCell ref="PGS102:PHS102"/>
    <mergeCell ref="PHT102:PIT102"/>
    <mergeCell ref="PIU102:PJU102"/>
    <mergeCell ref="PJV102:PKV102"/>
    <mergeCell ref="PKW102:PLW102"/>
    <mergeCell ref="PLX102:PMX102"/>
    <mergeCell ref="QLW102:QMW102"/>
    <mergeCell ref="QMX102:QNX102"/>
    <mergeCell ref="QNY102:QOY102"/>
    <mergeCell ref="QOZ102:QPZ102"/>
    <mergeCell ref="QQA102:QRA102"/>
    <mergeCell ref="QRB102:QSB102"/>
    <mergeCell ref="QFQ102:QGQ102"/>
    <mergeCell ref="QGR102:QHR102"/>
    <mergeCell ref="QHS102:QIS102"/>
    <mergeCell ref="QIT102:QJT102"/>
    <mergeCell ref="QJU102:QKU102"/>
    <mergeCell ref="QKV102:QLV102"/>
    <mergeCell ref="PZK102:QAK102"/>
    <mergeCell ref="QAL102:QBL102"/>
    <mergeCell ref="QBM102:QCM102"/>
    <mergeCell ref="QCN102:QDN102"/>
    <mergeCell ref="QDO102:QEO102"/>
    <mergeCell ref="QEP102:QFP102"/>
    <mergeCell ref="REO102:RFO102"/>
    <mergeCell ref="RFP102:RGP102"/>
    <mergeCell ref="RGQ102:RHQ102"/>
    <mergeCell ref="RHR102:RIR102"/>
    <mergeCell ref="RIS102:RJS102"/>
    <mergeCell ref="RJT102:RKT102"/>
    <mergeCell ref="QYI102:QZI102"/>
    <mergeCell ref="QZJ102:RAJ102"/>
    <mergeCell ref="RAK102:RBK102"/>
    <mergeCell ref="RBL102:RCL102"/>
    <mergeCell ref="RCM102:RDM102"/>
    <mergeCell ref="RDN102:REN102"/>
    <mergeCell ref="QSC102:QTC102"/>
    <mergeCell ref="QTD102:QUD102"/>
    <mergeCell ref="QUE102:QVE102"/>
    <mergeCell ref="QVF102:QWF102"/>
    <mergeCell ref="QWG102:QXG102"/>
    <mergeCell ref="QXH102:QYH102"/>
    <mergeCell ref="RXG102:RYG102"/>
    <mergeCell ref="RYH102:RZH102"/>
    <mergeCell ref="RZI102:SAI102"/>
    <mergeCell ref="SAJ102:SBJ102"/>
    <mergeCell ref="SBK102:SCK102"/>
    <mergeCell ref="SCL102:SDL102"/>
    <mergeCell ref="RRA102:RSA102"/>
    <mergeCell ref="RSB102:RTB102"/>
    <mergeCell ref="RTC102:RUC102"/>
    <mergeCell ref="RUD102:RVD102"/>
    <mergeCell ref="RVE102:RWE102"/>
    <mergeCell ref="RWF102:RXF102"/>
    <mergeCell ref="RKU102:RLU102"/>
    <mergeCell ref="RLV102:RMV102"/>
    <mergeCell ref="RMW102:RNW102"/>
    <mergeCell ref="RNX102:ROX102"/>
    <mergeCell ref="ROY102:RPY102"/>
    <mergeCell ref="RPZ102:RQZ102"/>
    <mergeCell ref="SPY102:SQY102"/>
    <mergeCell ref="SQZ102:SRZ102"/>
    <mergeCell ref="SSA102:STA102"/>
    <mergeCell ref="STB102:SUB102"/>
    <mergeCell ref="SUC102:SVC102"/>
    <mergeCell ref="SVD102:SWD102"/>
    <mergeCell ref="SJS102:SKS102"/>
    <mergeCell ref="SKT102:SLT102"/>
    <mergeCell ref="SLU102:SMU102"/>
    <mergeCell ref="SMV102:SNV102"/>
    <mergeCell ref="SNW102:SOW102"/>
    <mergeCell ref="SOX102:SPX102"/>
    <mergeCell ref="SDM102:SEM102"/>
    <mergeCell ref="SEN102:SFN102"/>
    <mergeCell ref="SFO102:SGO102"/>
    <mergeCell ref="SGP102:SHP102"/>
    <mergeCell ref="SHQ102:SIQ102"/>
    <mergeCell ref="SIR102:SJR102"/>
    <mergeCell ref="TIQ102:TJQ102"/>
    <mergeCell ref="TJR102:TKR102"/>
    <mergeCell ref="TKS102:TLS102"/>
    <mergeCell ref="TLT102:TMT102"/>
    <mergeCell ref="TMU102:TNU102"/>
    <mergeCell ref="TNV102:TOV102"/>
    <mergeCell ref="TCK102:TDK102"/>
    <mergeCell ref="TDL102:TEL102"/>
    <mergeCell ref="TEM102:TFM102"/>
    <mergeCell ref="TFN102:TGN102"/>
    <mergeCell ref="TGO102:THO102"/>
    <mergeCell ref="THP102:TIP102"/>
    <mergeCell ref="SWE102:SXE102"/>
    <mergeCell ref="SXF102:SYF102"/>
    <mergeCell ref="SYG102:SZG102"/>
    <mergeCell ref="SZH102:TAH102"/>
    <mergeCell ref="TAI102:TBI102"/>
    <mergeCell ref="TBJ102:TCJ102"/>
    <mergeCell ref="UBI102:UCI102"/>
    <mergeCell ref="UCJ102:UDJ102"/>
    <mergeCell ref="UDK102:UEK102"/>
    <mergeCell ref="UEL102:UFL102"/>
    <mergeCell ref="UFM102:UGM102"/>
    <mergeCell ref="UGN102:UHN102"/>
    <mergeCell ref="TVC102:TWC102"/>
    <mergeCell ref="TWD102:TXD102"/>
    <mergeCell ref="TXE102:TYE102"/>
    <mergeCell ref="TYF102:TZF102"/>
    <mergeCell ref="TZG102:UAG102"/>
    <mergeCell ref="UAH102:UBH102"/>
    <mergeCell ref="TOW102:TPW102"/>
    <mergeCell ref="TPX102:TQX102"/>
    <mergeCell ref="TQY102:TRY102"/>
    <mergeCell ref="TRZ102:TSZ102"/>
    <mergeCell ref="TTA102:TUA102"/>
    <mergeCell ref="TUB102:TVB102"/>
    <mergeCell ref="UUA102:UVA102"/>
    <mergeCell ref="UVB102:UWB102"/>
    <mergeCell ref="UWC102:UXC102"/>
    <mergeCell ref="UXD102:UYD102"/>
    <mergeCell ref="UYE102:UZE102"/>
    <mergeCell ref="UZF102:VAF102"/>
    <mergeCell ref="UNU102:UOU102"/>
    <mergeCell ref="UOV102:UPV102"/>
    <mergeCell ref="UPW102:UQW102"/>
    <mergeCell ref="UQX102:URX102"/>
    <mergeCell ref="URY102:USY102"/>
    <mergeCell ref="USZ102:UTZ102"/>
    <mergeCell ref="UHO102:UIO102"/>
    <mergeCell ref="UIP102:UJP102"/>
    <mergeCell ref="UJQ102:UKQ102"/>
    <mergeCell ref="UKR102:ULR102"/>
    <mergeCell ref="ULS102:UMS102"/>
    <mergeCell ref="UMT102:UNT102"/>
    <mergeCell ref="VMS102:VNS102"/>
    <mergeCell ref="VNT102:VOT102"/>
    <mergeCell ref="VOU102:VPU102"/>
    <mergeCell ref="VPV102:VQV102"/>
    <mergeCell ref="VQW102:VRW102"/>
    <mergeCell ref="VRX102:VSX102"/>
    <mergeCell ref="VGM102:VHM102"/>
    <mergeCell ref="VHN102:VIN102"/>
    <mergeCell ref="VIO102:VJO102"/>
    <mergeCell ref="VJP102:VKP102"/>
    <mergeCell ref="VKQ102:VLQ102"/>
    <mergeCell ref="VLR102:VMR102"/>
    <mergeCell ref="VAG102:VBG102"/>
    <mergeCell ref="VBH102:VCH102"/>
    <mergeCell ref="VCI102:VDI102"/>
    <mergeCell ref="VDJ102:VEJ102"/>
    <mergeCell ref="VEK102:VFK102"/>
    <mergeCell ref="VFL102:VGL102"/>
    <mergeCell ref="WGL102:WHL102"/>
    <mergeCell ref="WHM102:WIM102"/>
    <mergeCell ref="WIN102:WJN102"/>
    <mergeCell ref="WJO102:WKO102"/>
    <mergeCell ref="WKP102:WLP102"/>
    <mergeCell ref="VZE102:WAE102"/>
    <mergeCell ref="WAF102:WBF102"/>
    <mergeCell ref="WBG102:WCG102"/>
    <mergeCell ref="WCH102:WDH102"/>
    <mergeCell ref="WDI102:WEI102"/>
    <mergeCell ref="WEJ102:WFJ102"/>
    <mergeCell ref="VSY102:VTY102"/>
    <mergeCell ref="VTZ102:VUZ102"/>
    <mergeCell ref="VVA102:VWA102"/>
    <mergeCell ref="VWB102:VXB102"/>
    <mergeCell ref="VXC102:VYC102"/>
    <mergeCell ref="VYD102:VZD102"/>
    <mergeCell ref="A104:D104"/>
    <mergeCell ref="E104:F104"/>
    <mergeCell ref="G104:K104"/>
    <mergeCell ref="P104:Q104"/>
    <mergeCell ref="R104:S104"/>
    <mergeCell ref="T104:AA104"/>
    <mergeCell ref="XEI102:XFD102"/>
    <mergeCell ref="A103:D103"/>
    <mergeCell ref="E103:F103"/>
    <mergeCell ref="G103:K103"/>
    <mergeCell ref="P103:Q103"/>
    <mergeCell ref="R103:S103"/>
    <mergeCell ref="T103:AA103"/>
    <mergeCell ref="WYC102:WZC102"/>
    <mergeCell ref="WZD102:XAD102"/>
    <mergeCell ref="XAE102:XBE102"/>
    <mergeCell ref="XBF102:XCF102"/>
    <mergeCell ref="XCG102:XDG102"/>
    <mergeCell ref="XDH102:XEH102"/>
    <mergeCell ref="WRW102:WSW102"/>
    <mergeCell ref="WSX102:WTX102"/>
    <mergeCell ref="WTY102:WUY102"/>
    <mergeCell ref="WUZ102:WVZ102"/>
    <mergeCell ref="WWA102:WXA102"/>
    <mergeCell ref="WXB102:WYB102"/>
    <mergeCell ref="WLQ102:WMQ102"/>
    <mergeCell ref="WMR102:WNR102"/>
    <mergeCell ref="WNS102:WOS102"/>
    <mergeCell ref="WOT102:WPT102"/>
    <mergeCell ref="WPU102:WQU102"/>
    <mergeCell ref="WQV102:WRV102"/>
    <mergeCell ref="WFK102:WGK102"/>
    <mergeCell ref="A107:AA107"/>
    <mergeCell ref="AB107:BB107"/>
    <mergeCell ref="BC107:CC107"/>
    <mergeCell ref="CD107:DD107"/>
    <mergeCell ref="DE107:EE107"/>
    <mergeCell ref="EF107:FF107"/>
    <mergeCell ref="A106:D106"/>
    <mergeCell ref="E106:F106"/>
    <mergeCell ref="G106:K106"/>
    <mergeCell ref="P106:Q106"/>
    <mergeCell ref="R106:S106"/>
    <mergeCell ref="T106:AA106"/>
    <mergeCell ref="A105:D105"/>
    <mergeCell ref="E105:F105"/>
    <mergeCell ref="G105:K105"/>
    <mergeCell ref="P105:Q105"/>
    <mergeCell ref="R105:S105"/>
    <mergeCell ref="T105:AA105"/>
    <mergeCell ref="RS107:SS107"/>
    <mergeCell ref="ST107:TT107"/>
    <mergeCell ref="TU107:UU107"/>
    <mergeCell ref="UV107:VV107"/>
    <mergeCell ref="VW107:WW107"/>
    <mergeCell ref="WX107:XX107"/>
    <mergeCell ref="LM107:MM107"/>
    <mergeCell ref="MN107:NN107"/>
    <mergeCell ref="NO107:OO107"/>
    <mergeCell ref="OP107:PP107"/>
    <mergeCell ref="PQ107:QQ107"/>
    <mergeCell ref="QR107:RR107"/>
    <mergeCell ref="FG107:GG107"/>
    <mergeCell ref="GH107:HH107"/>
    <mergeCell ref="HI107:II107"/>
    <mergeCell ref="IJ107:JJ107"/>
    <mergeCell ref="JK107:KK107"/>
    <mergeCell ref="KL107:LL107"/>
    <mergeCell ref="AKK107:ALK107"/>
    <mergeCell ref="ALL107:AML107"/>
    <mergeCell ref="AMM107:ANM107"/>
    <mergeCell ref="ANN107:AON107"/>
    <mergeCell ref="AOO107:APO107"/>
    <mergeCell ref="APP107:AQP107"/>
    <mergeCell ref="AEE107:AFE107"/>
    <mergeCell ref="AFF107:AGF107"/>
    <mergeCell ref="AGG107:AHG107"/>
    <mergeCell ref="AHH107:AIH107"/>
    <mergeCell ref="AII107:AJI107"/>
    <mergeCell ref="AJJ107:AKJ107"/>
    <mergeCell ref="XY107:YY107"/>
    <mergeCell ref="YZ107:ZZ107"/>
    <mergeCell ref="AAA107:ABA107"/>
    <mergeCell ref="ABB107:ACB107"/>
    <mergeCell ref="ACC107:ADC107"/>
    <mergeCell ref="ADD107:AED107"/>
    <mergeCell ref="BDC107:BEC107"/>
    <mergeCell ref="BED107:BFD107"/>
    <mergeCell ref="BFE107:BGE107"/>
    <mergeCell ref="BGF107:BHF107"/>
    <mergeCell ref="BHG107:BIG107"/>
    <mergeCell ref="BIH107:BJH107"/>
    <mergeCell ref="AWW107:AXW107"/>
    <mergeCell ref="AXX107:AYX107"/>
    <mergeCell ref="AYY107:AZY107"/>
    <mergeCell ref="AZZ107:BAZ107"/>
    <mergeCell ref="BBA107:BCA107"/>
    <mergeCell ref="BCB107:BDB107"/>
    <mergeCell ref="AQQ107:ARQ107"/>
    <mergeCell ref="ARR107:ASR107"/>
    <mergeCell ref="ASS107:ATS107"/>
    <mergeCell ref="ATT107:AUT107"/>
    <mergeCell ref="AUU107:AVU107"/>
    <mergeCell ref="AVV107:AWV107"/>
    <mergeCell ref="BVU107:BWU107"/>
    <mergeCell ref="BWV107:BXV107"/>
    <mergeCell ref="BXW107:BYW107"/>
    <mergeCell ref="BYX107:BZX107"/>
    <mergeCell ref="BZY107:CAY107"/>
    <mergeCell ref="CAZ107:CBZ107"/>
    <mergeCell ref="BPO107:BQO107"/>
    <mergeCell ref="BQP107:BRP107"/>
    <mergeCell ref="BRQ107:BSQ107"/>
    <mergeCell ref="BSR107:BTR107"/>
    <mergeCell ref="BTS107:BUS107"/>
    <mergeCell ref="BUT107:BVT107"/>
    <mergeCell ref="BJI107:BKI107"/>
    <mergeCell ref="BKJ107:BLJ107"/>
    <mergeCell ref="BLK107:BMK107"/>
    <mergeCell ref="BML107:BNL107"/>
    <mergeCell ref="BNM107:BOM107"/>
    <mergeCell ref="BON107:BPN107"/>
    <mergeCell ref="COM107:CPM107"/>
    <mergeCell ref="CPN107:CQN107"/>
    <mergeCell ref="CQO107:CRO107"/>
    <mergeCell ref="CRP107:CSP107"/>
    <mergeCell ref="CSQ107:CTQ107"/>
    <mergeCell ref="CTR107:CUR107"/>
    <mergeCell ref="CIG107:CJG107"/>
    <mergeCell ref="CJH107:CKH107"/>
    <mergeCell ref="CKI107:CLI107"/>
    <mergeCell ref="CLJ107:CMJ107"/>
    <mergeCell ref="CMK107:CNK107"/>
    <mergeCell ref="CNL107:COL107"/>
    <mergeCell ref="CCA107:CDA107"/>
    <mergeCell ref="CDB107:CEB107"/>
    <mergeCell ref="CEC107:CFC107"/>
    <mergeCell ref="CFD107:CGD107"/>
    <mergeCell ref="CGE107:CHE107"/>
    <mergeCell ref="CHF107:CIF107"/>
    <mergeCell ref="DHE107:DIE107"/>
    <mergeCell ref="DIF107:DJF107"/>
    <mergeCell ref="DJG107:DKG107"/>
    <mergeCell ref="DKH107:DLH107"/>
    <mergeCell ref="DLI107:DMI107"/>
    <mergeCell ref="DMJ107:DNJ107"/>
    <mergeCell ref="DAY107:DBY107"/>
    <mergeCell ref="DBZ107:DCZ107"/>
    <mergeCell ref="DDA107:DEA107"/>
    <mergeCell ref="DEB107:DFB107"/>
    <mergeCell ref="DFC107:DGC107"/>
    <mergeCell ref="DGD107:DHD107"/>
    <mergeCell ref="CUS107:CVS107"/>
    <mergeCell ref="CVT107:CWT107"/>
    <mergeCell ref="CWU107:CXU107"/>
    <mergeCell ref="CXV107:CYV107"/>
    <mergeCell ref="CYW107:CZW107"/>
    <mergeCell ref="CZX107:DAX107"/>
    <mergeCell ref="DZW107:EAW107"/>
    <mergeCell ref="EAX107:EBX107"/>
    <mergeCell ref="EBY107:ECY107"/>
    <mergeCell ref="ECZ107:EDZ107"/>
    <mergeCell ref="EEA107:EFA107"/>
    <mergeCell ref="EFB107:EGB107"/>
    <mergeCell ref="DTQ107:DUQ107"/>
    <mergeCell ref="DUR107:DVR107"/>
    <mergeCell ref="DVS107:DWS107"/>
    <mergeCell ref="DWT107:DXT107"/>
    <mergeCell ref="DXU107:DYU107"/>
    <mergeCell ref="DYV107:DZV107"/>
    <mergeCell ref="DNK107:DOK107"/>
    <mergeCell ref="DOL107:DPL107"/>
    <mergeCell ref="DPM107:DQM107"/>
    <mergeCell ref="DQN107:DRN107"/>
    <mergeCell ref="DRO107:DSO107"/>
    <mergeCell ref="DSP107:DTP107"/>
    <mergeCell ref="ESO107:ETO107"/>
    <mergeCell ref="ETP107:EUP107"/>
    <mergeCell ref="EUQ107:EVQ107"/>
    <mergeCell ref="EVR107:EWR107"/>
    <mergeCell ref="EWS107:EXS107"/>
    <mergeCell ref="EXT107:EYT107"/>
    <mergeCell ref="EMI107:ENI107"/>
    <mergeCell ref="ENJ107:EOJ107"/>
    <mergeCell ref="EOK107:EPK107"/>
    <mergeCell ref="EPL107:EQL107"/>
    <mergeCell ref="EQM107:ERM107"/>
    <mergeCell ref="ERN107:ESN107"/>
    <mergeCell ref="EGC107:EHC107"/>
    <mergeCell ref="EHD107:EID107"/>
    <mergeCell ref="EIE107:EJE107"/>
    <mergeCell ref="EJF107:EKF107"/>
    <mergeCell ref="EKG107:ELG107"/>
    <mergeCell ref="ELH107:EMH107"/>
    <mergeCell ref="FLG107:FMG107"/>
    <mergeCell ref="FMH107:FNH107"/>
    <mergeCell ref="FNI107:FOI107"/>
    <mergeCell ref="FOJ107:FPJ107"/>
    <mergeCell ref="FPK107:FQK107"/>
    <mergeCell ref="FQL107:FRL107"/>
    <mergeCell ref="FFA107:FGA107"/>
    <mergeCell ref="FGB107:FHB107"/>
    <mergeCell ref="FHC107:FIC107"/>
    <mergeCell ref="FID107:FJD107"/>
    <mergeCell ref="FJE107:FKE107"/>
    <mergeCell ref="FKF107:FLF107"/>
    <mergeCell ref="EYU107:EZU107"/>
    <mergeCell ref="EZV107:FAV107"/>
    <mergeCell ref="FAW107:FBW107"/>
    <mergeCell ref="FBX107:FCX107"/>
    <mergeCell ref="FCY107:FDY107"/>
    <mergeCell ref="FDZ107:FEZ107"/>
    <mergeCell ref="GDY107:GEY107"/>
    <mergeCell ref="GEZ107:GFZ107"/>
    <mergeCell ref="GGA107:GHA107"/>
    <mergeCell ref="GHB107:GIB107"/>
    <mergeCell ref="GIC107:GJC107"/>
    <mergeCell ref="GJD107:GKD107"/>
    <mergeCell ref="FXS107:FYS107"/>
    <mergeCell ref="FYT107:FZT107"/>
    <mergeCell ref="FZU107:GAU107"/>
    <mergeCell ref="GAV107:GBV107"/>
    <mergeCell ref="GBW107:GCW107"/>
    <mergeCell ref="GCX107:GDX107"/>
    <mergeCell ref="FRM107:FSM107"/>
    <mergeCell ref="FSN107:FTN107"/>
    <mergeCell ref="FTO107:FUO107"/>
    <mergeCell ref="FUP107:FVP107"/>
    <mergeCell ref="FVQ107:FWQ107"/>
    <mergeCell ref="FWR107:FXR107"/>
    <mergeCell ref="GWQ107:GXQ107"/>
    <mergeCell ref="GXR107:GYR107"/>
    <mergeCell ref="GYS107:GZS107"/>
    <mergeCell ref="GZT107:HAT107"/>
    <mergeCell ref="HAU107:HBU107"/>
    <mergeCell ref="HBV107:HCV107"/>
    <mergeCell ref="GQK107:GRK107"/>
    <mergeCell ref="GRL107:GSL107"/>
    <mergeCell ref="GSM107:GTM107"/>
    <mergeCell ref="GTN107:GUN107"/>
    <mergeCell ref="GUO107:GVO107"/>
    <mergeCell ref="GVP107:GWP107"/>
    <mergeCell ref="GKE107:GLE107"/>
    <mergeCell ref="GLF107:GMF107"/>
    <mergeCell ref="GMG107:GNG107"/>
    <mergeCell ref="GNH107:GOH107"/>
    <mergeCell ref="GOI107:GPI107"/>
    <mergeCell ref="GPJ107:GQJ107"/>
    <mergeCell ref="HPI107:HQI107"/>
    <mergeCell ref="HQJ107:HRJ107"/>
    <mergeCell ref="HRK107:HSK107"/>
    <mergeCell ref="HSL107:HTL107"/>
    <mergeCell ref="HTM107:HUM107"/>
    <mergeCell ref="HUN107:HVN107"/>
    <mergeCell ref="HJC107:HKC107"/>
    <mergeCell ref="HKD107:HLD107"/>
    <mergeCell ref="HLE107:HME107"/>
    <mergeCell ref="HMF107:HNF107"/>
    <mergeCell ref="HNG107:HOG107"/>
    <mergeCell ref="HOH107:HPH107"/>
    <mergeCell ref="HCW107:HDW107"/>
    <mergeCell ref="HDX107:HEX107"/>
    <mergeCell ref="HEY107:HFY107"/>
    <mergeCell ref="HFZ107:HGZ107"/>
    <mergeCell ref="HHA107:HIA107"/>
    <mergeCell ref="HIB107:HJB107"/>
    <mergeCell ref="IIA107:IJA107"/>
    <mergeCell ref="IJB107:IKB107"/>
    <mergeCell ref="IKC107:ILC107"/>
    <mergeCell ref="ILD107:IMD107"/>
    <mergeCell ref="IME107:INE107"/>
    <mergeCell ref="INF107:IOF107"/>
    <mergeCell ref="IBU107:ICU107"/>
    <mergeCell ref="ICV107:IDV107"/>
    <mergeCell ref="IDW107:IEW107"/>
    <mergeCell ref="IEX107:IFX107"/>
    <mergeCell ref="IFY107:IGY107"/>
    <mergeCell ref="IGZ107:IHZ107"/>
    <mergeCell ref="HVO107:HWO107"/>
    <mergeCell ref="HWP107:HXP107"/>
    <mergeCell ref="HXQ107:HYQ107"/>
    <mergeCell ref="HYR107:HZR107"/>
    <mergeCell ref="HZS107:IAS107"/>
    <mergeCell ref="IAT107:IBT107"/>
    <mergeCell ref="JAS107:JBS107"/>
    <mergeCell ref="JBT107:JCT107"/>
    <mergeCell ref="JCU107:JDU107"/>
    <mergeCell ref="JDV107:JEV107"/>
    <mergeCell ref="JEW107:JFW107"/>
    <mergeCell ref="JFX107:JGX107"/>
    <mergeCell ref="IUM107:IVM107"/>
    <mergeCell ref="IVN107:IWN107"/>
    <mergeCell ref="IWO107:IXO107"/>
    <mergeCell ref="IXP107:IYP107"/>
    <mergeCell ref="IYQ107:IZQ107"/>
    <mergeCell ref="IZR107:JAR107"/>
    <mergeCell ref="IOG107:IPG107"/>
    <mergeCell ref="IPH107:IQH107"/>
    <mergeCell ref="IQI107:IRI107"/>
    <mergeCell ref="IRJ107:ISJ107"/>
    <mergeCell ref="ISK107:ITK107"/>
    <mergeCell ref="ITL107:IUL107"/>
    <mergeCell ref="JTK107:JUK107"/>
    <mergeCell ref="JUL107:JVL107"/>
    <mergeCell ref="JVM107:JWM107"/>
    <mergeCell ref="JWN107:JXN107"/>
    <mergeCell ref="JXO107:JYO107"/>
    <mergeCell ref="JYP107:JZP107"/>
    <mergeCell ref="JNE107:JOE107"/>
    <mergeCell ref="JOF107:JPF107"/>
    <mergeCell ref="JPG107:JQG107"/>
    <mergeCell ref="JQH107:JRH107"/>
    <mergeCell ref="JRI107:JSI107"/>
    <mergeCell ref="JSJ107:JTJ107"/>
    <mergeCell ref="JGY107:JHY107"/>
    <mergeCell ref="JHZ107:JIZ107"/>
    <mergeCell ref="JJA107:JKA107"/>
    <mergeCell ref="JKB107:JLB107"/>
    <mergeCell ref="JLC107:JMC107"/>
    <mergeCell ref="JMD107:JND107"/>
    <mergeCell ref="KMC107:KNC107"/>
    <mergeCell ref="KND107:KOD107"/>
    <mergeCell ref="KOE107:KPE107"/>
    <mergeCell ref="KPF107:KQF107"/>
    <mergeCell ref="KQG107:KRG107"/>
    <mergeCell ref="KRH107:KSH107"/>
    <mergeCell ref="KFW107:KGW107"/>
    <mergeCell ref="KGX107:KHX107"/>
    <mergeCell ref="KHY107:KIY107"/>
    <mergeCell ref="KIZ107:KJZ107"/>
    <mergeCell ref="KKA107:KLA107"/>
    <mergeCell ref="KLB107:KMB107"/>
    <mergeCell ref="JZQ107:KAQ107"/>
    <mergeCell ref="KAR107:KBR107"/>
    <mergeCell ref="KBS107:KCS107"/>
    <mergeCell ref="KCT107:KDT107"/>
    <mergeCell ref="KDU107:KEU107"/>
    <mergeCell ref="KEV107:KFV107"/>
    <mergeCell ref="LEU107:LFU107"/>
    <mergeCell ref="LFV107:LGV107"/>
    <mergeCell ref="LGW107:LHW107"/>
    <mergeCell ref="LHX107:LIX107"/>
    <mergeCell ref="LIY107:LJY107"/>
    <mergeCell ref="LJZ107:LKZ107"/>
    <mergeCell ref="KYO107:KZO107"/>
    <mergeCell ref="KZP107:LAP107"/>
    <mergeCell ref="LAQ107:LBQ107"/>
    <mergeCell ref="LBR107:LCR107"/>
    <mergeCell ref="LCS107:LDS107"/>
    <mergeCell ref="LDT107:LET107"/>
    <mergeCell ref="KSI107:KTI107"/>
    <mergeCell ref="KTJ107:KUJ107"/>
    <mergeCell ref="KUK107:KVK107"/>
    <mergeCell ref="KVL107:KWL107"/>
    <mergeCell ref="KWM107:KXM107"/>
    <mergeCell ref="KXN107:KYN107"/>
    <mergeCell ref="LXM107:LYM107"/>
    <mergeCell ref="LYN107:LZN107"/>
    <mergeCell ref="LZO107:MAO107"/>
    <mergeCell ref="MAP107:MBP107"/>
    <mergeCell ref="MBQ107:MCQ107"/>
    <mergeCell ref="MCR107:MDR107"/>
    <mergeCell ref="LRG107:LSG107"/>
    <mergeCell ref="LSH107:LTH107"/>
    <mergeCell ref="LTI107:LUI107"/>
    <mergeCell ref="LUJ107:LVJ107"/>
    <mergeCell ref="LVK107:LWK107"/>
    <mergeCell ref="LWL107:LXL107"/>
    <mergeCell ref="LLA107:LMA107"/>
    <mergeCell ref="LMB107:LNB107"/>
    <mergeCell ref="LNC107:LOC107"/>
    <mergeCell ref="LOD107:LPD107"/>
    <mergeCell ref="LPE107:LQE107"/>
    <mergeCell ref="LQF107:LRF107"/>
    <mergeCell ref="MQE107:MRE107"/>
    <mergeCell ref="MRF107:MSF107"/>
    <mergeCell ref="MSG107:MTG107"/>
    <mergeCell ref="MTH107:MUH107"/>
    <mergeCell ref="MUI107:MVI107"/>
    <mergeCell ref="MVJ107:MWJ107"/>
    <mergeCell ref="MJY107:MKY107"/>
    <mergeCell ref="MKZ107:MLZ107"/>
    <mergeCell ref="MMA107:MNA107"/>
    <mergeCell ref="MNB107:MOB107"/>
    <mergeCell ref="MOC107:MPC107"/>
    <mergeCell ref="MPD107:MQD107"/>
    <mergeCell ref="MDS107:MES107"/>
    <mergeCell ref="MET107:MFT107"/>
    <mergeCell ref="MFU107:MGU107"/>
    <mergeCell ref="MGV107:MHV107"/>
    <mergeCell ref="MHW107:MIW107"/>
    <mergeCell ref="MIX107:MJX107"/>
    <mergeCell ref="NIW107:NJW107"/>
    <mergeCell ref="NJX107:NKX107"/>
    <mergeCell ref="NKY107:NLY107"/>
    <mergeCell ref="NLZ107:NMZ107"/>
    <mergeCell ref="NNA107:NOA107"/>
    <mergeCell ref="NOB107:NPB107"/>
    <mergeCell ref="NCQ107:NDQ107"/>
    <mergeCell ref="NDR107:NER107"/>
    <mergeCell ref="NES107:NFS107"/>
    <mergeCell ref="NFT107:NGT107"/>
    <mergeCell ref="NGU107:NHU107"/>
    <mergeCell ref="NHV107:NIV107"/>
    <mergeCell ref="MWK107:MXK107"/>
    <mergeCell ref="MXL107:MYL107"/>
    <mergeCell ref="MYM107:MZM107"/>
    <mergeCell ref="MZN107:NAN107"/>
    <mergeCell ref="NAO107:NBO107"/>
    <mergeCell ref="NBP107:NCP107"/>
    <mergeCell ref="OBO107:OCO107"/>
    <mergeCell ref="OCP107:ODP107"/>
    <mergeCell ref="ODQ107:OEQ107"/>
    <mergeCell ref="OER107:OFR107"/>
    <mergeCell ref="OFS107:OGS107"/>
    <mergeCell ref="OGT107:OHT107"/>
    <mergeCell ref="NVI107:NWI107"/>
    <mergeCell ref="NWJ107:NXJ107"/>
    <mergeCell ref="NXK107:NYK107"/>
    <mergeCell ref="NYL107:NZL107"/>
    <mergeCell ref="NZM107:OAM107"/>
    <mergeCell ref="OAN107:OBN107"/>
    <mergeCell ref="NPC107:NQC107"/>
    <mergeCell ref="NQD107:NRD107"/>
    <mergeCell ref="NRE107:NSE107"/>
    <mergeCell ref="NSF107:NTF107"/>
    <mergeCell ref="NTG107:NUG107"/>
    <mergeCell ref="NUH107:NVH107"/>
    <mergeCell ref="OUG107:OVG107"/>
    <mergeCell ref="OVH107:OWH107"/>
    <mergeCell ref="OWI107:OXI107"/>
    <mergeCell ref="OXJ107:OYJ107"/>
    <mergeCell ref="OYK107:OZK107"/>
    <mergeCell ref="OZL107:PAL107"/>
    <mergeCell ref="OOA107:OPA107"/>
    <mergeCell ref="OPB107:OQB107"/>
    <mergeCell ref="OQC107:ORC107"/>
    <mergeCell ref="ORD107:OSD107"/>
    <mergeCell ref="OSE107:OTE107"/>
    <mergeCell ref="OTF107:OUF107"/>
    <mergeCell ref="OHU107:OIU107"/>
    <mergeCell ref="OIV107:OJV107"/>
    <mergeCell ref="OJW107:OKW107"/>
    <mergeCell ref="OKX107:OLX107"/>
    <mergeCell ref="OLY107:OMY107"/>
    <mergeCell ref="OMZ107:ONZ107"/>
    <mergeCell ref="PMY107:PNY107"/>
    <mergeCell ref="PNZ107:POZ107"/>
    <mergeCell ref="PPA107:PQA107"/>
    <mergeCell ref="PQB107:PRB107"/>
    <mergeCell ref="PRC107:PSC107"/>
    <mergeCell ref="PSD107:PTD107"/>
    <mergeCell ref="PGS107:PHS107"/>
    <mergeCell ref="PHT107:PIT107"/>
    <mergeCell ref="PIU107:PJU107"/>
    <mergeCell ref="PJV107:PKV107"/>
    <mergeCell ref="PKW107:PLW107"/>
    <mergeCell ref="PLX107:PMX107"/>
    <mergeCell ref="PAM107:PBM107"/>
    <mergeCell ref="PBN107:PCN107"/>
    <mergeCell ref="PCO107:PDO107"/>
    <mergeCell ref="PDP107:PEP107"/>
    <mergeCell ref="PEQ107:PFQ107"/>
    <mergeCell ref="PFR107:PGR107"/>
    <mergeCell ref="QFQ107:QGQ107"/>
    <mergeCell ref="QGR107:QHR107"/>
    <mergeCell ref="QHS107:QIS107"/>
    <mergeCell ref="QIT107:QJT107"/>
    <mergeCell ref="QJU107:QKU107"/>
    <mergeCell ref="QKV107:QLV107"/>
    <mergeCell ref="PZK107:QAK107"/>
    <mergeCell ref="QAL107:QBL107"/>
    <mergeCell ref="QBM107:QCM107"/>
    <mergeCell ref="QCN107:QDN107"/>
    <mergeCell ref="QDO107:QEO107"/>
    <mergeCell ref="QEP107:QFP107"/>
    <mergeCell ref="PTE107:PUE107"/>
    <mergeCell ref="PUF107:PVF107"/>
    <mergeCell ref="PVG107:PWG107"/>
    <mergeCell ref="PWH107:PXH107"/>
    <mergeCell ref="PXI107:PYI107"/>
    <mergeCell ref="PYJ107:PZJ107"/>
    <mergeCell ref="QYI107:QZI107"/>
    <mergeCell ref="QZJ107:RAJ107"/>
    <mergeCell ref="RAK107:RBK107"/>
    <mergeCell ref="RBL107:RCL107"/>
    <mergeCell ref="RCM107:RDM107"/>
    <mergeCell ref="RDN107:REN107"/>
    <mergeCell ref="QSC107:QTC107"/>
    <mergeCell ref="QTD107:QUD107"/>
    <mergeCell ref="QUE107:QVE107"/>
    <mergeCell ref="QVF107:QWF107"/>
    <mergeCell ref="QWG107:QXG107"/>
    <mergeCell ref="QXH107:QYH107"/>
    <mergeCell ref="QLW107:QMW107"/>
    <mergeCell ref="QMX107:QNX107"/>
    <mergeCell ref="QNY107:QOY107"/>
    <mergeCell ref="QOZ107:QPZ107"/>
    <mergeCell ref="QQA107:QRA107"/>
    <mergeCell ref="QRB107:QSB107"/>
    <mergeCell ref="RRA107:RSA107"/>
    <mergeCell ref="RSB107:RTB107"/>
    <mergeCell ref="RTC107:RUC107"/>
    <mergeCell ref="RUD107:RVD107"/>
    <mergeCell ref="RVE107:RWE107"/>
    <mergeCell ref="RWF107:RXF107"/>
    <mergeCell ref="RKU107:RLU107"/>
    <mergeCell ref="RLV107:RMV107"/>
    <mergeCell ref="RMW107:RNW107"/>
    <mergeCell ref="RNX107:ROX107"/>
    <mergeCell ref="ROY107:RPY107"/>
    <mergeCell ref="RPZ107:RQZ107"/>
    <mergeCell ref="REO107:RFO107"/>
    <mergeCell ref="RFP107:RGP107"/>
    <mergeCell ref="RGQ107:RHQ107"/>
    <mergeCell ref="RHR107:RIR107"/>
    <mergeCell ref="RIS107:RJS107"/>
    <mergeCell ref="RJT107:RKT107"/>
    <mergeCell ref="SJS107:SKS107"/>
    <mergeCell ref="SKT107:SLT107"/>
    <mergeCell ref="SLU107:SMU107"/>
    <mergeCell ref="SMV107:SNV107"/>
    <mergeCell ref="SNW107:SOW107"/>
    <mergeCell ref="SOX107:SPX107"/>
    <mergeCell ref="SDM107:SEM107"/>
    <mergeCell ref="SEN107:SFN107"/>
    <mergeCell ref="SFO107:SGO107"/>
    <mergeCell ref="SGP107:SHP107"/>
    <mergeCell ref="SHQ107:SIQ107"/>
    <mergeCell ref="SIR107:SJR107"/>
    <mergeCell ref="RXG107:RYG107"/>
    <mergeCell ref="RYH107:RZH107"/>
    <mergeCell ref="RZI107:SAI107"/>
    <mergeCell ref="SAJ107:SBJ107"/>
    <mergeCell ref="SBK107:SCK107"/>
    <mergeCell ref="SCL107:SDL107"/>
    <mergeCell ref="TCK107:TDK107"/>
    <mergeCell ref="TDL107:TEL107"/>
    <mergeCell ref="TEM107:TFM107"/>
    <mergeCell ref="TFN107:TGN107"/>
    <mergeCell ref="TGO107:THO107"/>
    <mergeCell ref="THP107:TIP107"/>
    <mergeCell ref="SWE107:SXE107"/>
    <mergeCell ref="SXF107:SYF107"/>
    <mergeCell ref="SYG107:SZG107"/>
    <mergeCell ref="SZH107:TAH107"/>
    <mergeCell ref="TAI107:TBI107"/>
    <mergeCell ref="TBJ107:TCJ107"/>
    <mergeCell ref="SPY107:SQY107"/>
    <mergeCell ref="SQZ107:SRZ107"/>
    <mergeCell ref="SSA107:STA107"/>
    <mergeCell ref="STB107:SUB107"/>
    <mergeCell ref="SUC107:SVC107"/>
    <mergeCell ref="SVD107:SWD107"/>
    <mergeCell ref="TVC107:TWC107"/>
    <mergeCell ref="TWD107:TXD107"/>
    <mergeCell ref="TXE107:TYE107"/>
    <mergeCell ref="TYF107:TZF107"/>
    <mergeCell ref="TZG107:UAG107"/>
    <mergeCell ref="UAH107:UBH107"/>
    <mergeCell ref="TOW107:TPW107"/>
    <mergeCell ref="TPX107:TQX107"/>
    <mergeCell ref="TQY107:TRY107"/>
    <mergeCell ref="TRZ107:TSZ107"/>
    <mergeCell ref="TTA107:TUA107"/>
    <mergeCell ref="TUB107:TVB107"/>
    <mergeCell ref="TIQ107:TJQ107"/>
    <mergeCell ref="TJR107:TKR107"/>
    <mergeCell ref="TKS107:TLS107"/>
    <mergeCell ref="TLT107:TMT107"/>
    <mergeCell ref="TMU107:TNU107"/>
    <mergeCell ref="TNV107:TOV107"/>
    <mergeCell ref="UNU107:UOU107"/>
    <mergeCell ref="UOV107:UPV107"/>
    <mergeCell ref="UPW107:UQW107"/>
    <mergeCell ref="UQX107:URX107"/>
    <mergeCell ref="URY107:USY107"/>
    <mergeCell ref="USZ107:UTZ107"/>
    <mergeCell ref="UHO107:UIO107"/>
    <mergeCell ref="UIP107:UJP107"/>
    <mergeCell ref="UJQ107:UKQ107"/>
    <mergeCell ref="UKR107:ULR107"/>
    <mergeCell ref="ULS107:UMS107"/>
    <mergeCell ref="UMT107:UNT107"/>
    <mergeCell ref="UBI107:UCI107"/>
    <mergeCell ref="UCJ107:UDJ107"/>
    <mergeCell ref="UDK107:UEK107"/>
    <mergeCell ref="UEL107:UFL107"/>
    <mergeCell ref="UFM107:UGM107"/>
    <mergeCell ref="UGN107:UHN107"/>
    <mergeCell ref="VGM107:VHM107"/>
    <mergeCell ref="VHN107:VIN107"/>
    <mergeCell ref="VIO107:VJO107"/>
    <mergeCell ref="VJP107:VKP107"/>
    <mergeCell ref="VKQ107:VLQ107"/>
    <mergeCell ref="VLR107:VMR107"/>
    <mergeCell ref="VAG107:VBG107"/>
    <mergeCell ref="VBH107:VCH107"/>
    <mergeCell ref="VCI107:VDI107"/>
    <mergeCell ref="VDJ107:VEJ107"/>
    <mergeCell ref="VEK107:VFK107"/>
    <mergeCell ref="VFL107:VGL107"/>
    <mergeCell ref="UUA107:UVA107"/>
    <mergeCell ref="UVB107:UWB107"/>
    <mergeCell ref="UWC107:UXC107"/>
    <mergeCell ref="UXD107:UYD107"/>
    <mergeCell ref="UYE107:UZE107"/>
    <mergeCell ref="UZF107:VAF107"/>
    <mergeCell ref="WAF107:WBF107"/>
    <mergeCell ref="WBG107:WCG107"/>
    <mergeCell ref="WCH107:WDH107"/>
    <mergeCell ref="WDI107:WEI107"/>
    <mergeCell ref="WEJ107:WFJ107"/>
    <mergeCell ref="VSY107:VTY107"/>
    <mergeCell ref="VTZ107:VUZ107"/>
    <mergeCell ref="VVA107:VWA107"/>
    <mergeCell ref="VWB107:VXB107"/>
    <mergeCell ref="VXC107:VYC107"/>
    <mergeCell ref="VYD107:VZD107"/>
    <mergeCell ref="VMS107:VNS107"/>
    <mergeCell ref="VNT107:VOT107"/>
    <mergeCell ref="VOU107:VPU107"/>
    <mergeCell ref="VPV107:VQV107"/>
    <mergeCell ref="VQW107:VRW107"/>
    <mergeCell ref="VRX107:VSX107"/>
    <mergeCell ref="XEI107:XFD107"/>
    <mergeCell ref="A108:D108"/>
    <mergeCell ref="E108:F108"/>
    <mergeCell ref="G108:K108"/>
    <mergeCell ref="P108:Q108"/>
    <mergeCell ref="R108:S108"/>
    <mergeCell ref="T108:AA108"/>
    <mergeCell ref="WYC107:WZC107"/>
    <mergeCell ref="WZD107:XAD107"/>
    <mergeCell ref="XAE107:XBE107"/>
    <mergeCell ref="XBF107:XCF107"/>
    <mergeCell ref="XCG107:XDG107"/>
    <mergeCell ref="XDH107:XEH107"/>
    <mergeCell ref="WRW107:WSW107"/>
    <mergeCell ref="WSX107:WTX107"/>
    <mergeCell ref="WTY107:WUY107"/>
    <mergeCell ref="WUZ107:WVZ107"/>
    <mergeCell ref="WWA107:WXA107"/>
    <mergeCell ref="WXB107:WYB107"/>
    <mergeCell ref="WLQ107:WMQ107"/>
    <mergeCell ref="WMR107:WNR107"/>
    <mergeCell ref="WNS107:WOS107"/>
    <mergeCell ref="WOT107:WPT107"/>
    <mergeCell ref="WPU107:WQU107"/>
    <mergeCell ref="WQV107:WRV107"/>
    <mergeCell ref="WFK107:WGK107"/>
    <mergeCell ref="WGL107:WHL107"/>
    <mergeCell ref="WHM107:WIM107"/>
    <mergeCell ref="WIN107:WJN107"/>
    <mergeCell ref="WJO107:WKO107"/>
    <mergeCell ref="WKP107:WLP107"/>
    <mergeCell ref="VZE107:WAE107"/>
    <mergeCell ref="A111:D111"/>
    <mergeCell ref="E111:F111"/>
    <mergeCell ref="G111:K111"/>
    <mergeCell ref="P111:Q111"/>
    <mergeCell ref="R111:S111"/>
    <mergeCell ref="T111:AA111"/>
    <mergeCell ref="A110:D110"/>
    <mergeCell ref="E110:F110"/>
    <mergeCell ref="G110:K110"/>
    <mergeCell ref="P110:Q110"/>
    <mergeCell ref="R110:S110"/>
    <mergeCell ref="T110:AA110"/>
    <mergeCell ref="A109:D109"/>
    <mergeCell ref="E109:F109"/>
    <mergeCell ref="G109:K109"/>
    <mergeCell ref="P109:Q109"/>
    <mergeCell ref="R109:S109"/>
    <mergeCell ref="T109:AA109"/>
    <mergeCell ref="A114:AA114"/>
    <mergeCell ref="AB114:BB114"/>
    <mergeCell ref="BC114:CC114"/>
    <mergeCell ref="CD114:DD114"/>
    <mergeCell ref="DE114:EE114"/>
    <mergeCell ref="EF114:FF114"/>
    <mergeCell ref="A113:D113"/>
    <mergeCell ref="E113:F113"/>
    <mergeCell ref="G113:K113"/>
    <mergeCell ref="P113:Q113"/>
    <mergeCell ref="R113:S113"/>
    <mergeCell ref="T113:AA113"/>
    <mergeCell ref="A112:D112"/>
    <mergeCell ref="E112:F112"/>
    <mergeCell ref="G112:K112"/>
    <mergeCell ref="P112:Q112"/>
    <mergeCell ref="R112:S112"/>
    <mergeCell ref="T112:AA112"/>
    <mergeCell ref="RS114:SS114"/>
    <mergeCell ref="ST114:TT114"/>
    <mergeCell ref="TU114:UU114"/>
    <mergeCell ref="UV114:VV114"/>
    <mergeCell ref="VW114:WW114"/>
    <mergeCell ref="WX114:XX114"/>
    <mergeCell ref="LM114:MM114"/>
    <mergeCell ref="MN114:NN114"/>
    <mergeCell ref="NO114:OO114"/>
    <mergeCell ref="OP114:PP114"/>
    <mergeCell ref="PQ114:QQ114"/>
    <mergeCell ref="QR114:RR114"/>
    <mergeCell ref="FG114:GG114"/>
    <mergeCell ref="GH114:HH114"/>
    <mergeCell ref="HI114:II114"/>
    <mergeCell ref="IJ114:JJ114"/>
    <mergeCell ref="JK114:KK114"/>
    <mergeCell ref="KL114:LL114"/>
    <mergeCell ref="AKK114:ALK114"/>
    <mergeCell ref="ALL114:AML114"/>
    <mergeCell ref="AMM114:ANM114"/>
    <mergeCell ref="ANN114:AON114"/>
    <mergeCell ref="AOO114:APO114"/>
    <mergeCell ref="APP114:AQP114"/>
    <mergeCell ref="AEE114:AFE114"/>
    <mergeCell ref="AFF114:AGF114"/>
    <mergeCell ref="AGG114:AHG114"/>
    <mergeCell ref="AHH114:AIH114"/>
    <mergeCell ref="AII114:AJI114"/>
    <mergeCell ref="AJJ114:AKJ114"/>
    <mergeCell ref="XY114:YY114"/>
    <mergeCell ref="YZ114:ZZ114"/>
    <mergeCell ref="AAA114:ABA114"/>
    <mergeCell ref="ABB114:ACB114"/>
    <mergeCell ref="ACC114:ADC114"/>
    <mergeCell ref="ADD114:AED114"/>
    <mergeCell ref="BDC114:BEC114"/>
    <mergeCell ref="BED114:BFD114"/>
    <mergeCell ref="BFE114:BGE114"/>
    <mergeCell ref="BGF114:BHF114"/>
    <mergeCell ref="BHG114:BIG114"/>
    <mergeCell ref="BIH114:BJH114"/>
    <mergeCell ref="AWW114:AXW114"/>
    <mergeCell ref="AXX114:AYX114"/>
    <mergeCell ref="AYY114:AZY114"/>
    <mergeCell ref="AZZ114:BAZ114"/>
    <mergeCell ref="BBA114:BCA114"/>
    <mergeCell ref="BCB114:BDB114"/>
    <mergeCell ref="AQQ114:ARQ114"/>
    <mergeCell ref="ARR114:ASR114"/>
    <mergeCell ref="ASS114:ATS114"/>
    <mergeCell ref="ATT114:AUT114"/>
    <mergeCell ref="AUU114:AVU114"/>
    <mergeCell ref="AVV114:AWV114"/>
    <mergeCell ref="BVU114:BWU114"/>
    <mergeCell ref="BWV114:BXV114"/>
    <mergeCell ref="BXW114:BYW114"/>
    <mergeCell ref="BYX114:BZX114"/>
    <mergeCell ref="BZY114:CAY114"/>
    <mergeCell ref="CAZ114:CBZ114"/>
    <mergeCell ref="BPO114:BQO114"/>
    <mergeCell ref="BQP114:BRP114"/>
    <mergeCell ref="BRQ114:BSQ114"/>
    <mergeCell ref="BSR114:BTR114"/>
    <mergeCell ref="BTS114:BUS114"/>
    <mergeCell ref="BUT114:BVT114"/>
    <mergeCell ref="BJI114:BKI114"/>
    <mergeCell ref="BKJ114:BLJ114"/>
    <mergeCell ref="BLK114:BMK114"/>
    <mergeCell ref="BML114:BNL114"/>
    <mergeCell ref="BNM114:BOM114"/>
    <mergeCell ref="BON114:BPN114"/>
    <mergeCell ref="COM114:CPM114"/>
    <mergeCell ref="CPN114:CQN114"/>
    <mergeCell ref="CQO114:CRO114"/>
    <mergeCell ref="CRP114:CSP114"/>
    <mergeCell ref="CSQ114:CTQ114"/>
    <mergeCell ref="CTR114:CUR114"/>
    <mergeCell ref="CIG114:CJG114"/>
    <mergeCell ref="CJH114:CKH114"/>
    <mergeCell ref="CKI114:CLI114"/>
    <mergeCell ref="CLJ114:CMJ114"/>
    <mergeCell ref="CMK114:CNK114"/>
    <mergeCell ref="CNL114:COL114"/>
    <mergeCell ref="CCA114:CDA114"/>
    <mergeCell ref="CDB114:CEB114"/>
    <mergeCell ref="CEC114:CFC114"/>
    <mergeCell ref="CFD114:CGD114"/>
    <mergeCell ref="CGE114:CHE114"/>
    <mergeCell ref="CHF114:CIF114"/>
    <mergeCell ref="DHE114:DIE114"/>
    <mergeCell ref="DIF114:DJF114"/>
    <mergeCell ref="DJG114:DKG114"/>
    <mergeCell ref="DKH114:DLH114"/>
    <mergeCell ref="DLI114:DMI114"/>
    <mergeCell ref="DMJ114:DNJ114"/>
    <mergeCell ref="DAY114:DBY114"/>
    <mergeCell ref="DBZ114:DCZ114"/>
    <mergeCell ref="DDA114:DEA114"/>
    <mergeCell ref="DEB114:DFB114"/>
    <mergeCell ref="DFC114:DGC114"/>
    <mergeCell ref="DGD114:DHD114"/>
    <mergeCell ref="CUS114:CVS114"/>
    <mergeCell ref="CVT114:CWT114"/>
    <mergeCell ref="CWU114:CXU114"/>
    <mergeCell ref="CXV114:CYV114"/>
    <mergeCell ref="CYW114:CZW114"/>
    <mergeCell ref="CZX114:DAX114"/>
    <mergeCell ref="DZW114:EAW114"/>
    <mergeCell ref="EAX114:EBX114"/>
    <mergeCell ref="EBY114:ECY114"/>
    <mergeCell ref="ECZ114:EDZ114"/>
    <mergeCell ref="EEA114:EFA114"/>
    <mergeCell ref="EFB114:EGB114"/>
    <mergeCell ref="DTQ114:DUQ114"/>
    <mergeCell ref="DUR114:DVR114"/>
    <mergeCell ref="DVS114:DWS114"/>
    <mergeCell ref="DWT114:DXT114"/>
    <mergeCell ref="DXU114:DYU114"/>
    <mergeCell ref="DYV114:DZV114"/>
    <mergeCell ref="DNK114:DOK114"/>
    <mergeCell ref="DOL114:DPL114"/>
    <mergeCell ref="DPM114:DQM114"/>
    <mergeCell ref="DQN114:DRN114"/>
    <mergeCell ref="DRO114:DSO114"/>
    <mergeCell ref="DSP114:DTP114"/>
    <mergeCell ref="ESO114:ETO114"/>
    <mergeCell ref="ETP114:EUP114"/>
    <mergeCell ref="EUQ114:EVQ114"/>
    <mergeCell ref="EVR114:EWR114"/>
    <mergeCell ref="EWS114:EXS114"/>
    <mergeCell ref="EXT114:EYT114"/>
    <mergeCell ref="EMI114:ENI114"/>
    <mergeCell ref="ENJ114:EOJ114"/>
    <mergeCell ref="EOK114:EPK114"/>
    <mergeCell ref="EPL114:EQL114"/>
    <mergeCell ref="EQM114:ERM114"/>
    <mergeCell ref="ERN114:ESN114"/>
    <mergeCell ref="EGC114:EHC114"/>
    <mergeCell ref="EHD114:EID114"/>
    <mergeCell ref="EIE114:EJE114"/>
    <mergeCell ref="EJF114:EKF114"/>
    <mergeCell ref="EKG114:ELG114"/>
    <mergeCell ref="ELH114:EMH114"/>
    <mergeCell ref="FLG114:FMG114"/>
    <mergeCell ref="FMH114:FNH114"/>
    <mergeCell ref="FNI114:FOI114"/>
    <mergeCell ref="FOJ114:FPJ114"/>
    <mergeCell ref="FPK114:FQK114"/>
    <mergeCell ref="FQL114:FRL114"/>
    <mergeCell ref="FFA114:FGA114"/>
    <mergeCell ref="FGB114:FHB114"/>
    <mergeCell ref="FHC114:FIC114"/>
    <mergeCell ref="FID114:FJD114"/>
    <mergeCell ref="FJE114:FKE114"/>
    <mergeCell ref="FKF114:FLF114"/>
    <mergeCell ref="EYU114:EZU114"/>
    <mergeCell ref="EZV114:FAV114"/>
    <mergeCell ref="FAW114:FBW114"/>
    <mergeCell ref="FBX114:FCX114"/>
    <mergeCell ref="FCY114:FDY114"/>
    <mergeCell ref="FDZ114:FEZ114"/>
    <mergeCell ref="GDY114:GEY114"/>
    <mergeCell ref="GEZ114:GFZ114"/>
    <mergeCell ref="GGA114:GHA114"/>
    <mergeCell ref="GHB114:GIB114"/>
    <mergeCell ref="GIC114:GJC114"/>
    <mergeCell ref="GJD114:GKD114"/>
    <mergeCell ref="FXS114:FYS114"/>
    <mergeCell ref="FYT114:FZT114"/>
    <mergeCell ref="FZU114:GAU114"/>
    <mergeCell ref="GAV114:GBV114"/>
    <mergeCell ref="GBW114:GCW114"/>
    <mergeCell ref="GCX114:GDX114"/>
    <mergeCell ref="FRM114:FSM114"/>
    <mergeCell ref="FSN114:FTN114"/>
    <mergeCell ref="FTO114:FUO114"/>
    <mergeCell ref="FUP114:FVP114"/>
    <mergeCell ref="FVQ114:FWQ114"/>
    <mergeCell ref="FWR114:FXR114"/>
    <mergeCell ref="GWQ114:GXQ114"/>
    <mergeCell ref="GXR114:GYR114"/>
    <mergeCell ref="GYS114:GZS114"/>
    <mergeCell ref="GZT114:HAT114"/>
    <mergeCell ref="HAU114:HBU114"/>
    <mergeCell ref="HBV114:HCV114"/>
    <mergeCell ref="GQK114:GRK114"/>
    <mergeCell ref="GRL114:GSL114"/>
    <mergeCell ref="GSM114:GTM114"/>
    <mergeCell ref="GTN114:GUN114"/>
    <mergeCell ref="GUO114:GVO114"/>
    <mergeCell ref="GVP114:GWP114"/>
    <mergeCell ref="GKE114:GLE114"/>
    <mergeCell ref="GLF114:GMF114"/>
    <mergeCell ref="GMG114:GNG114"/>
    <mergeCell ref="GNH114:GOH114"/>
    <mergeCell ref="GOI114:GPI114"/>
    <mergeCell ref="GPJ114:GQJ114"/>
    <mergeCell ref="HPI114:HQI114"/>
    <mergeCell ref="HQJ114:HRJ114"/>
    <mergeCell ref="HRK114:HSK114"/>
    <mergeCell ref="HSL114:HTL114"/>
    <mergeCell ref="HTM114:HUM114"/>
    <mergeCell ref="HUN114:HVN114"/>
    <mergeCell ref="HJC114:HKC114"/>
    <mergeCell ref="HKD114:HLD114"/>
    <mergeCell ref="HLE114:HME114"/>
    <mergeCell ref="HMF114:HNF114"/>
    <mergeCell ref="HNG114:HOG114"/>
    <mergeCell ref="HOH114:HPH114"/>
    <mergeCell ref="HCW114:HDW114"/>
    <mergeCell ref="HDX114:HEX114"/>
    <mergeCell ref="HEY114:HFY114"/>
    <mergeCell ref="HFZ114:HGZ114"/>
    <mergeCell ref="HHA114:HIA114"/>
    <mergeCell ref="HIB114:HJB114"/>
    <mergeCell ref="IIA114:IJA114"/>
    <mergeCell ref="IJB114:IKB114"/>
    <mergeCell ref="IKC114:ILC114"/>
    <mergeCell ref="ILD114:IMD114"/>
    <mergeCell ref="IME114:INE114"/>
    <mergeCell ref="INF114:IOF114"/>
    <mergeCell ref="IBU114:ICU114"/>
    <mergeCell ref="ICV114:IDV114"/>
    <mergeCell ref="IDW114:IEW114"/>
    <mergeCell ref="IEX114:IFX114"/>
    <mergeCell ref="IFY114:IGY114"/>
    <mergeCell ref="IGZ114:IHZ114"/>
    <mergeCell ref="HVO114:HWO114"/>
    <mergeCell ref="HWP114:HXP114"/>
    <mergeCell ref="HXQ114:HYQ114"/>
    <mergeCell ref="HYR114:HZR114"/>
    <mergeCell ref="HZS114:IAS114"/>
    <mergeCell ref="IAT114:IBT114"/>
    <mergeCell ref="JAS114:JBS114"/>
    <mergeCell ref="JBT114:JCT114"/>
    <mergeCell ref="JCU114:JDU114"/>
    <mergeCell ref="JDV114:JEV114"/>
    <mergeCell ref="JEW114:JFW114"/>
    <mergeCell ref="JFX114:JGX114"/>
    <mergeCell ref="IUM114:IVM114"/>
    <mergeCell ref="IVN114:IWN114"/>
    <mergeCell ref="IWO114:IXO114"/>
    <mergeCell ref="IXP114:IYP114"/>
    <mergeCell ref="IYQ114:IZQ114"/>
    <mergeCell ref="IZR114:JAR114"/>
    <mergeCell ref="IOG114:IPG114"/>
    <mergeCell ref="IPH114:IQH114"/>
    <mergeCell ref="IQI114:IRI114"/>
    <mergeCell ref="IRJ114:ISJ114"/>
    <mergeCell ref="ISK114:ITK114"/>
    <mergeCell ref="ITL114:IUL114"/>
    <mergeCell ref="JTK114:JUK114"/>
    <mergeCell ref="JUL114:JVL114"/>
    <mergeCell ref="JVM114:JWM114"/>
    <mergeCell ref="JWN114:JXN114"/>
    <mergeCell ref="JXO114:JYO114"/>
    <mergeCell ref="JYP114:JZP114"/>
    <mergeCell ref="JNE114:JOE114"/>
    <mergeCell ref="JOF114:JPF114"/>
    <mergeCell ref="JPG114:JQG114"/>
    <mergeCell ref="JQH114:JRH114"/>
    <mergeCell ref="JRI114:JSI114"/>
    <mergeCell ref="JSJ114:JTJ114"/>
    <mergeCell ref="JGY114:JHY114"/>
    <mergeCell ref="JHZ114:JIZ114"/>
    <mergeCell ref="JJA114:JKA114"/>
    <mergeCell ref="JKB114:JLB114"/>
    <mergeCell ref="JLC114:JMC114"/>
    <mergeCell ref="JMD114:JND114"/>
    <mergeCell ref="KMC114:KNC114"/>
    <mergeCell ref="KND114:KOD114"/>
    <mergeCell ref="KOE114:KPE114"/>
    <mergeCell ref="KPF114:KQF114"/>
    <mergeCell ref="KQG114:KRG114"/>
    <mergeCell ref="KRH114:KSH114"/>
    <mergeCell ref="KFW114:KGW114"/>
    <mergeCell ref="KGX114:KHX114"/>
    <mergeCell ref="KHY114:KIY114"/>
    <mergeCell ref="KIZ114:KJZ114"/>
    <mergeCell ref="KKA114:KLA114"/>
    <mergeCell ref="KLB114:KMB114"/>
    <mergeCell ref="JZQ114:KAQ114"/>
    <mergeCell ref="KAR114:KBR114"/>
    <mergeCell ref="KBS114:KCS114"/>
    <mergeCell ref="KCT114:KDT114"/>
    <mergeCell ref="KDU114:KEU114"/>
    <mergeCell ref="KEV114:KFV114"/>
    <mergeCell ref="LEU114:LFU114"/>
    <mergeCell ref="LFV114:LGV114"/>
    <mergeCell ref="LGW114:LHW114"/>
    <mergeCell ref="LHX114:LIX114"/>
    <mergeCell ref="LIY114:LJY114"/>
    <mergeCell ref="LJZ114:LKZ114"/>
    <mergeCell ref="KYO114:KZO114"/>
    <mergeCell ref="KZP114:LAP114"/>
    <mergeCell ref="LAQ114:LBQ114"/>
    <mergeCell ref="LBR114:LCR114"/>
    <mergeCell ref="LCS114:LDS114"/>
    <mergeCell ref="LDT114:LET114"/>
    <mergeCell ref="KSI114:KTI114"/>
    <mergeCell ref="KTJ114:KUJ114"/>
    <mergeCell ref="KUK114:KVK114"/>
    <mergeCell ref="KVL114:KWL114"/>
    <mergeCell ref="KWM114:KXM114"/>
    <mergeCell ref="KXN114:KYN114"/>
    <mergeCell ref="LXM114:LYM114"/>
    <mergeCell ref="LYN114:LZN114"/>
    <mergeCell ref="LZO114:MAO114"/>
    <mergeCell ref="MAP114:MBP114"/>
    <mergeCell ref="MBQ114:MCQ114"/>
    <mergeCell ref="MCR114:MDR114"/>
    <mergeCell ref="LRG114:LSG114"/>
    <mergeCell ref="LSH114:LTH114"/>
    <mergeCell ref="LTI114:LUI114"/>
    <mergeCell ref="LUJ114:LVJ114"/>
    <mergeCell ref="LVK114:LWK114"/>
    <mergeCell ref="LWL114:LXL114"/>
    <mergeCell ref="LLA114:LMA114"/>
    <mergeCell ref="LMB114:LNB114"/>
    <mergeCell ref="LNC114:LOC114"/>
    <mergeCell ref="LOD114:LPD114"/>
    <mergeCell ref="LPE114:LQE114"/>
    <mergeCell ref="LQF114:LRF114"/>
    <mergeCell ref="MQE114:MRE114"/>
    <mergeCell ref="MRF114:MSF114"/>
    <mergeCell ref="MSG114:MTG114"/>
    <mergeCell ref="MTH114:MUH114"/>
    <mergeCell ref="MUI114:MVI114"/>
    <mergeCell ref="MVJ114:MWJ114"/>
    <mergeCell ref="MJY114:MKY114"/>
    <mergeCell ref="MKZ114:MLZ114"/>
    <mergeCell ref="MMA114:MNA114"/>
    <mergeCell ref="MNB114:MOB114"/>
    <mergeCell ref="MOC114:MPC114"/>
    <mergeCell ref="MPD114:MQD114"/>
    <mergeCell ref="MDS114:MES114"/>
    <mergeCell ref="MET114:MFT114"/>
    <mergeCell ref="MFU114:MGU114"/>
    <mergeCell ref="MGV114:MHV114"/>
    <mergeCell ref="MHW114:MIW114"/>
    <mergeCell ref="MIX114:MJX114"/>
    <mergeCell ref="NIW114:NJW114"/>
    <mergeCell ref="NJX114:NKX114"/>
    <mergeCell ref="NKY114:NLY114"/>
    <mergeCell ref="NLZ114:NMZ114"/>
    <mergeCell ref="NNA114:NOA114"/>
    <mergeCell ref="NOB114:NPB114"/>
    <mergeCell ref="NCQ114:NDQ114"/>
    <mergeCell ref="NDR114:NER114"/>
    <mergeCell ref="NES114:NFS114"/>
    <mergeCell ref="NFT114:NGT114"/>
    <mergeCell ref="NGU114:NHU114"/>
    <mergeCell ref="NHV114:NIV114"/>
    <mergeCell ref="MWK114:MXK114"/>
    <mergeCell ref="MXL114:MYL114"/>
    <mergeCell ref="MYM114:MZM114"/>
    <mergeCell ref="MZN114:NAN114"/>
    <mergeCell ref="NAO114:NBO114"/>
    <mergeCell ref="NBP114:NCP114"/>
    <mergeCell ref="OBO114:OCO114"/>
    <mergeCell ref="OCP114:ODP114"/>
    <mergeCell ref="ODQ114:OEQ114"/>
    <mergeCell ref="OER114:OFR114"/>
    <mergeCell ref="OFS114:OGS114"/>
    <mergeCell ref="OGT114:OHT114"/>
    <mergeCell ref="NVI114:NWI114"/>
    <mergeCell ref="NWJ114:NXJ114"/>
    <mergeCell ref="NXK114:NYK114"/>
    <mergeCell ref="NYL114:NZL114"/>
    <mergeCell ref="NZM114:OAM114"/>
    <mergeCell ref="OAN114:OBN114"/>
    <mergeCell ref="NPC114:NQC114"/>
    <mergeCell ref="NQD114:NRD114"/>
    <mergeCell ref="NRE114:NSE114"/>
    <mergeCell ref="NSF114:NTF114"/>
    <mergeCell ref="NTG114:NUG114"/>
    <mergeCell ref="NUH114:NVH114"/>
    <mergeCell ref="OUG114:OVG114"/>
    <mergeCell ref="OVH114:OWH114"/>
    <mergeCell ref="OWI114:OXI114"/>
    <mergeCell ref="OXJ114:OYJ114"/>
    <mergeCell ref="OYK114:OZK114"/>
    <mergeCell ref="OZL114:PAL114"/>
    <mergeCell ref="OOA114:OPA114"/>
    <mergeCell ref="OPB114:OQB114"/>
    <mergeCell ref="OQC114:ORC114"/>
    <mergeCell ref="ORD114:OSD114"/>
    <mergeCell ref="OSE114:OTE114"/>
    <mergeCell ref="OTF114:OUF114"/>
    <mergeCell ref="OHU114:OIU114"/>
    <mergeCell ref="OIV114:OJV114"/>
    <mergeCell ref="OJW114:OKW114"/>
    <mergeCell ref="OKX114:OLX114"/>
    <mergeCell ref="OLY114:OMY114"/>
    <mergeCell ref="OMZ114:ONZ114"/>
    <mergeCell ref="PMY114:PNY114"/>
    <mergeCell ref="PNZ114:POZ114"/>
    <mergeCell ref="PPA114:PQA114"/>
    <mergeCell ref="PQB114:PRB114"/>
    <mergeCell ref="PRC114:PSC114"/>
    <mergeCell ref="PSD114:PTD114"/>
    <mergeCell ref="PGS114:PHS114"/>
    <mergeCell ref="PHT114:PIT114"/>
    <mergeCell ref="PIU114:PJU114"/>
    <mergeCell ref="PJV114:PKV114"/>
    <mergeCell ref="PKW114:PLW114"/>
    <mergeCell ref="PLX114:PMX114"/>
    <mergeCell ref="PAM114:PBM114"/>
    <mergeCell ref="PBN114:PCN114"/>
    <mergeCell ref="PCO114:PDO114"/>
    <mergeCell ref="PDP114:PEP114"/>
    <mergeCell ref="PEQ114:PFQ114"/>
    <mergeCell ref="PFR114:PGR114"/>
    <mergeCell ref="QFQ114:QGQ114"/>
    <mergeCell ref="QGR114:QHR114"/>
    <mergeCell ref="QHS114:QIS114"/>
    <mergeCell ref="QIT114:QJT114"/>
    <mergeCell ref="QJU114:QKU114"/>
    <mergeCell ref="QKV114:QLV114"/>
    <mergeCell ref="PZK114:QAK114"/>
    <mergeCell ref="QAL114:QBL114"/>
    <mergeCell ref="QBM114:QCM114"/>
    <mergeCell ref="QCN114:QDN114"/>
    <mergeCell ref="QDO114:QEO114"/>
    <mergeCell ref="QEP114:QFP114"/>
    <mergeCell ref="PTE114:PUE114"/>
    <mergeCell ref="PUF114:PVF114"/>
    <mergeCell ref="PVG114:PWG114"/>
    <mergeCell ref="PWH114:PXH114"/>
    <mergeCell ref="PXI114:PYI114"/>
    <mergeCell ref="PYJ114:PZJ114"/>
    <mergeCell ref="QYI114:QZI114"/>
    <mergeCell ref="QZJ114:RAJ114"/>
    <mergeCell ref="RAK114:RBK114"/>
    <mergeCell ref="RBL114:RCL114"/>
    <mergeCell ref="RCM114:RDM114"/>
    <mergeCell ref="RDN114:REN114"/>
    <mergeCell ref="QSC114:QTC114"/>
    <mergeCell ref="QTD114:QUD114"/>
    <mergeCell ref="QUE114:QVE114"/>
    <mergeCell ref="QVF114:QWF114"/>
    <mergeCell ref="QWG114:QXG114"/>
    <mergeCell ref="QXH114:QYH114"/>
    <mergeCell ref="QLW114:QMW114"/>
    <mergeCell ref="QMX114:QNX114"/>
    <mergeCell ref="QNY114:QOY114"/>
    <mergeCell ref="QOZ114:QPZ114"/>
    <mergeCell ref="QQA114:QRA114"/>
    <mergeCell ref="QRB114:QSB114"/>
    <mergeCell ref="RRA114:RSA114"/>
    <mergeCell ref="RSB114:RTB114"/>
    <mergeCell ref="RTC114:RUC114"/>
    <mergeCell ref="RUD114:RVD114"/>
    <mergeCell ref="RVE114:RWE114"/>
    <mergeCell ref="RWF114:RXF114"/>
    <mergeCell ref="RKU114:RLU114"/>
    <mergeCell ref="RLV114:RMV114"/>
    <mergeCell ref="RMW114:RNW114"/>
    <mergeCell ref="RNX114:ROX114"/>
    <mergeCell ref="ROY114:RPY114"/>
    <mergeCell ref="RPZ114:RQZ114"/>
    <mergeCell ref="REO114:RFO114"/>
    <mergeCell ref="RFP114:RGP114"/>
    <mergeCell ref="RGQ114:RHQ114"/>
    <mergeCell ref="RHR114:RIR114"/>
    <mergeCell ref="RIS114:RJS114"/>
    <mergeCell ref="RJT114:RKT114"/>
    <mergeCell ref="SJS114:SKS114"/>
    <mergeCell ref="SKT114:SLT114"/>
    <mergeCell ref="SLU114:SMU114"/>
    <mergeCell ref="SMV114:SNV114"/>
    <mergeCell ref="SNW114:SOW114"/>
    <mergeCell ref="SOX114:SPX114"/>
    <mergeCell ref="SDM114:SEM114"/>
    <mergeCell ref="SEN114:SFN114"/>
    <mergeCell ref="SFO114:SGO114"/>
    <mergeCell ref="SGP114:SHP114"/>
    <mergeCell ref="SHQ114:SIQ114"/>
    <mergeCell ref="SIR114:SJR114"/>
    <mergeCell ref="RXG114:RYG114"/>
    <mergeCell ref="RYH114:RZH114"/>
    <mergeCell ref="RZI114:SAI114"/>
    <mergeCell ref="SAJ114:SBJ114"/>
    <mergeCell ref="SBK114:SCK114"/>
    <mergeCell ref="SCL114:SDL114"/>
    <mergeCell ref="TCK114:TDK114"/>
    <mergeCell ref="TDL114:TEL114"/>
    <mergeCell ref="TEM114:TFM114"/>
    <mergeCell ref="TFN114:TGN114"/>
    <mergeCell ref="TGO114:THO114"/>
    <mergeCell ref="THP114:TIP114"/>
    <mergeCell ref="SWE114:SXE114"/>
    <mergeCell ref="SXF114:SYF114"/>
    <mergeCell ref="SYG114:SZG114"/>
    <mergeCell ref="SZH114:TAH114"/>
    <mergeCell ref="TAI114:TBI114"/>
    <mergeCell ref="TBJ114:TCJ114"/>
    <mergeCell ref="SPY114:SQY114"/>
    <mergeCell ref="SQZ114:SRZ114"/>
    <mergeCell ref="SSA114:STA114"/>
    <mergeCell ref="STB114:SUB114"/>
    <mergeCell ref="SUC114:SVC114"/>
    <mergeCell ref="SVD114:SWD114"/>
    <mergeCell ref="TVC114:TWC114"/>
    <mergeCell ref="TWD114:TXD114"/>
    <mergeCell ref="TXE114:TYE114"/>
    <mergeCell ref="TYF114:TZF114"/>
    <mergeCell ref="TZG114:UAG114"/>
    <mergeCell ref="UAH114:UBH114"/>
    <mergeCell ref="TOW114:TPW114"/>
    <mergeCell ref="TPX114:TQX114"/>
    <mergeCell ref="TQY114:TRY114"/>
    <mergeCell ref="TRZ114:TSZ114"/>
    <mergeCell ref="TTA114:TUA114"/>
    <mergeCell ref="TUB114:TVB114"/>
    <mergeCell ref="TIQ114:TJQ114"/>
    <mergeCell ref="TJR114:TKR114"/>
    <mergeCell ref="TKS114:TLS114"/>
    <mergeCell ref="TLT114:TMT114"/>
    <mergeCell ref="TMU114:TNU114"/>
    <mergeCell ref="TNV114:TOV114"/>
    <mergeCell ref="UNU114:UOU114"/>
    <mergeCell ref="UOV114:UPV114"/>
    <mergeCell ref="UPW114:UQW114"/>
    <mergeCell ref="UQX114:URX114"/>
    <mergeCell ref="URY114:USY114"/>
    <mergeCell ref="USZ114:UTZ114"/>
    <mergeCell ref="UHO114:UIO114"/>
    <mergeCell ref="UIP114:UJP114"/>
    <mergeCell ref="UJQ114:UKQ114"/>
    <mergeCell ref="UKR114:ULR114"/>
    <mergeCell ref="ULS114:UMS114"/>
    <mergeCell ref="UMT114:UNT114"/>
    <mergeCell ref="UBI114:UCI114"/>
    <mergeCell ref="UCJ114:UDJ114"/>
    <mergeCell ref="UDK114:UEK114"/>
    <mergeCell ref="UEL114:UFL114"/>
    <mergeCell ref="UFM114:UGM114"/>
    <mergeCell ref="UGN114:UHN114"/>
    <mergeCell ref="VGM114:VHM114"/>
    <mergeCell ref="VHN114:VIN114"/>
    <mergeCell ref="VIO114:VJO114"/>
    <mergeCell ref="VJP114:VKP114"/>
    <mergeCell ref="VKQ114:VLQ114"/>
    <mergeCell ref="VLR114:VMR114"/>
    <mergeCell ref="VAG114:VBG114"/>
    <mergeCell ref="VBH114:VCH114"/>
    <mergeCell ref="VCI114:VDI114"/>
    <mergeCell ref="VDJ114:VEJ114"/>
    <mergeCell ref="VEK114:VFK114"/>
    <mergeCell ref="VFL114:VGL114"/>
    <mergeCell ref="UUA114:UVA114"/>
    <mergeCell ref="UVB114:UWB114"/>
    <mergeCell ref="UWC114:UXC114"/>
    <mergeCell ref="UXD114:UYD114"/>
    <mergeCell ref="UYE114:UZE114"/>
    <mergeCell ref="UZF114:VAF114"/>
    <mergeCell ref="WAF114:WBF114"/>
    <mergeCell ref="WBG114:WCG114"/>
    <mergeCell ref="WCH114:WDH114"/>
    <mergeCell ref="WDI114:WEI114"/>
    <mergeCell ref="WEJ114:WFJ114"/>
    <mergeCell ref="VSY114:VTY114"/>
    <mergeCell ref="VTZ114:VUZ114"/>
    <mergeCell ref="VVA114:VWA114"/>
    <mergeCell ref="VWB114:VXB114"/>
    <mergeCell ref="VXC114:VYC114"/>
    <mergeCell ref="VYD114:VZD114"/>
    <mergeCell ref="VMS114:VNS114"/>
    <mergeCell ref="VNT114:VOT114"/>
    <mergeCell ref="VOU114:VPU114"/>
    <mergeCell ref="VPV114:VQV114"/>
    <mergeCell ref="VQW114:VRW114"/>
    <mergeCell ref="VRX114:VSX114"/>
    <mergeCell ref="XEI114:XFD114"/>
    <mergeCell ref="A115:D115"/>
    <mergeCell ref="E115:F115"/>
    <mergeCell ref="G115:K115"/>
    <mergeCell ref="P115:Q115"/>
    <mergeCell ref="R115:S115"/>
    <mergeCell ref="T115:AA115"/>
    <mergeCell ref="WYC114:WZC114"/>
    <mergeCell ref="WZD114:XAD114"/>
    <mergeCell ref="XAE114:XBE114"/>
    <mergeCell ref="XBF114:XCF114"/>
    <mergeCell ref="XCG114:XDG114"/>
    <mergeCell ref="XDH114:XEH114"/>
    <mergeCell ref="WRW114:WSW114"/>
    <mergeCell ref="WSX114:WTX114"/>
    <mergeCell ref="WTY114:WUY114"/>
    <mergeCell ref="WUZ114:WVZ114"/>
    <mergeCell ref="WWA114:WXA114"/>
    <mergeCell ref="WXB114:WYB114"/>
    <mergeCell ref="WLQ114:WMQ114"/>
    <mergeCell ref="WMR114:WNR114"/>
    <mergeCell ref="WNS114:WOS114"/>
    <mergeCell ref="WOT114:WPT114"/>
    <mergeCell ref="WPU114:WQU114"/>
    <mergeCell ref="WQV114:WRV114"/>
    <mergeCell ref="WFK114:WGK114"/>
    <mergeCell ref="WGL114:WHL114"/>
    <mergeCell ref="WHM114:WIM114"/>
    <mergeCell ref="WIN114:WJN114"/>
    <mergeCell ref="WJO114:WKO114"/>
    <mergeCell ref="WKP114:WLP114"/>
    <mergeCell ref="VZE114:WAE114"/>
    <mergeCell ref="A118:D118"/>
    <mergeCell ref="E118:F118"/>
    <mergeCell ref="G118:K118"/>
    <mergeCell ref="P118:Q118"/>
    <mergeCell ref="R118:S118"/>
    <mergeCell ref="T118:AA118"/>
    <mergeCell ref="A117:D117"/>
    <mergeCell ref="E117:F117"/>
    <mergeCell ref="G117:K117"/>
    <mergeCell ref="P117:Q117"/>
    <mergeCell ref="R117:S117"/>
    <mergeCell ref="T117:AA117"/>
    <mergeCell ref="A116:D116"/>
    <mergeCell ref="E116:F116"/>
    <mergeCell ref="G116:K116"/>
    <mergeCell ref="P116:Q116"/>
    <mergeCell ref="R116:S116"/>
    <mergeCell ref="T116:AA116"/>
    <mergeCell ref="P125:S125"/>
    <mergeCell ref="T125:U125"/>
    <mergeCell ref="V125:W125"/>
    <mergeCell ref="A126:B126"/>
    <mergeCell ref="C126:D126"/>
    <mergeCell ref="E126:F126"/>
    <mergeCell ref="G126:H126"/>
    <mergeCell ref="I126:J126"/>
    <mergeCell ref="K126:L126"/>
    <mergeCell ref="M126:O126"/>
    <mergeCell ref="A125:B125"/>
    <mergeCell ref="C125:D125"/>
    <mergeCell ref="E125:F125"/>
    <mergeCell ref="G125:H125"/>
    <mergeCell ref="K125:L125"/>
    <mergeCell ref="M125:O125"/>
    <mergeCell ref="A121:D121"/>
    <mergeCell ref="E121:H121"/>
    <mergeCell ref="I121:K121"/>
    <mergeCell ref="M121:N121"/>
    <mergeCell ref="A122:D122"/>
    <mergeCell ref="E122:H122"/>
    <mergeCell ref="I122:K122"/>
    <mergeCell ref="M122:N122"/>
    <mergeCell ref="A135:C135"/>
    <mergeCell ref="D135:Q135"/>
    <mergeCell ref="A136:C136"/>
    <mergeCell ref="D136:Q136"/>
    <mergeCell ref="A137:C137"/>
    <mergeCell ref="D137:Q137"/>
    <mergeCell ref="A132:C132"/>
    <mergeCell ref="D132:Q132"/>
    <mergeCell ref="A133:C133"/>
    <mergeCell ref="D133:Q133"/>
    <mergeCell ref="A134:C134"/>
    <mergeCell ref="D134:Q134"/>
    <mergeCell ref="P126:S126"/>
    <mergeCell ref="T126:U126"/>
    <mergeCell ref="V126:W126"/>
    <mergeCell ref="A130:C130"/>
    <mergeCell ref="D130:Q130"/>
    <mergeCell ref="A131:C131"/>
    <mergeCell ref="D131:Q131"/>
    <mergeCell ref="A146:C146"/>
    <mergeCell ref="E146:F146"/>
    <mergeCell ref="H146:J146"/>
    <mergeCell ref="K146:M146"/>
    <mergeCell ref="A147:C147"/>
    <mergeCell ref="E147:F147"/>
    <mergeCell ref="H147:J147"/>
    <mergeCell ref="K147:M147"/>
    <mergeCell ref="A143:C143"/>
    <mergeCell ref="D143:F143"/>
    <mergeCell ref="G143:J143"/>
    <mergeCell ref="A144:C144"/>
    <mergeCell ref="D144:F144"/>
    <mergeCell ref="G144:J144"/>
    <mergeCell ref="A138:C138"/>
    <mergeCell ref="D138:Q138"/>
    <mergeCell ref="A139:C139"/>
    <mergeCell ref="D139:Q139"/>
    <mergeCell ref="A140:C140"/>
    <mergeCell ref="D140:Q140"/>
    <mergeCell ref="U152:V152"/>
    <mergeCell ref="W152:X152"/>
    <mergeCell ref="A153:F153"/>
    <mergeCell ref="G153:J153"/>
    <mergeCell ref="K153:L153"/>
    <mergeCell ref="M153:O153"/>
    <mergeCell ref="P153:R153"/>
    <mergeCell ref="S153:T153"/>
    <mergeCell ref="U153:V153"/>
    <mergeCell ref="W153:X153"/>
    <mergeCell ref="A152:F152"/>
    <mergeCell ref="G152:J152"/>
    <mergeCell ref="K152:L152"/>
    <mergeCell ref="M152:O152"/>
    <mergeCell ref="P152:R152"/>
    <mergeCell ref="S152:T152"/>
    <mergeCell ref="A148:C148"/>
    <mergeCell ref="E148:F148"/>
    <mergeCell ref="H148:J148"/>
    <mergeCell ref="K148:M148"/>
    <mergeCell ref="A149:C149"/>
    <mergeCell ref="E149:F149"/>
    <mergeCell ref="H149:J149"/>
    <mergeCell ref="K149:M149"/>
    <mergeCell ref="T157:U157"/>
    <mergeCell ref="V157:W157"/>
    <mergeCell ref="A164:B164"/>
    <mergeCell ref="A167:B167"/>
    <mergeCell ref="A170:B170"/>
    <mergeCell ref="A173:B173"/>
    <mergeCell ref="P156:S156"/>
    <mergeCell ref="V156:W156"/>
    <mergeCell ref="A157:B157"/>
    <mergeCell ref="C157:D157"/>
    <mergeCell ref="E157:F157"/>
    <mergeCell ref="G157:H157"/>
    <mergeCell ref="I157:J157"/>
    <mergeCell ref="K157:L157"/>
    <mergeCell ref="M157:O157"/>
    <mergeCell ref="P157:S157"/>
    <mergeCell ref="A156:B156"/>
    <mergeCell ref="C156:D156"/>
    <mergeCell ref="E156:F156"/>
    <mergeCell ref="G156:H156"/>
    <mergeCell ref="K156:L156"/>
    <mergeCell ref="M156:O156"/>
    <mergeCell ref="A215:C215"/>
    <mergeCell ref="A216:C216"/>
    <mergeCell ref="A218:C218"/>
    <mergeCell ref="A208:C208"/>
    <mergeCell ref="A209:C209"/>
    <mergeCell ref="A210:C210"/>
    <mergeCell ref="A211:C211"/>
    <mergeCell ref="A212:C212"/>
    <mergeCell ref="A214:C214"/>
    <mergeCell ref="A190:B190"/>
    <mergeCell ref="A193:B193"/>
    <mergeCell ref="A196:B196"/>
    <mergeCell ref="A199:B199"/>
    <mergeCell ref="A202:B202"/>
    <mergeCell ref="A204:B204"/>
    <mergeCell ref="A175:B175"/>
    <mergeCell ref="A177:B177"/>
    <mergeCell ref="A179:B179"/>
    <mergeCell ref="A181:B181"/>
    <mergeCell ref="A184:B184"/>
    <mergeCell ref="A187:B187"/>
  </mergeCells>
  <dataValidations count="1">
    <dataValidation type="list" allowBlank="1" showInputMessage="1" showErrorMessage="1" sqref="G17" xr:uid="{389CECCF-6AC5-465B-A63E-84B4415D2C24}">
      <formula1>"1,2,3"</formula1>
    </dataValidation>
  </dataValidations>
  <hyperlinks>
    <hyperlink ref="D139" r:id="rId1" tooltip="India Buy Now Pay Later Services Market Size, Share Forecast 2034" display="https://www.marketresearchfuture.com/reports/india-buy-now-pay-later-services-market-21686?utm_source=chatgpt.com" xr:uid="{89083943-454F-400A-89CE-73F69AD634B2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4E8C-C919-4E03-A6BE-9335A3A34721}">
  <sheetPr codeName="Sheet5"/>
  <dimension ref="A1:AD214"/>
  <sheetViews>
    <sheetView showGridLines="0" topLeftCell="A11" zoomScale="99" workbookViewId="0">
      <selection activeCell="G27" sqref="G27"/>
    </sheetView>
  </sheetViews>
  <sheetFormatPr defaultRowHeight="14.4"/>
  <cols>
    <col min="3" max="4" width="9.109375" bestFit="1" customWidth="1"/>
    <col min="5" max="5" width="9.21875" bestFit="1" customWidth="1"/>
    <col min="6" max="7" width="9.109375" bestFit="1" customWidth="1"/>
    <col min="8" max="8" width="9.44140625" bestFit="1" customWidth="1"/>
    <col min="9" max="9" width="9.109375" bestFit="1" customWidth="1"/>
    <col min="10" max="10" width="9" bestFit="1" customWidth="1"/>
    <col min="11" max="11" width="9.44140625" bestFit="1" customWidth="1"/>
    <col min="12" max="13" width="9.109375" bestFit="1" customWidth="1"/>
    <col min="14" max="14" width="9.21875" bestFit="1" customWidth="1"/>
    <col min="15" max="15" width="9.33203125" bestFit="1" customWidth="1"/>
    <col min="16" max="16" width="9.109375" bestFit="1" customWidth="1"/>
    <col min="17" max="17" width="9" bestFit="1" customWidth="1"/>
    <col min="18" max="19" width="10.33203125" bestFit="1" customWidth="1"/>
    <col min="20" max="20" width="9" bestFit="1" customWidth="1"/>
    <col min="26" max="27" width="9" bestFit="1" customWidth="1"/>
  </cols>
  <sheetData>
    <row r="1" spans="1:9" s="1" customFormat="1" ht="21">
      <c r="A1" s="256" t="s">
        <v>723</v>
      </c>
      <c r="B1" s="256"/>
      <c r="C1" s="256"/>
      <c r="D1" s="256"/>
      <c r="E1" s="256"/>
      <c r="F1" s="256"/>
      <c r="G1" s="256"/>
    </row>
    <row r="2" spans="1:9" s="3" customFormat="1">
      <c r="A2" s="2" t="s">
        <v>0</v>
      </c>
    </row>
    <row r="3" spans="1:9">
      <c r="A3" s="257" t="s">
        <v>1</v>
      </c>
      <c r="B3" s="258"/>
      <c r="C3" s="258"/>
      <c r="D3" s="259"/>
      <c r="E3" s="260" t="s">
        <v>453</v>
      </c>
      <c r="F3" s="260"/>
      <c r="G3" s="260" t="s">
        <v>454</v>
      </c>
      <c r="H3" s="261"/>
      <c r="I3" s="4" t="s">
        <v>4</v>
      </c>
    </row>
    <row r="4" spans="1:9">
      <c r="A4" s="245" t="s">
        <v>455</v>
      </c>
      <c r="B4" s="245"/>
      <c r="C4" s="245"/>
      <c r="D4" s="245"/>
      <c r="E4" s="253">
        <f>E32</f>
        <v>2.9750000000000001</v>
      </c>
      <c r="F4" s="253"/>
      <c r="G4" s="253">
        <f>F32</f>
        <v>15.050820888020732</v>
      </c>
      <c r="H4" s="253"/>
      <c r="I4" s="5">
        <f>(G4/E4)^0.1-1</f>
        <v>0.17600000000000016</v>
      </c>
    </row>
    <row r="5" spans="1:9" ht="15" thickBot="1">
      <c r="A5" s="459" t="s">
        <v>456</v>
      </c>
      <c r="B5" s="246"/>
      <c r="C5" s="246"/>
      <c r="D5" s="246"/>
      <c r="E5" s="168">
        <f>E35</f>
        <v>52.062500000000007</v>
      </c>
      <c r="F5" s="168"/>
      <c r="G5" s="168">
        <f>F35</f>
        <v>263.3893655403628</v>
      </c>
      <c r="H5" s="250"/>
      <c r="I5" s="5">
        <f>(G5/E5)^0.1-1</f>
        <v>0.17600000000000016</v>
      </c>
    </row>
    <row r="6" spans="1:9" s="7" customFormat="1" ht="15" thickTop="1">
      <c r="A6" s="6" t="s">
        <v>7</v>
      </c>
      <c r="B6" s="6"/>
      <c r="C6" s="6"/>
      <c r="D6" s="6"/>
      <c r="E6" s="247">
        <f xml:space="preserve"> E5/E4/1000</f>
        <v>1.7500000000000005E-2</v>
      </c>
      <c r="F6" s="247"/>
      <c r="G6" s="247">
        <f xml:space="preserve"> G5/G4/1000</f>
        <v>1.7500000000000002E-2</v>
      </c>
      <c r="H6" s="247"/>
      <c r="I6" s="5"/>
    </row>
    <row r="7" spans="1:9" s="7" customFormat="1">
      <c r="A7" s="6"/>
      <c r="B7" s="6"/>
      <c r="C7" s="6"/>
      <c r="D7" s="6"/>
      <c r="E7" s="8"/>
      <c r="F7" s="8"/>
      <c r="G7" s="8"/>
      <c r="H7" s="8"/>
      <c r="I7" s="5"/>
    </row>
    <row r="8" spans="1:9">
      <c r="A8" s="245" t="s">
        <v>457</v>
      </c>
      <c r="B8" s="245"/>
      <c r="C8" s="245"/>
      <c r="D8" s="245"/>
      <c r="E8" s="253">
        <f>L32</f>
        <v>0.46536144578313254</v>
      </c>
      <c r="F8" s="253"/>
      <c r="G8" s="254">
        <f>M32</f>
        <v>1.2347424561590754</v>
      </c>
      <c r="H8" s="255"/>
      <c r="I8" s="5">
        <f>(G8/E8)^0.1-1</f>
        <v>0.10250000000000004</v>
      </c>
    </row>
    <row r="9" spans="1:9" ht="15" thickBot="1">
      <c r="A9" s="459" t="s">
        <v>456</v>
      </c>
      <c r="B9" s="246"/>
      <c r="C9" s="246"/>
      <c r="D9" s="246"/>
      <c r="E9" s="168">
        <f>L35</f>
        <v>8.143825301204819</v>
      </c>
      <c r="F9" s="168"/>
      <c r="G9" s="168">
        <f>M35</f>
        <v>21.607992982783824</v>
      </c>
      <c r="H9" s="250"/>
      <c r="I9" s="5">
        <f>(G9/E9)^0.1-1</f>
        <v>0.10250000000000004</v>
      </c>
    </row>
    <row r="10" spans="1:9" s="7" customFormat="1" ht="15" thickTop="1">
      <c r="A10" s="6" t="s">
        <v>7</v>
      </c>
      <c r="B10" s="6"/>
      <c r="C10" s="6"/>
      <c r="D10" s="6"/>
      <c r="E10" s="247">
        <f xml:space="preserve"> E9/E8/1000</f>
        <v>1.7500000000000002E-2</v>
      </c>
      <c r="F10" s="247"/>
      <c r="G10" s="247">
        <f xml:space="preserve"> G9/G8/1000</f>
        <v>1.7500000000000005E-2</v>
      </c>
      <c r="H10" s="247"/>
      <c r="I10" s="5"/>
    </row>
    <row r="11" spans="1:9" s="7" customFormat="1">
      <c r="A11" s="6"/>
      <c r="B11" s="6"/>
      <c r="C11" s="6"/>
      <c r="D11" s="6"/>
      <c r="E11" s="8"/>
      <c r="F11" s="8"/>
      <c r="G11" s="8"/>
      <c r="H11" s="8"/>
      <c r="I11" s="5"/>
    </row>
    <row r="12" spans="1:9" s="7" customFormat="1">
      <c r="A12" s="6"/>
      <c r="B12" s="6"/>
      <c r="C12" s="6"/>
      <c r="D12" s="6"/>
      <c r="E12" s="8"/>
      <c r="F12" s="8"/>
      <c r="G12" s="8"/>
      <c r="H12" s="8"/>
      <c r="I12" s="5"/>
    </row>
    <row r="13" spans="1:9">
      <c r="A13" s="252" t="s">
        <v>458</v>
      </c>
      <c r="B13" s="252"/>
      <c r="C13" s="252"/>
      <c r="D13" s="252"/>
      <c r="E13" s="253">
        <f>S32</f>
        <v>0.14299999999999999</v>
      </c>
      <c r="F13" s="253"/>
      <c r="G13" s="254">
        <f>T32</f>
        <v>0.45821236546041022</v>
      </c>
      <c r="H13" s="255"/>
      <c r="I13" s="5">
        <f>(G13/E13)^0.1-1</f>
        <v>0.12350000000000017</v>
      </c>
    </row>
    <row r="14" spans="1:9" ht="15" thickBot="1">
      <c r="A14" s="459" t="s">
        <v>456</v>
      </c>
      <c r="B14" s="246"/>
      <c r="C14" s="246"/>
      <c r="D14" s="246"/>
      <c r="E14" s="168">
        <f>S35</f>
        <v>2.5024999999999995</v>
      </c>
      <c r="F14" s="168"/>
      <c r="G14" s="168">
        <f>T35</f>
        <v>8.0187163955571776</v>
      </c>
      <c r="H14" s="250"/>
      <c r="I14" s="5">
        <f>(G14/E14)^0.1-1</f>
        <v>0.12350000000000017</v>
      </c>
    </row>
    <row r="15" spans="1:9" s="7" customFormat="1" ht="15" thickTop="1">
      <c r="A15" s="6" t="s">
        <v>7</v>
      </c>
      <c r="B15" s="6"/>
      <c r="C15" s="6"/>
      <c r="D15" s="6"/>
      <c r="E15" s="247">
        <f xml:space="preserve"> E14/E13/1000</f>
        <v>1.7499999999999995E-2</v>
      </c>
      <c r="F15" s="247"/>
      <c r="G15" s="247">
        <f xml:space="preserve"> G14/G13/1000</f>
        <v>1.7499999999999995E-2</v>
      </c>
      <c r="H15" s="247"/>
      <c r="I15" s="5"/>
    </row>
    <row r="16" spans="1:9" s="7" customFormat="1">
      <c r="A16" s="6"/>
      <c r="B16" s="6"/>
      <c r="C16" s="6"/>
      <c r="D16" s="6"/>
      <c r="E16" s="8"/>
      <c r="F16" s="8"/>
      <c r="G16" s="8"/>
      <c r="H16" s="8"/>
      <c r="I16" s="5"/>
    </row>
    <row r="17" spans="1:27">
      <c r="A17" s="252" t="s">
        <v>459</v>
      </c>
      <c r="B17" s="252"/>
      <c r="C17" s="252"/>
      <c r="D17" s="252"/>
      <c r="E17" s="253">
        <f>Z32</f>
        <v>18.731927710843372</v>
      </c>
      <c r="F17" s="253"/>
      <c r="G17" s="254">
        <f>AA32</f>
        <v>76.700591349706826</v>
      </c>
      <c r="H17" s="255"/>
      <c r="I17" s="5">
        <f>(G17/E17)^0.1-1</f>
        <v>0.15138780138061247</v>
      </c>
    </row>
    <row r="18" spans="1:27" ht="15" thickBot="1">
      <c r="A18" s="459" t="s">
        <v>456</v>
      </c>
      <c r="B18" s="246"/>
      <c r="C18" s="246"/>
      <c r="D18" s="246"/>
      <c r="E18" s="168">
        <f>Z35</f>
        <v>327.80873493975912</v>
      </c>
      <c r="F18" s="168"/>
      <c r="G18" s="168">
        <f>AA35</f>
        <v>1342.2603486198693</v>
      </c>
      <c r="H18" s="250"/>
      <c r="I18" s="5">
        <f>(G18/E18)^0.1-1</f>
        <v>0.15138780138061247</v>
      </c>
    </row>
    <row r="19" spans="1:27" s="7" customFormat="1" ht="15" thickTop="1">
      <c r="A19" s="6" t="s">
        <v>7</v>
      </c>
      <c r="B19" s="6"/>
      <c r="C19" s="6"/>
      <c r="D19" s="6"/>
      <c r="E19" s="247">
        <f xml:space="preserve"> E18/E17/1000</f>
        <v>1.7500000000000009E-2</v>
      </c>
      <c r="F19" s="247"/>
      <c r="G19" s="247">
        <f xml:space="preserve"> G18/G17/1000</f>
        <v>1.7499999999999995E-2</v>
      </c>
      <c r="H19" s="247"/>
      <c r="I19" s="5"/>
    </row>
    <row r="20" spans="1:27">
      <c r="I20" s="5"/>
    </row>
    <row r="21" spans="1:27">
      <c r="A21" s="245" t="s">
        <v>460</v>
      </c>
      <c r="B21" s="245"/>
      <c r="C21" s="245"/>
      <c r="D21" s="245"/>
      <c r="E21" s="251">
        <f xml:space="preserve"> SUM(E4,E8,E13, E17)</f>
        <v>22.315289156626505</v>
      </c>
      <c r="F21" s="251"/>
      <c r="G21" s="251">
        <f xml:space="preserve"> SUM(G4,G8,G13, G17)</f>
        <v>93.444367059347044</v>
      </c>
      <c r="H21" s="251"/>
      <c r="I21" s="5">
        <f t="shared" ref="I21" si="0">(G21/E21)^0.1-1</f>
        <v>0.15397144089494907</v>
      </c>
    </row>
    <row r="22" spans="1:27" ht="15" thickBot="1">
      <c r="A22" s="459" t="s">
        <v>456</v>
      </c>
      <c r="B22" s="246"/>
      <c r="C22" s="246"/>
      <c r="D22" s="246"/>
      <c r="E22" s="168">
        <f xml:space="preserve"> SUM(E9,E5, E14, E18)</f>
        <v>390.51756024096392</v>
      </c>
      <c r="F22" s="168"/>
      <c r="G22" s="168">
        <f xml:space="preserve"> SUM(G9,G5, G14, G18)</f>
        <v>1635.276423538573</v>
      </c>
      <c r="H22" s="168"/>
      <c r="I22" s="5">
        <f>(G22/E22)^0.1-1</f>
        <v>0.15397144089494907</v>
      </c>
    </row>
    <row r="23" spans="1:27" s="7" customFormat="1" ht="15" thickTop="1">
      <c r="A23" s="6" t="s">
        <v>7</v>
      </c>
      <c r="B23" s="6"/>
      <c r="C23" s="6"/>
      <c r="D23" s="6"/>
      <c r="E23" s="247">
        <f xml:space="preserve"> E22/E21/1000</f>
        <v>1.7500000000000005E-2</v>
      </c>
      <c r="F23" s="247"/>
      <c r="G23" s="247">
        <f xml:space="preserve"> G22/G21/1000</f>
        <v>1.7499999999999995E-2</v>
      </c>
      <c r="H23" s="247"/>
      <c r="I23" s="5"/>
    </row>
    <row r="25" spans="1:27" s="3" customFormat="1">
      <c r="A25" s="2" t="s">
        <v>11</v>
      </c>
    </row>
    <row r="26" spans="1:27" s="7" customFormat="1">
      <c r="A26" s="248" t="s">
        <v>12</v>
      </c>
      <c r="B26" s="249"/>
      <c r="C26" s="10">
        <f>ASSUMPTIONS!B5</f>
        <v>0.1</v>
      </c>
      <c r="E26" s="248" t="s">
        <v>13</v>
      </c>
      <c r="F26" s="249"/>
      <c r="G26" s="11">
        <f>ASSUMPTIONS!E5</f>
        <v>2</v>
      </c>
      <c r="H26" s="8"/>
    </row>
    <row r="27" spans="1:27">
      <c r="E27" s="12"/>
      <c r="F27" s="12"/>
      <c r="G27" s="12"/>
      <c r="H27" s="12"/>
      <c r="I27" s="13"/>
    </row>
    <row r="28" spans="1:27">
      <c r="A28" s="244" t="s">
        <v>461</v>
      </c>
      <c r="B28" s="244"/>
      <c r="C28" s="244"/>
      <c r="D28" s="244"/>
      <c r="E28" s="244"/>
      <c r="F28" s="244"/>
      <c r="G28" s="14"/>
      <c r="H28" s="244" t="s">
        <v>462</v>
      </c>
      <c r="I28" s="244"/>
      <c r="J28" s="244"/>
      <c r="K28" s="244"/>
      <c r="L28" s="244"/>
      <c r="M28" s="244"/>
      <c r="O28" s="244" t="s">
        <v>463</v>
      </c>
      <c r="P28" s="244"/>
      <c r="Q28" s="244"/>
      <c r="R28" s="244"/>
      <c r="S28" s="244"/>
      <c r="T28" s="244"/>
      <c r="V28" s="244" t="s">
        <v>464</v>
      </c>
      <c r="W28" s="244"/>
      <c r="X28" s="244"/>
      <c r="Y28" s="244"/>
      <c r="Z28" s="244"/>
      <c r="AA28" s="244"/>
    </row>
    <row r="29" spans="1:27">
      <c r="E29" s="14"/>
      <c r="F29" s="14"/>
      <c r="G29" s="14"/>
      <c r="L29" s="14"/>
      <c r="M29" s="14"/>
      <c r="S29" s="14"/>
      <c r="T29" s="14"/>
      <c r="Z29" s="14"/>
      <c r="AA29" s="14"/>
    </row>
    <row r="30" spans="1:27" s="7" customFormat="1">
      <c r="A30" s="15" t="s">
        <v>17</v>
      </c>
      <c r="B30" s="15"/>
      <c r="C30" s="15"/>
      <c r="D30" s="15"/>
      <c r="E30" s="15"/>
      <c r="F30" s="15"/>
      <c r="H30" s="15" t="s">
        <v>17</v>
      </c>
      <c r="I30" s="15"/>
      <c r="J30" s="15"/>
      <c r="K30" s="15"/>
      <c r="L30" s="15"/>
      <c r="M30" s="15"/>
      <c r="O30" s="15" t="s">
        <v>17</v>
      </c>
      <c r="P30" s="15"/>
      <c r="Q30" s="15"/>
      <c r="R30" s="15"/>
      <c r="S30" s="15"/>
      <c r="T30" s="15"/>
      <c r="V30" s="15" t="s">
        <v>17</v>
      </c>
      <c r="W30" s="15"/>
      <c r="X30" s="15"/>
      <c r="Y30" s="15"/>
      <c r="Z30" s="15"/>
      <c r="AA30" s="15"/>
    </row>
    <row r="31" spans="1:27">
      <c r="A31" s="245" t="s">
        <v>18</v>
      </c>
      <c r="B31" s="245"/>
      <c r="C31" s="245"/>
      <c r="D31" s="245"/>
      <c r="E31" s="16">
        <v>45849</v>
      </c>
      <c r="F31" s="17">
        <f>EDATE(E31,120)</f>
        <v>49501</v>
      </c>
      <c r="H31" s="245" t="s">
        <v>18</v>
      </c>
      <c r="I31" s="245"/>
      <c r="J31" s="245"/>
      <c r="K31" s="245"/>
      <c r="L31" s="16">
        <v>45849</v>
      </c>
      <c r="M31" s="17">
        <f>EDATE(L31,120)</f>
        <v>49501</v>
      </c>
      <c r="O31" s="245" t="s">
        <v>18</v>
      </c>
      <c r="P31" s="245"/>
      <c r="Q31" s="245"/>
      <c r="R31" s="245"/>
      <c r="S31" s="16">
        <v>45849</v>
      </c>
      <c r="T31" s="17">
        <f>EDATE(S31,120)</f>
        <v>49501</v>
      </c>
      <c r="V31" s="245" t="s">
        <v>18</v>
      </c>
      <c r="W31" s="245"/>
      <c r="X31" s="245"/>
      <c r="Y31" s="245"/>
      <c r="Z31" s="16">
        <v>45849</v>
      </c>
      <c r="AA31" s="17">
        <f>EDATE(Z31,120)</f>
        <v>49501</v>
      </c>
    </row>
    <row r="32" spans="1:27">
      <c r="A32" s="239" t="s">
        <v>19</v>
      </c>
      <c r="B32" s="239"/>
      <c r="C32" s="239"/>
      <c r="D32" s="239"/>
      <c r="E32" s="19">
        <f xml:space="preserve"> CHOOSE($G$26,E39,E40,E41)</f>
        <v>2.9750000000000001</v>
      </c>
      <c r="F32" s="19">
        <f xml:space="preserve"> CHOOSE($G$26,F39,F40,F41)</f>
        <v>15.050820888020732</v>
      </c>
      <c r="H32" s="239" t="s">
        <v>19</v>
      </c>
      <c r="I32" s="239"/>
      <c r="J32" s="239"/>
      <c r="K32" s="239"/>
      <c r="L32" s="19">
        <f xml:space="preserve"> CHOOSE($G$26,L39,L40,L41)</f>
        <v>0.46536144578313254</v>
      </c>
      <c r="M32" s="19">
        <f xml:space="preserve"> CHOOSE($G$26,M39,M40,M41)</f>
        <v>1.2347424561590754</v>
      </c>
      <c r="O32" s="239" t="s">
        <v>19</v>
      </c>
      <c r="P32" s="239"/>
      <c r="Q32" s="239"/>
      <c r="R32" s="239"/>
      <c r="S32" s="19">
        <f xml:space="preserve"> CHOOSE($G$26,S39,S40,S41)</f>
        <v>0.14299999999999999</v>
      </c>
      <c r="T32" s="19">
        <f xml:space="preserve"> CHOOSE($G$26,T39,T40,T41)</f>
        <v>0.45821236546041022</v>
      </c>
      <c r="V32" s="239" t="s">
        <v>19</v>
      </c>
      <c r="W32" s="239"/>
      <c r="X32" s="239"/>
      <c r="Y32" s="239"/>
      <c r="Z32" s="19">
        <f xml:space="preserve"> CHOOSE($G$26,Z39,Z40,Z41)</f>
        <v>18.731927710843372</v>
      </c>
      <c r="AA32" s="19">
        <f xml:space="preserve"> CHOOSE($G$26,AA39,AA40,AA41)</f>
        <v>76.700591349706826</v>
      </c>
    </row>
    <row r="33" spans="1:27">
      <c r="A33" s="239" t="s">
        <v>23</v>
      </c>
      <c r="B33" s="239"/>
      <c r="C33" s="239"/>
      <c r="D33" s="239"/>
      <c r="E33" s="20">
        <f>CHOOSE($G$26,E44,E45,E46)</f>
        <v>0.35</v>
      </c>
      <c r="F33" s="24">
        <f>CHOOSE($G$26,F44,F45,F46)</f>
        <v>0.35</v>
      </c>
      <c r="H33" s="239" t="s">
        <v>23</v>
      </c>
      <c r="I33" s="239"/>
      <c r="J33" s="239"/>
      <c r="K33" s="239"/>
      <c r="L33" s="20">
        <f>CHOOSE($G$26,L44,L45,L46)</f>
        <v>0.35</v>
      </c>
      <c r="M33" s="20">
        <f>CHOOSE($G$26,M44,M45,M46)</f>
        <v>0.35</v>
      </c>
      <c r="O33" s="239" t="s">
        <v>23</v>
      </c>
      <c r="P33" s="239"/>
      <c r="Q33" s="239"/>
      <c r="R33" s="239"/>
      <c r="S33" s="20">
        <f>CHOOSE($G$26,S44,S45,S46)</f>
        <v>0.35</v>
      </c>
      <c r="T33" s="20">
        <f>CHOOSE($G$26,T44,T45,T46)</f>
        <v>0.35</v>
      </c>
      <c r="V33" s="239" t="s">
        <v>23</v>
      </c>
      <c r="W33" s="239"/>
      <c r="X33" s="239"/>
      <c r="Y33" s="239"/>
      <c r="Z33" s="20">
        <f>CHOOSE($G$26,Z44,Z45,Z46)</f>
        <v>0.35</v>
      </c>
      <c r="AA33" s="20">
        <f>CHOOSE($G$26,AA44,AA45,AA46)</f>
        <v>0.34999999999999992</v>
      </c>
    </row>
    <row r="34" spans="1:27">
      <c r="A34" s="239" t="s">
        <v>21</v>
      </c>
      <c r="B34" s="239"/>
      <c r="C34" s="239"/>
      <c r="D34" s="239"/>
      <c r="E34" s="20">
        <f xml:space="preserve"> CHOOSE($G$26,E49,E50,E51)</f>
        <v>0.05</v>
      </c>
      <c r="F34" s="24">
        <f xml:space="preserve"> CHOOSE($G$26,F49,F50,F51)</f>
        <v>0.05</v>
      </c>
      <c r="H34" s="239" t="s">
        <v>21</v>
      </c>
      <c r="I34" s="239"/>
      <c r="J34" s="239"/>
      <c r="K34" s="239"/>
      <c r="L34" s="20">
        <f xml:space="preserve"> CHOOSE($G$26,L49,L50,L51)</f>
        <v>0.05</v>
      </c>
      <c r="M34" s="20">
        <f xml:space="preserve"> CHOOSE($G$26,M49,M50,M51)</f>
        <v>5.000000000000001E-2</v>
      </c>
      <c r="O34" s="239" t="s">
        <v>21</v>
      </c>
      <c r="P34" s="239"/>
      <c r="Q34" s="239"/>
      <c r="R34" s="239"/>
      <c r="S34" s="20">
        <f xml:space="preserve"> CHOOSE($G$26,S49,S50,S51)</f>
        <v>0.05</v>
      </c>
      <c r="T34" s="20">
        <f xml:space="preserve"> CHOOSE($G$26,T49,T50,T51)</f>
        <v>0.05</v>
      </c>
      <c r="V34" s="239" t="s">
        <v>21</v>
      </c>
      <c r="W34" s="239"/>
      <c r="X34" s="239"/>
      <c r="Y34" s="239"/>
      <c r="Z34" s="20">
        <f xml:space="preserve"> CHOOSE($G$26,Z49,Z50,Z51)</f>
        <v>5.000000000000001E-2</v>
      </c>
      <c r="AA34" s="20">
        <f xml:space="preserve"> CHOOSE($G$26,AA49,AA50,AA51)</f>
        <v>5.000000000000001E-2</v>
      </c>
    </row>
    <row r="35" spans="1:27" ht="15" thickBot="1">
      <c r="A35" s="242" t="s">
        <v>465</v>
      </c>
      <c r="B35" s="242"/>
      <c r="C35" s="242"/>
      <c r="D35" s="242"/>
      <c r="E35" s="21">
        <f xml:space="preserve"> PRODUCT(E32:E34)*1000</f>
        <v>52.062500000000007</v>
      </c>
      <c r="F35" s="21">
        <f xml:space="preserve"> PRODUCT(F32:F34)*1000</f>
        <v>263.3893655403628</v>
      </c>
      <c r="G35" s="14"/>
      <c r="H35" s="242" t="s">
        <v>465</v>
      </c>
      <c r="I35" s="242"/>
      <c r="J35" s="242"/>
      <c r="K35" s="242"/>
      <c r="L35" s="21">
        <f xml:space="preserve"> PRODUCT(L32:L34)*1000</f>
        <v>8.143825301204819</v>
      </c>
      <c r="M35" s="21">
        <f xml:space="preserve"> PRODUCT(M32:M34)*1000</f>
        <v>21.607992982783824</v>
      </c>
      <c r="O35" s="242" t="s">
        <v>465</v>
      </c>
      <c r="P35" s="242"/>
      <c r="Q35" s="242"/>
      <c r="R35" s="242"/>
      <c r="S35" s="21">
        <f xml:space="preserve"> PRODUCT(S32:S34)*1000</f>
        <v>2.5024999999999995</v>
      </c>
      <c r="T35" s="21">
        <f xml:space="preserve"> PRODUCT(T32:T34)*1000</f>
        <v>8.0187163955571776</v>
      </c>
      <c r="V35" s="242" t="s">
        <v>465</v>
      </c>
      <c r="W35" s="242"/>
      <c r="X35" s="242"/>
      <c r="Y35" s="242"/>
      <c r="Z35" s="21">
        <f xml:space="preserve"> PRODUCT(Z32:Z34)*1000</f>
        <v>327.80873493975912</v>
      </c>
      <c r="AA35" s="21">
        <f xml:space="preserve"> PRODUCT(AA32:AA34)*1000</f>
        <v>1342.2603486198693</v>
      </c>
    </row>
    <row r="36" spans="1:27" ht="15" thickTop="1">
      <c r="E36" s="14"/>
      <c r="F36" s="14"/>
      <c r="G36" s="14"/>
      <c r="L36" s="14"/>
      <c r="M36" s="14"/>
      <c r="S36" s="14"/>
      <c r="T36" s="14"/>
      <c r="Z36" s="14"/>
      <c r="AA36" s="14"/>
    </row>
    <row r="37" spans="1:27" s="7" customFormat="1">
      <c r="A37" s="15" t="s">
        <v>26</v>
      </c>
      <c r="B37" s="15"/>
      <c r="C37" s="15"/>
      <c r="D37" s="15"/>
      <c r="E37" s="15"/>
      <c r="F37" s="15"/>
      <c r="H37" s="15" t="s">
        <v>26</v>
      </c>
      <c r="I37" s="15"/>
      <c r="J37" s="15"/>
      <c r="K37" s="15"/>
      <c r="L37" s="15"/>
      <c r="M37" s="15"/>
      <c r="O37" s="15" t="s">
        <v>26</v>
      </c>
      <c r="P37" s="15"/>
      <c r="Q37" s="15"/>
      <c r="R37" s="15"/>
      <c r="S37" s="15"/>
      <c r="T37" s="15"/>
      <c r="V37" s="15" t="s">
        <v>26</v>
      </c>
      <c r="W37" s="15"/>
      <c r="X37" s="15"/>
      <c r="Y37" s="15"/>
      <c r="Z37" s="15"/>
      <c r="AA37" s="15"/>
    </row>
    <row r="38" spans="1:27">
      <c r="A38" s="114" t="s">
        <v>466</v>
      </c>
      <c r="B38" s="114"/>
      <c r="C38" s="114"/>
      <c r="D38" s="114"/>
      <c r="E38" s="14"/>
      <c r="F38" s="14"/>
      <c r="G38" s="14"/>
      <c r="H38" s="240" t="s">
        <v>27</v>
      </c>
      <c r="I38" s="240"/>
      <c r="J38" s="240"/>
      <c r="K38" s="240"/>
      <c r="L38" s="14"/>
      <c r="M38" s="14"/>
      <c r="O38" s="240" t="s">
        <v>27</v>
      </c>
      <c r="P38" s="240"/>
      <c r="Q38" s="240"/>
      <c r="R38" s="240"/>
      <c r="S38" s="14"/>
      <c r="T38" s="14"/>
      <c r="V38" s="240" t="s">
        <v>27</v>
      </c>
      <c r="W38" s="240"/>
      <c r="X38" s="240"/>
      <c r="Y38" s="240"/>
      <c r="Z38" s="14"/>
      <c r="AA38" s="14"/>
    </row>
    <row r="39" spans="1:27">
      <c r="A39" s="239" t="s">
        <v>30</v>
      </c>
      <c r="B39" s="239"/>
      <c r="C39" s="239"/>
      <c r="D39" s="239"/>
      <c r="E39" s="19">
        <f>E40*(1+$C$26)</f>
        <v>3.2725000000000004</v>
      </c>
      <c r="F39" s="23">
        <f>F40*(1+$C$26)</f>
        <v>16.555902976822807</v>
      </c>
      <c r="G39" s="14"/>
      <c r="H39" s="239" t="s">
        <v>30</v>
      </c>
      <c r="I39" s="239"/>
      <c r="J39" s="239"/>
      <c r="K39" s="239"/>
      <c r="L39" s="19">
        <f>L40*(1+$C$26)</f>
        <v>0.51189759036144589</v>
      </c>
      <c r="M39" s="23">
        <f>M40*(1+$C$26)</f>
        <v>1.3582167017749831</v>
      </c>
      <c r="O39" s="239" t="s">
        <v>30</v>
      </c>
      <c r="P39" s="239"/>
      <c r="Q39" s="239"/>
      <c r="R39" s="239"/>
      <c r="S39" s="19">
        <f>S40*(1+$C$26)</f>
        <v>0.1573</v>
      </c>
      <c r="T39" s="23">
        <f>T40*(1+$C$26)</f>
        <v>0.50403360200645131</v>
      </c>
      <c r="V39" s="239" t="s">
        <v>30</v>
      </c>
      <c r="W39" s="239"/>
      <c r="X39" s="239"/>
      <c r="Y39" s="239"/>
      <c r="Z39" s="19">
        <f>Z40*(1+$C$26)</f>
        <v>20.60512048192771</v>
      </c>
      <c r="AA39" s="23">
        <f>AA40*(1+$C$26)</f>
        <v>84.370650484677512</v>
      </c>
    </row>
    <row r="40" spans="1:27">
      <c r="A40" s="239" t="s">
        <v>31</v>
      </c>
      <c r="B40" s="239"/>
      <c r="C40" s="239"/>
      <c r="D40" s="239"/>
      <c r="E40" s="19">
        <f>I101</f>
        <v>2.9750000000000001</v>
      </c>
      <c r="F40" s="23">
        <f>P101</f>
        <v>15.050820888020732</v>
      </c>
      <c r="G40" s="14"/>
      <c r="H40" s="239" t="s">
        <v>31</v>
      </c>
      <c r="I40" s="239"/>
      <c r="J40" s="239"/>
      <c r="K40" s="239"/>
      <c r="L40" s="19">
        <f>N123</f>
        <v>0.46536144578313254</v>
      </c>
      <c r="M40" s="23">
        <f>U123</f>
        <v>1.2347424561590754</v>
      </c>
      <c r="O40" s="239" t="s">
        <v>31</v>
      </c>
      <c r="P40" s="239"/>
      <c r="Q40" s="239"/>
      <c r="R40" s="239"/>
      <c r="S40" s="19">
        <f>I134</f>
        <v>0.14299999999999999</v>
      </c>
      <c r="T40" s="23">
        <f>M134</f>
        <v>0.45821236546041022</v>
      </c>
      <c r="V40" s="239" t="s">
        <v>31</v>
      </c>
      <c r="W40" s="239"/>
      <c r="X40" s="239"/>
      <c r="Y40" s="239"/>
      <c r="Z40" s="19">
        <f>H148</f>
        <v>18.731927710843372</v>
      </c>
      <c r="AA40" s="23">
        <f>N148</f>
        <v>76.700591349706826</v>
      </c>
    </row>
    <row r="41" spans="1:27">
      <c r="A41" s="239" t="s">
        <v>32</v>
      </c>
      <c r="B41" s="239"/>
      <c r="C41" s="239"/>
      <c r="D41" s="239"/>
      <c r="E41" s="19">
        <f>E40*(1-$C$26)</f>
        <v>2.6775000000000002</v>
      </c>
      <c r="F41" s="23">
        <f>F40*(1-$C$26)</f>
        <v>13.545738799218659</v>
      </c>
      <c r="G41" s="14"/>
      <c r="H41" s="239" t="s">
        <v>32</v>
      </c>
      <c r="I41" s="239"/>
      <c r="J41" s="239"/>
      <c r="K41" s="239"/>
      <c r="L41" s="19">
        <f>L40*(1-$C$26)</f>
        <v>0.41882530120481931</v>
      </c>
      <c r="M41" s="23">
        <f>M40*(1-$C$26)</f>
        <v>1.1112682105431679</v>
      </c>
      <c r="O41" s="239" t="s">
        <v>32</v>
      </c>
      <c r="P41" s="239"/>
      <c r="Q41" s="239"/>
      <c r="R41" s="239"/>
      <c r="S41" s="19">
        <f>S40*(1-$C$26)</f>
        <v>0.12869999999999998</v>
      </c>
      <c r="T41" s="23">
        <f>T40*(1-$C$26)</f>
        <v>0.41239112891436919</v>
      </c>
      <c r="V41" s="239" t="s">
        <v>32</v>
      </c>
      <c r="W41" s="239"/>
      <c r="X41" s="239"/>
      <c r="Y41" s="239"/>
      <c r="Z41" s="19">
        <f>Z40*(1-$C$26)</f>
        <v>16.858734939759035</v>
      </c>
      <c r="AA41" s="23">
        <f>AA40*(1-$C$26)</f>
        <v>69.030532214736141</v>
      </c>
    </row>
    <row r="42" spans="1:27">
      <c r="E42" s="14"/>
      <c r="F42" s="14"/>
      <c r="G42" s="14"/>
      <c r="L42" s="14"/>
      <c r="M42" s="14"/>
      <c r="S42" s="14"/>
      <c r="T42" s="14"/>
      <c r="Z42" s="14"/>
      <c r="AA42" s="14"/>
    </row>
    <row r="43" spans="1:27">
      <c r="A43" s="240" t="s">
        <v>33</v>
      </c>
      <c r="B43" s="240"/>
      <c r="C43" s="240"/>
      <c r="D43" s="240"/>
      <c r="E43" s="14"/>
      <c r="F43" s="14"/>
      <c r="G43" s="14"/>
      <c r="H43" s="240" t="s">
        <v>292</v>
      </c>
      <c r="I43" s="240"/>
      <c r="J43" s="240"/>
      <c r="K43" s="240"/>
      <c r="L43" s="14"/>
      <c r="M43" s="14"/>
      <c r="O43" s="240" t="s">
        <v>292</v>
      </c>
      <c r="P43" s="240"/>
      <c r="Q43" s="240"/>
      <c r="R43" s="240"/>
      <c r="S43" s="14"/>
      <c r="T43" s="14"/>
      <c r="V43" s="240" t="s">
        <v>292</v>
      </c>
      <c r="W43" s="240"/>
      <c r="X43" s="240"/>
      <c r="Y43" s="240"/>
      <c r="Z43" s="14"/>
      <c r="AA43" s="14"/>
    </row>
    <row r="44" spans="1:27">
      <c r="A44" s="239" t="s">
        <v>30</v>
      </c>
      <c r="B44" s="239"/>
      <c r="C44" s="239"/>
      <c r="D44" s="239"/>
      <c r="E44" s="19">
        <f>E45*(1+$C$26)</f>
        <v>0.38500000000000001</v>
      </c>
      <c r="F44" s="23">
        <f>F45*(1+$C$26)</f>
        <v>0.38500000000000001</v>
      </c>
      <c r="G44" s="14"/>
      <c r="H44" s="239" t="s">
        <v>30</v>
      </c>
      <c r="I44" s="239"/>
      <c r="J44" s="239"/>
      <c r="K44" s="239"/>
      <c r="L44" s="19">
        <f>L45*(1+$C$26)</f>
        <v>0.38500000000000001</v>
      </c>
      <c r="M44" s="23">
        <f>M45*(1+$C$26)</f>
        <v>0.38500000000000001</v>
      </c>
      <c r="O44" s="239" t="s">
        <v>30</v>
      </c>
      <c r="P44" s="239"/>
      <c r="Q44" s="239"/>
      <c r="R44" s="239"/>
      <c r="S44" s="19">
        <f>S45*(1+$C$26)</f>
        <v>0.38500000000000001</v>
      </c>
      <c r="T44" s="23">
        <f>T45*(1+$C$26)</f>
        <v>0.38500000000000001</v>
      </c>
      <c r="V44" s="239" t="s">
        <v>30</v>
      </c>
      <c r="W44" s="239"/>
      <c r="X44" s="239"/>
      <c r="Y44" s="239"/>
      <c r="Z44" s="19">
        <f>Z45*(1+$C$26)</f>
        <v>0.38500000000000001</v>
      </c>
      <c r="AA44" s="23">
        <f>AA45*(1+$C$26)</f>
        <v>0.38499999999999995</v>
      </c>
    </row>
    <row r="45" spans="1:27">
      <c r="A45" s="239" t="s">
        <v>31</v>
      </c>
      <c r="B45" s="239"/>
      <c r="C45" s="239"/>
      <c r="D45" s="239"/>
      <c r="E45" s="19">
        <f>AVERAGE(S98:T101)</f>
        <v>0.35</v>
      </c>
      <c r="F45" s="23">
        <f>AVERAGE(S98:T101)</f>
        <v>0.35</v>
      </c>
      <c r="G45" s="14"/>
      <c r="H45" s="239" t="s">
        <v>31</v>
      </c>
      <c r="I45" s="239"/>
      <c r="J45" s="239"/>
      <c r="K45" s="239"/>
      <c r="L45" s="19">
        <f>AVERAGE(W120:X123)</f>
        <v>0.35</v>
      </c>
      <c r="M45" s="23">
        <f>AVERAGE(W120:X123)</f>
        <v>0.35</v>
      </c>
      <c r="O45" s="239" t="s">
        <v>31</v>
      </c>
      <c r="P45" s="239"/>
      <c r="Q45" s="239"/>
      <c r="R45" s="239"/>
      <c r="S45" s="19">
        <f>O134</f>
        <v>0.35</v>
      </c>
      <c r="T45" s="23">
        <f>P145</f>
        <v>0.35</v>
      </c>
      <c r="V45" s="239" t="s">
        <v>31</v>
      </c>
      <c r="W45" s="239"/>
      <c r="X45" s="239"/>
      <c r="Y45" s="239"/>
      <c r="Z45" s="19">
        <f>AVERAGE(P145:Q148)</f>
        <v>0.35</v>
      </c>
      <c r="AA45" s="23">
        <f>AVERAGE(P145:Q147)</f>
        <v>0.34999999999999992</v>
      </c>
    </row>
    <row r="46" spans="1:27">
      <c r="A46" s="239" t="s">
        <v>32</v>
      </c>
      <c r="B46" s="239"/>
      <c r="C46" s="239"/>
      <c r="D46" s="239"/>
      <c r="E46" s="19">
        <f>E45*(1-$C$26)</f>
        <v>0.315</v>
      </c>
      <c r="F46" s="23">
        <f>F45*(1-$C$26)</f>
        <v>0.315</v>
      </c>
      <c r="H46" s="239" t="s">
        <v>32</v>
      </c>
      <c r="I46" s="239"/>
      <c r="J46" s="239"/>
      <c r="K46" s="239"/>
      <c r="L46" s="19">
        <f>L45*(1-$C$26)</f>
        <v>0.315</v>
      </c>
      <c r="M46" s="23">
        <f>M45*(1-$C$26)</f>
        <v>0.315</v>
      </c>
      <c r="O46" s="239" t="s">
        <v>32</v>
      </c>
      <c r="P46" s="239"/>
      <c r="Q46" s="239"/>
      <c r="R46" s="239"/>
      <c r="S46" s="19">
        <f>S45*(1-$C$26)</f>
        <v>0.315</v>
      </c>
      <c r="T46" s="23">
        <f>T45*(1-$C$26)</f>
        <v>0.315</v>
      </c>
      <c r="V46" s="239" t="s">
        <v>32</v>
      </c>
      <c r="W46" s="239"/>
      <c r="X46" s="239"/>
      <c r="Y46" s="239"/>
      <c r="Z46" s="19">
        <f>Z45*(1-$C$26)</f>
        <v>0.315</v>
      </c>
      <c r="AA46" s="23">
        <f>AA45*(1-$C$26)</f>
        <v>0.31499999999999995</v>
      </c>
    </row>
    <row r="47" spans="1:27">
      <c r="E47" s="14"/>
      <c r="F47" s="14"/>
      <c r="G47" s="14"/>
      <c r="L47" s="14"/>
      <c r="M47" s="14"/>
      <c r="S47" s="14"/>
      <c r="T47" s="14"/>
      <c r="Z47" s="14"/>
      <c r="AA47" s="14"/>
    </row>
    <row r="48" spans="1:27">
      <c r="A48" s="240" t="s">
        <v>36</v>
      </c>
      <c r="B48" s="240"/>
      <c r="C48" s="240"/>
      <c r="D48" s="240"/>
      <c r="E48" s="14"/>
      <c r="F48" s="14"/>
      <c r="G48" s="14"/>
      <c r="H48" s="240" t="s">
        <v>36</v>
      </c>
      <c r="I48" s="240"/>
      <c r="J48" s="240"/>
      <c r="K48" s="240"/>
      <c r="L48" s="14"/>
      <c r="M48" s="14"/>
      <c r="O48" s="240" t="s">
        <v>36</v>
      </c>
      <c r="P48" s="240"/>
      <c r="Q48" s="240"/>
      <c r="R48" s="240"/>
      <c r="S48" s="14"/>
      <c r="T48" s="14"/>
      <c r="V48" s="240" t="s">
        <v>36</v>
      </c>
      <c r="W48" s="240"/>
      <c r="X48" s="240"/>
      <c r="Y48" s="240"/>
      <c r="Z48" s="14"/>
      <c r="AA48" s="14"/>
    </row>
    <row r="49" spans="1:27">
      <c r="A49" s="239" t="s">
        <v>30</v>
      </c>
      <c r="B49" s="239"/>
      <c r="C49" s="239"/>
      <c r="D49" s="239"/>
      <c r="E49" s="20">
        <f xml:space="preserve"> E50*(1+$C$26)</f>
        <v>5.5000000000000007E-2</v>
      </c>
      <c r="F49" s="20">
        <f xml:space="preserve"> F50*(1+$C$26)</f>
        <v>5.5000000000000007E-2</v>
      </c>
      <c r="G49" s="14"/>
      <c r="H49" s="239" t="s">
        <v>30</v>
      </c>
      <c r="I49" s="239"/>
      <c r="J49" s="239"/>
      <c r="K49" s="239"/>
      <c r="L49" s="20">
        <f xml:space="preserve"> L50*(1+$C$26)</f>
        <v>5.5000000000000007E-2</v>
      </c>
      <c r="M49" s="20">
        <f xml:space="preserve"> M50*(1+$C$26)</f>
        <v>5.5000000000000014E-2</v>
      </c>
      <c r="O49" s="239" t="s">
        <v>30</v>
      </c>
      <c r="P49" s="239"/>
      <c r="Q49" s="239"/>
      <c r="R49" s="239"/>
      <c r="S49" s="20">
        <f xml:space="preserve"> S50*(1+$C$26)</f>
        <v>5.5000000000000007E-2</v>
      </c>
      <c r="T49" s="20">
        <f xml:space="preserve"> T50*(1+$C$26)</f>
        <v>5.5000000000000007E-2</v>
      </c>
      <c r="V49" s="239" t="s">
        <v>30</v>
      </c>
      <c r="W49" s="239"/>
      <c r="X49" s="239"/>
      <c r="Y49" s="239"/>
      <c r="Z49" s="20">
        <f xml:space="preserve"> Z50*(1+$C$26)</f>
        <v>5.5000000000000014E-2</v>
      </c>
      <c r="AA49" s="20">
        <f xml:space="preserve"> AA50*(1+$C$26)</f>
        <v>5.5000000000000014E-2</v>
      </c>
    </row>
    <row r="50" spans="1:27">
      <c r="A50" s="239" t="s">
        <v>31</v>
      </c>
      <c r="B50" s="239"/>
      <c r="C50" s="239"/>
      <c r="D50" s="239"/>
      <c r="E50" s="20">
        <f>AVERAGE(U98:V101)</f>
        <v>0.05</v>
      </c>
      <c r="F50" s="24">
        <f>AVERAGE(U98:V101)</f>
        <v>0.05</v>
      </c>
      <c r="G50" s="14"/>
      <c r="H50" s="239" t="s">
        <v>31</v>
      </c>
      <c r="I50" s="239"/>
      <c r="J50" s="239"/>
      <c r="K50" s="239"/>
      <c r="L50" s="20">
        <f>AVERAGE(Y120:Z123)</f>
        <v>0.05</v>
      </c>
      <c r="M50" s="24">
        <f>AVERAGE(Y120:Z122)</f>
        <v>5.000000000000001E-2</v>
      </c>
      <c r="O50" s="239" t="s">
        <v>31</v>
      </c>
      <c r="P50" s="239"/>
      <c r="Q50" s="239"/>
      <c r="R50" s="239"/>
      <c r="S50" s="20">
        <f>Q134</f>
        <v>0.05</v>
      </c>
      <c r="T50" s="24">
        <f>Q134</f>
        <v>0.05</v>
      </c>
      <c r="V50" s="239" t="s">
        <v>31</v>
      </c>
      <c r="W50" s="239"/>
      <c r="X50" s="239"/>
      <c r="Y50" s="239"/>
      <c r="Z50" s="20">
        <f>AVERAGE(R145:S147)</f>
        <v>5.000000000000001E-2</v>
      </c>
      <c r="AA50" s="24">
        <f>AVERAGE(R145:S147)</f>
        <v>5.000000000000001E-2</v>
      </c>
    </row>
    <row r="51" spans="1:27">
      <c r="A51" s="239" t="s">
        <v>32</v>
      </c>
      <c r="B51" s="239"/>
      <c r="C51" s="239"/>
      <c r="D51" s="239"/>
      <c r="E51" s="20">
        <f xml:space="preserve"> E50*(1-$C$26)</f>
        <v>4.5000000000000005E-2</v>
      </c>
      <c r="F51" s="20">
        <f xml:space="preserve"> F50*(1-$C$26)</f>
        <v>4.5000000000000005E-2</v>
      </c>
      <c r="H51" s="239" t="s">
        <v>32</v>
      </c>
      <c r="I51" s="239"/>
      <c r="J51" s="239"/>
      <c r="K51" s="239"/>
      <c r="L51" s="20">
        <f xml:space="preserve"> L50*(1-$C$26)</f>
        <v>4.5000000000000005E-2</v>
      </c>
      <c r="M51" s="20">
        <f xml:space="preserve"> M50*(1-$C$26)</f>
        <v>4.5000000000000012E-2</v>
      </c>
      <c r="O51" s="239" t="s">
        <v>32</v>
      </c>
      <c r="P51" s="239"/>
      <c r="Q51" s="239"/>
      <c r="R51" s="239"/>
      <c r="S51" s="20">
        <f xml:space="preserve"> S50*(1-$C$26)</f>
        <v>4.5000000000000005E-2</v>
      </c>
      <c r="T51" s="20">
        <f xml:space="preserve"> T50*(1-$C$26)</f>
        <v>4.5000000000000005E-2</v>
      </c>
      <c r="V51" s="239" t="s">
        <v>32</v>
      </c>
      <c r="W51" s="239"/>
      <c r="X51" s="239"/>
      <c r="Y51" s="239"/>
      <c r="Z51" s="20">
        <f xml:space="preserve"> Z50*(1-$C$26)</f>
        <v>4.5000000000000012E-2</v>
      </c>
      <c r="AA51" s="20">
        <f xml:space="preserve"> AA50*(1-$C$26)</f>
        <v>4.5000000000000012E-2</v>
      </c>
    </row>
    <row r="53" spans="1:27" s="3" customFormat="1">
      <c r="A53" s="2" t="s">
        <v>39</v>
      </c>
    </row>
    <row r="55" spans="1:27" ht="15" thickBot="1"/>
    <row r="56" spans="1:27" s="96" customFormat="1" ht="41.4">
      <c r="N56" s="26" t="s">
        <v>40</v>
      </c>
      <c r="O56" s="72" t="s">
        <v>467</v>
      </c>
      <c r="P56" s="72" t="s">
        <v>468</v>
      </c>
      <c r="Q56" s="72" t="s">
        <v>469</v>
      </c>
      <c r="R56" s="72" t="s">
        <v>470</v>
      </c>
      <c r="S56" s="72" t="s">
        <v>471</v>
      </c>
    </row>
    <row r="57" spans="1:27" s="7" customFormat="1">
      <c r="N57" s="115" t="s">
        <v>44</v>
      </c>
      <c r="O57" s="73">
        <v>10000</v>
      </c>
      <c r="P57" s="73">
        <v>10000</v>
      </c>
      <c r="Q57" s="73">
        <v>10000</v>
      </c>
      <c r="R57" s="73">
        <v>10000</v>
      </c>
      <c r="S57" s="73">
        <v>10000</v>
      </c>
    </row>
    <row r="58" spans="1:27" s="7" customFormat="1">
      <c r="N58" s="115" t="s">
        <v>45</v>
      </c>
      <c r="O58" s="73">
        <v>52.770977999999999</v>
      </c>
      <c r="P58" s="73">
        <v>8.2378780000000003</v>
      </c>
      <c r="Q58" s="73">
        <v>2.5312960000000002</v>
      </c>
      <c r="R58" s="73">
        <v>331.13080000000002</v>
      </c>
      <c r="S58" s="73">
        <v>394.670952</v>
      </c>
    </row>
    <row r="59" spans="1:27">
      <c r="N59" s="115" t="s">
        <v>46</v>
      </c>
      <c r="O59" s="73">
        <v>3.6721110000000001</v>
      </c>
      <c r="P59" s="73">
        <v>0.57285299999999995</v>
      </c>
      <c r="Q59" s="73">
        <v>0.18270400000000001</v>
      </c>
      <c r="R59" s="73">
        <v>23.438151000000001</v>
      </c>
      <c r="S59" s="73">
        <v>23.721401</v>
      </c>
    </row>
    <row r="60" spans="1:27">
      <c r="N60" s="115" t="s">
        <v>47</v>
      </c>
      <c r="O60" s="73">
        <v>41.752960999999999</v>
      </c>
      <c r="P60" s="73">
        <v>6.4969029999999997</v>
      </c>
      <c r="Q60" s="73">
        <v>1.9618169999999999</v>
      </c>
      <c r="R60" s="73">
        <v>253.41673800000001</v>
      </c>
      <c r="S60" s="73">
        <v>317.19874800000002</v>
      </c>
    </row>
    <row r="61" spans="1:27">
      <c r="N61" s="32">
        <v>0.05</v>
      </c>
      <c r="O61" s="73">
        <v>46.944398999999997</v>
      </c>
      <c r="P61" s="73">
        <v>7.3214350000000001</v>
      </c>
      <c r="Q61" s="73">
        <v>2.245727</v>
      </c>
      <c r="R61" s="73">
        <v>293.66842300000002</v>
      </c>
      <c r="S61" s="73">
        <v>356.87925799999999</v>
      </c>
    </row>
    <row r="62" spans="1:27">
      <c r="N62" s="32">
        <v>0.5</v>
      </c>
      <c r="O62" s="73">
        <v>52.632904000000003</v>
      </c>
      <c r="P62" s="73">
        <v>8.2224749999999993</v>
      </c>
      <c r="Q62" s="73">
        <v>2.5237159999999998</v>
      </c>
      <c r="R62" s="73">
        <v>330.416966</v>
      </c>
      <c r="S62" s="73">
        <v>393.95230199999997</v>
      </c>
    </row>
    <row r="63" spans="1:27">
      <c r="N63" s="32">
        <v>0.95</v>
      </c>
      <c r="O63" s="73">
        <v>59.016086999999999</v>
      </c>
      <c r="P63" s="73">
        <v>9.2058890000000009</v>
      </c>
      <c r="Q63" s="73">
        <v>2.8418399999999999</v>
      </c>
      <c r="R63" s="73">
        <v>370.85376600000001</v>
      </c>
      <c r="S63" s="73">
        <v>434.82106900000002</v>
      </c>
    </row>
    <row r="64" spans="1:27" s="7" customFormat="1">
      <c r="N64" s="115" t="s">
        <v>48</v>
      </c>
      <c r="O64" s="73">
        <v>67.664751999999993</v>
      </c>
      <c r="P64" s="73">
        <v>10.560776000000001</v>
      </c>
      <c r="Q64" s="73">
        <v>3.18818</v>
      </c>
      <c r="R64" s="73">
        <v>427.96390200000002</v>
      </c>
      <c r="S64" s="73">
        <v>487.71504099999999</v>
      </c>
    </row>
    <row r="65" spans="1:26" s="7" customFormat="1"/>
    <row r="68" spans="1:26" s="7" customFormat="1">
      <c r="P68" s="7" t="s">
        <v>295</v>
      </c>
    </row>
    <row r="69" spans="1:26" s="7" customFormat="1"/>
    <row r="70" spans="1:26" s="7" customFormat="1"/>
    <row r="71" spans="1:26" s="7" customFormat="1"/>
    <row r="72" spans="1:26" s="7" customFormat="1"/>
    <row r="73" spans="1:26" s="7" customFormat="1"/>
    <row r="74" spans="1:26" s="7" customFormat="1"/>
    <row r="75" spans="1:26" s="7" customFormat="1"/>
    <row r="76" spans="1:26" s="7" customFormat="1"/>
    <row r="77" spans="1:26" s="3" customFormat="1">
      <c r="A77" s="2" t="s">
        <v>49</v>
      </c>
    </row>
    <row r="78" spans="1:26" s="33" customFormat="1">
      <c r="A78" s="33" t="s">
        <v>472</v>
      </c>
    </row>
    <row r="79" spans="1:26" s="103" customFormat="1">
      <c r="A79" s="102" t="s">
        <v>297</v>
      </c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</row>
    <row r="80" spans="1:26">
      <c r="A80" t="s">
        <v>473</v>
      </c>
      <c r="B80" s="116"/>
      <c r="C80" s="116"/>
    </row>
    <row r="81" spans="1:26">
      <c r="A81" s="426" t="s">
        <v>70</v>
      </c>
      <c r="B81" s="426"/>
      <c r="C81" s="426"/>
      <c r="D81" s="426" t="s">
        <v>474</v>
      </c>
      <c r="E81" s="426"/>
      <c r="F81" s="426"/>
      <c r="G81" s="426"/>
      <c r="H81" s="426"/>
      <c r="I81" s="426"/>
      <c r="J81" s="426"/>
      <c r="K81" s="426"/>
      <c r="L81" s="426"/>
      <c r="M81" s="426" t="s">
        <v>475</v>
      </c>
      <c r="N81" s="426"/>
      <c r="O81" s="426"/>
      <c r="P81" s="426"/>
      <c r="Q81" s="426"/>
      <c r="R81" s="426"/>
      <c r="S81" s="426"/>
      <c r="T81" s="426"/>
      <c r="U81" s="426"/>
      <c r="V81" s="426"/>
      <c r="W81" s="426"/>
      <c r="X81" s="426"/>
      <c r="Y81" s="426"/>
    </row>
    <row r="82" spans="1:26">
      <c r="A82" s="421" t="s">
        <v>476</v>
      </c>
      <c r="B82" s="421"/>
      <c r="C82" s="421"/>
      <c r="D82" s="421" t="s">
        <v>477</v>
      </c>
      <c r="E82" s="421"/>
      <c r="F82" s="421"/>
      <c r="G82" s="421"/>
      <c r="H82" s="421"/>
      <c r="I82" s="421"/>
      <c r="J82" s="421"/>
      <c r="K82" s="421"/>
      <c r="L82" s="421"/>
      <c r="M82" s="415" t="s">
        <v>478</v>
      </c>
      <c r="N82" s="415"/>
      <c r="O82" s="415"/>
      <c r="P82" s="415"/>
      <c r="Q82" s="415"/>
      <c r="R82" s="415"/>
      <c r="S82" s="415"/>
      <c r="T82" s="415"/>
      <c r="U82" s="415"/>
      <c r="V82" s="415"/>
      <c r="W82" s="415"/>
      <c r="X82" s="415"/>
      <c r="Y82" s="415"/>
    </row>
    <row r="83" spans="1:26">
      <c r="A83" s="421" t="s">
        <v>479</v>
      </c>
      <c r="B83" s="421"/>
      <c r="C83" s="421"/>
      <c r="D83" s="421" t="s">
        <v>480</v>
      </c>
      <c r="E83" s="421"/>
      <c r="F83" s="421"/>
      <c r="G83" s="421"/>
      <c r="H83" s="421"/>
      <c r="I83" s="421"/>
      <c r="J83" s="421"/>
      <c r="K83" s="421"/>
      <c r="L83" s="421"/>
      <c r="M83" s="415" t="s">
        <v>481</v>
      </c>
      <c r="N83" s="415"/>
      <c r="O83" s="415"/>
      <c r="P83" s="415"/>
      <c r="Q83" s="415"/>
      <c r="R83" s="415"/>
      <c r="S83" s="415"/>
      <c r="T83" s="415"/>
      <c r="U83" s="415"/>
      <c r="V83" s="415"/>
      <c r="W83" s="415"/>
      <c r="X83" s="415"/>
      <c r="Y83" s="415"/>
    </row>
    <row r="84" spans="1:26">
      <c r="A84" s="421" t="s">
        <v>482</v>
      </c>
      <c r="B84" s="421"/>
      <c r="C84" s="421"/>
      <c r="D84" s="421" t="s">
        <v>483</v>
      </c>
      <c r="E84" s="421"/>
      <c r="F84" s="421"/>
      <c r="G84" s="421"/>
      <c r="H84" s="421"/>
      <c r="I84" s="421"/>
      <c r="J84" s="421"/>
      <c r="K84" s="421"/>
      <c r="L84" s="421"/>
      <c r="M84" s="415" t="s">
        <v>484</v>
      </c>
      <c r="N84" s="415"/>
      <c r="O84" s="415"/>
      <c r="P84" s="415"/>
      <c r="Q84" s="415"/>
      <c r="R84" s="415"/>
      <c r="S84" s="415"/>
      <c r="T84" s="415"/>
      <c r="U84" s="415"/>
      <c r="V84" s="415"/>
      <c r="W84" s="415"/>
      <c r="X84" s="415"/>
      <c r="Y84" s="415"/>
    </row>
    <row r="85" spans="1:26">
      <c r="A85" s="421" t="s">
        <v>485</v>
      </c>
      <c r="B85" s="421"/>
      <c r="C85" s="421"/>
      <c r="D85" s="421" t="s">
        <v>486</v>
      </c>
      <c r="E85" s="421"/>
      <c r="F85" s="421"/>
      <c r="G85" s="421"/>
      <c r="H85" s="421"/>
      <c r="I85" s="421"/>
      <c r="J85" s="421"/>
      <c r="K85" s="421"/>
      <c r="L85" s="421"/>
      <c r="M85" s="415" t="s">
        <v>487</v>
      </c>
      <c r="N85" s="415"/>
      <c r="O85" s="415"/>
      <c r="P85" s="415"/>
      <c r="Q85" s="415"/>
      <c r="R85" s="415"/>
      <c r="S85" s="415"/>
      <c r="T85" s="415"/>
      <c r="U85" s="415"/>
      <c r="V85" s="415"/>
      <c r="W85" s="415"/>
      <c r="X85" s="415"/>
      <c r="Y85" s="415"/>
    </row>
    <row r="86" spans="1:26">
      <c r="A86" s="421" t="s">
        <v>488</v>
      </c>
      <c r="B86" s="421"/>
      <c r="C86" s="421"/>
      <c r="D86" s="421" t="s">
        <v>489</v>
      </c>
      <c r="E86" s="421"/>
      <c r="F86" s="421"/>
      <c r="G86" s="421"/>
      <c r="H86" s="421"/>
      <c r="I86" s="421"/>
      <c r="J86" s="421"/>
      <c r="K86" s="421"/>
      <c r="L86" s="421"/>
      <c r="M86" s="415" t="s">
        <v>490</v>
      </c>
      <c r="N86" s="415"/>
      <c r="O86" s="415"/>
      <c r="P86" s="415"/>
      <c r="Q86" s="415"/>
      <c r="R86" s="415"/>
      <c r="S86" s="415"/>
      <c r="T86" s="415"/>
      <c r="U86" s="415"/>
      <c r="V86" s="415"/>
      <c r="W86" s="415"/>
      <c r="X86" s="415"/>
      <c r="Y86" s="415"/>
    </row>
    <row r="87" spans="1:26">
      <c r="A87" s="421" t="s">
        <v>491</v>
      </c>
      <c r="B87" s="421"/>
      <c r="C87" s="421"/>
      <c r="D87" s="421" t="s">
        <v>492</v>
      </c>
      <c r="E87" s="421"/>
      <c r="F87" s="421"/>
      <c r="G87" s="421"/>
      <c r="H87" s="421"/>
      <c r="I87" s="421"/>
      <c r="J87" s="421"/>
      <c r="K87" s="421"/>
      <c r="L87" s="421"/>
      <c r="M87" s="415" t="s">
        <v>493</v>
      </c>
      <c r="N87" s="415"/>
      <c r="O87" s="415"/>
      <c r="P87" s="415"/>
      <c r="Q87" s="415"/>
      <c r="R87" s="415"/>
      <c r="S87" s="415"/>
      <c r="T87" s="415"/>
      <c r="U87" s="415"/>
      <c r="V87" s="415"/>
      <c r="W87" s="415"/>
      <c r="X87" s="415"/>
      <c r="Y87" s="415"/>
    </row>
    <row r="89" spans="1:26" s="118" customFormat="1">
      <c r="A89" s="102" t="s">
        <v>320</v>
      </c>
      <c r="B89" s="117"/>
      <c r="C89" s="117"/>
      <c r="D89" s="117"/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117"/>
      <c r="Q89" s="117"/>
      <c r="R89" s="117"/>
      <c r="S89" s="117"/>
      <c r="T89" s="117"/>
      <c r="U89" s="117"/>
      <c r="V89" s="117"/>
      <c r="W89" s="117"/>
      <c r="X89" s="117"/>
      <c r="Y89" s="117"/>
      <c r="Z89" s="117"/>
    </row>
    <row r="90" spans="1:26">
      <c r="A90" t="s">
        <v>494</v>
      </c>
      <c r="B90" s="119"/>
      <c r="C90" s="119"/>
      <c r="D90" s="119"/>
      <c r="E90" s="119"/>
      <c r="F90" s="119"/>
      <c r="G90" s="119"/>
      <c r="H90" s="119"/>
      <c r="I90" s="119"/>
      <c r="J90" s="119"/>
    </row>
    <row r="91" spans="1:26">
      <c r="A91" s="458" t="s">
        <v>495</v>
      </c>
      <c r="B91" s="458"/>
      <c r="C91" s="458"/>
      <c r="D91" s="458" t="s">
        <v>496</v>
      </c>
      <c r="E91" s="458"/>
      <c r="F91" s="458" t="s">
        <v>497</v>
      </c>
      <c r="G91" s="458"/>
      <c r="H91" s="458" t="s">
        <v>498</v>
      </c>
      <c r="I91" s="458"/>
      <c r="J91" s="458" t="s">
        <v>499</v>
      </c>
      <c r="K91" s="458"/>
      <c r="L91" s="458" t="s">
        <v>500</v>
      </c>
      <c r="M91" s="458"/>
      <c r="N91" s="458" t="s">
        <v>501</v>
      </c>
      <c r="O91" s="458"/>
      <c r="P91" s="458" t="s">
        <v>502</v>
      </c>
      <c r="Q91" s="458"/>
      <c r="R91" s="458" t="s">
        <v>503</v>
      </c>
      <c r="S91" s="458"/>
      <c r="T91" s="458" t="s">
        <v>504</v>
      </c>
      <c r="U91" s="458"/>
    </row>
    <row r="92" spans="1:26">
      <c r="A92" s="49" t="s">
        <v>328</v>
      </c>
      <c r="B92" s="49"/>
      <c r="C92" s="49"/>
      <c r="D92" s="457" t="s">
        <v>505</v>
      </c>
      <c r="E92" s="457"/>
      <c r="F92" s="457" t="s">
        <v>506</v>
      </c>
      <c r="G92" s="457"/>
      <c r="H92" s="457" t="s">
        <v>507</v>
      </c>
      <c r="I92" s="457"/>
      <c r="J92" s="457" t="s">
        <v>508</v>
      </c>
      <c r="K92" s="457"/>
      <c r="L92" s="457" t="s">
        <v>506</v>
      </c>
      <c r="M92" s="457"/>
      <c r="N92" s="457" t="s">
        <v>509</v>
      </c>
      <c r="O92" s="457"/>
      <c r="P92" s="457" t="s">
        <v>510</v>
      </c>
      <c r="Q92" s="457"/>
      <c r="R92" s="457" t="s">
        <v>511</v>
      </c>
      <c r="S92" s="457"/>
      <c r="T92" s="457">
        <v>200</v>
      </c>
      <c r="U92" s="457"/>
    </row>
    <row r="93" spans="1:26">
      <c r="A93" s="49" t="s">
        <v>329</v>
      </c>
      <c r="B93" s="49"/>
      <c r="C93" s="49"/>
      <c r="D93" s="457" t="s">
        <v>512</v>
      </c>
      <c r="E93" s="457"/>
      <c r="F93" s="457" t="s">
        <v>513</v>
      </c>
      <c r="G93" s="457"/>
      <c r="H93" s="457" t="s">
        <v>514</v>
      </c>
      <c r="I93" s="457"/>
      <c r="J93" s="457" t="s">
        <v>513</v>
      </c>
      <c r="K93" s="457"/>
      <c r="L93" s="457" t="s">
        <v>515</v>
      </c>
      <c r="M93" s="457"/>
      <c r="N93" s="457" t="s">
        <v>516</v>
      </c>
      <c r="O93" s="457"/>
      <c r="P93" s="457" t="s">
        <v>517</v>
      </c>
      <c r="Q93" s="457"/>
      <c r="R93" s="457" t="s">
        <v>518</v>
      </c>
      <c r="S93" s="457"/>
      <c r="T93" s="457">
        <v>40</v>
      </c>
      <c r="U93" s="457"/>
    </row>
    <row r="94" spans="1:26">
      <c r="A94" s="342" t="s">
        <v>519</v>
      </c>
      <c r="B94" s="343"/>
      <c r="C94" s="344"/>
      <c r="D94" s="457" t="s">
        <v>520</v>
      </c>
      <c r="E94" s="457"/>
      <c r="F94" s="457" t="s">
        <v>521</v>
      </c>
      <c r="G94" s="457"/>
      <c r="H94" s="457" t="s">
        <v>522</v>
      </c>
      <c r="I94" s="457"/>
      <c r="J94" s="457" t="s">
        <v>521</v>
      </c>
      <c r="K94" s="457"/>
      <c r="L94" s="457" t="s">
        <v>516</v>
      </c>
      <c r="M94" s="457"/>
      <c r="N94" s="457" t="s">
        <v>516</v>
      </c>
      <c r="O94" s="457"/>
      <c r="P94" s="457" t="s">
        <v>523</v>
      </c>
      <c r="Q94" s="457"/>
      <c r="R94" s="457" t="s">
        <v>524</v>
      </c>
      <c r="S94" s="457"/>
      <c r="T94" s="457">
        <v>35</v>
      </c>
      <c r="U94" s="457"/>
    </row>
    <row r="96" spans="1:26" s="35" customFormat="1">
      <c r="A96" s="35" t="s">
        <v>69</v>
      </c>
    </row>
    <row r="97" spans="1:26">
      <c r="A97" s="120" t="s">
        <v>495</v>
      </c>
      <c r="B97" s="120"/>
      <c r="C97" s="120"/>
      <c r="D97" s="456" t="s">
        <v>525</v>
      </c>
      <c r="E97" s="456"/>
      <c r="F97" s="456" t="s">
        <v>526</v>
      </c>
      <c r="G97" s="456"/>
      <c r="H97" s="456"/>
      <c r="I97" s="456" t="s">
        <v>527</v>
      </c>
      <c r="J97" s="456"/>
      <c r="K97" s="456"/>
      <c r="L97" s="120" t="s">
        <v>528</v>
      </c>
      <c r="M97" s="120"/>
      <c r="N97" s="120" t="s">
        <v>529</v>
      </c>
      <c r="O97" s="120"/>
      <c r="P97" s="456" t="s">
        <v>530</v>
      </c>
      <c r="Q97" s="456"/>
      <c r="R97" s="456"/>
      <c r="S97" s="177" t="s">
        <v>24</v>
      </c>
      <c r="T97" s="177"/>
      <c r="U97" s="177" t="s">
        <v>76</v>
      </c>
      <c r="V97" s="177"/>
      <c r="W97" s="177" t="s">
        <v>531</v>
      </c>
      <c r="X97" s="177"/>
      <c r="Y97" s="177" t="s">
        <v>532</v>
      </c>
      <c r="Z97" s="177"/>
    </row>
    <row r="98" spans="1:26">
      <c r="A98" s="121" t="s">
        <v>328</v>
      </c>
      <c r="B98" s="122"/>
      <c r="C98" s="123"/>
      <c r="D98" s="454">
        <v>1500</v>
      </c>
      <c r="E98" s="454"/>
      <c r="F98" s="454">
        <f>T92</f>
        <v>200</v>
      </c>
      <c r="G98" s="454"/>
      <c r="H98" s="454"/>
      <c r="I98" s="454">
        <f>F98*D98/1000000</f>
        <v>0.3</v>
      </c>
      <c r="J98" s="454"/>
      <c r="K98" s="454"/>
      <c r="L98" s="455">
        <v>0.05</v>
      </c>
      <c r="M98" s="455"/>
      <c r="N98" s="455">
        <v>0.12</v>
      </c>
      <c r="O98" s="455"/>
      <c r="P98" s="454">
        <f>I98*((1+L98)^10)*((1+N98)^10)</f>
        <v>1.5177298374474686</v>
      </c>
      <c r="Q98" s="454"/>
      <c r="R98" s="454"/>
      <c r="S98" s="167">
        <v>0.35</v>
      </c>
      <c r="T98" s="167"/>
      <c r="U98" s="167">
        <v>0.05</v>
      </c>
      <c r="V98" s="167"/>
      <c r="W98" s="202">
        <f>PRODUCT(S98:V98,I98)*1000</f>
        <v>5.2499999999999991</v>
      </c>
      <c r="X98" s="203"/>
      <c r="Y98" s="211">
        <f>PRODUCT(S98:V98,P98)*1000</f>
        <v>26.560272155330701</v>
      </c>
      <c r="Z98" s="211"/>
    </row>
    <row r="99" spans="1:26">
      <c r="A99" s="121" t="s">
        <v>329</v>
      </c>
      <c r="B99" s="122"/>
      <c r="C99" s="123"/>
      <c r="D99" s="454">
        <v>45000</v>
      </c>
      <c r="E99" s="454"/>
      <c r="F99" s="454">
        <f t="shared" ref="F99:F100" si="1">T93</f>
        <v>40</v>
      </c>
      <c r="G99" s="454"/>
      <c r="H99" s="454"/>
      <c r="I99" s="454">
        <f t="shared" ref="I99:I100" si="2">F99*D99/1000000</f>
        <v>1.8</v>
      </c>
      <c r="J99" s="454"/>
      <c r="K99" s="454"/>
      <c r="L99" s="455">
        <v>0.05</v>
      </c>
      <c r="M99" s="455"/>
      <c r="N99" s="455">
        <v>0.12</v>
      </c>
      <c r="O99" s="455"/>
      <c r="P99" s="454">
        <f>I99*((1+L99)^10)*((1+N99)^10)</f>
        <v>9.1063790246848129</v>
      </c>
      <c r="Q99" s="454"/>
      <c r="R99" s="454"/>
      <c r="S99" s="167">
        <v>0.35</v>
      </c>
      <c r="T99" s="167"/>
      <c r="U99" s="167">
        <v>0.05</v>
      </c>
      <c r="V99" s="167"/>
      <c r="W99" s="202">
        <f t="shared" ref="W99:W100" si="3">PRODUCT(S99:V99,I99)*1000</f>
        <v>31.5</v>
      </c>
      <c r="X99" s="203"/>
      <c r="Y99" s="211">
        <f t="shared" ref="Y99:Y100" si="4">PRODUCT(S99:V99,P99)*1000</f>
        <v>159.36163293198422</v>
      </c>
      <c r="Z99" s="211"/>
    </row>
    <row r="100" spans="1:26">
      <c r="A100" s="422" t="s">
        <v>519</v>
      </c>
      <c r="B100" s="423"/>
      <c r="C100" s="423"/>
      <c r="D100" s="454">
        <v>25000</v>
      </c>
      <c r="E100" s="454"/>
      <c r="F100" s="454">
        <f t="shared" si="1"/>
        <v>35</v>
      </c>
      <c r="G100" s="454"/>
      <c r="H100" s="454"/>
      <c r="I100" s="454">
        <f t="shared" si="2"/>
        <v>0.875</v>
      </c>
      <c r="J100" s="454"/>
      <c r="K100" s="454"/>
      <c r="L100" s="455">
        <v>0.05</v>
      </c>
      <c r="M100" s="455"/>
      <c r="N100" s="455">
        <v>0.12</v>
      </c>
      <c r="O100" s="455"/>
      <c r="P100" s="454">
        <f>I100*((1+L100)^10)*((1+N100)^10)</f>
        <v>4.4267120258884507</v>
      </c>
      <c r="Q100" s="454"/>
      <c r="R100" s="454"/>
      <c r="S100" s="167">
        <v>0.35</v>
      </c>
      <c r="T100" s="167"/>
      <c r="U100" s="167">
        <v>0.05</v>
      </c>
      <c r="V100" s="167"/>
      <c r="W100" s="202">
        <f t="shared" si="3"/>
        <v>15.312499999999998</v>
      </c>
      <c r="X100" s="203"/>
      <c r="Y100" s="211">
        <f t="shared" si="4"/>
        <v>77.467460453047877</v>
      </c>
      <c r="Z100" s="211"/>
    </row>
    <row r="101" spans="1:26" ht="15" thickBot="1">
      <c r="A101" s="451" t="s">
        <v>533</v>
      </c>
      <c r="B101" s="451"/>
      <c r="C101" s="451"/>
      <c r="D101" s="452">
        <f>SUM(D98:D100)</f>
        <v>71500</v>
      </c>
      <c r="E101" s="452"/>
      <c r="F101" s="452">
        <f>SUM(F98:F100)</f>
        <v>275</v>
      </c>
      <c r="G101" s="452"/>
      <c r="H101" s="452"/>
      <c r="I101" s="452">
        <f>SUM(I98:I100)</f>
        <v>2.9750000000000001</v>
      </c>
      <c r="J101" s="452"/>
      <c r="K101" s="452"/>
      <c r="L101" s="453"/>
      <c r="M101" s="453"/>
      <c r="N101" s="453"/>
      <c r="O101" s="453"/>
      <c r="P101" s="452">
        <f>SUM(P98:P100)</f>
        <v>15.050820888020732</v>
      </c>
      <c r="Q101" s="452"/>
      <c r="R101" s="452"/>
      <c r="S101" s="167">
        <v>0.35</v>
      </c>
      <c r="T101" s="167"/>
      <c r="U101" s="167">
        <v>0.05</v>
      </c>
      <c r="V101" s="167"/>
      <c r="W101" s="168">
        <f xml:space="preserve"> SUM(W98:X100)</f>
        <v>52.0625</v>
      </c>
      <c r="X101" s="214"/>
      <c r="Y101" s="168">
        <f xml:space="preserve"> SUM(Y98:Z100)</f>
        <v>263.3893655403628</v>
      </c>
      <c r="Z101" s="214"/>
    </row>
    <row r="102" spans="1:26" ht="15" thickTop="1"/>
    <row r="103" spans="1:26" s="33" customFormat="1">
      <c r="A103" s="33" t="s">
        <v>534</v>
      </c>
    </row>
    <row r="104" spans="1:26" s="103" customFormat="1">
      <c r="A104" s="102" t="s">
        <v>297</v>
      </c>
      <c r="B104" s="102"/>
      <c r="C104" s="102"/>
      <c r="D104" s="102"/>
      <c r="E104" s="102"/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</row>
    <row r="105" spans="1:26">
      <c r="A105" s="447" t="s">
        <v>191</v>
      </c>
      <c r="B105" s="447"/>
      <c r="C105" s="447"/>
      <c r="D105" s="447" t="s">
        <v>535</v>
      </c>
      <c r="E105" s="447"/>
      <c r="F105" s="447"/>
      <c r="G105" s="447"/>
      <c r="H105" s="447"/>
      <c r="I105" s="447" t="s">
        <v>536</v>
      </c>
      <c r="J105" s="447"/>
      <c r="K105" s="447"/>
      <c r="L105" s="447"/>
      <c r="M105" s="447"/>
      <c r="N105" s="447" t="s">
        <v>537</v>
      </c>
      <c r="O105" s="447"/>
      <c r="P105" s="447"/>
      <c r="Q105" s="447"/>
      <c r="R105" s="447"/>
      <c r="S105" s="447" t="s">
        <v>538</v>
      </c>
      <c r="T105" s="447"/>
      <c r="U105" s="447"/>
      <c r="V105" s="447"/>
      <c r="W105" s="447"/>
      <c r="X105" s="447"/>
    </row>
    <row r="106" spans="1:26">
      <c r="A106" s="441" t="s">
        <v>539</v>
      </c>
      <c r="B106" s="442"/>
      <c r="C106" s="443"/>
      <c r="D106" s="415" t="s">
        <v>540</v>
      </c>
      <c r="E106" s="415"/>
      <c r="F106" s="415"/>
      <c r="G106" s="415"/>
      <c r="H106" s="415"/>
      <c r="I106" s="415" t="s">
        <v>541</v>
      </c>
      <c r="J106" s="415"/>
      <c r="K106" s="415"/>
      <c r="L106" s="415"/>
      <c r="M106" s="415"/>
      <c r="N106" s="415" t="s">
        <v>542</v>
      </c>
      <c r="O106" s="415"/>
      <c r="P106" s="415"/>
      <c r="Q106" s="415"/>
      <c r="R106" s="415"/>
      <c r="S106" s="415" t="s">
        <v>543</v>
      </c>
      <c r="T106" s="415"/>
      <c r="U106" s="415"/>
      <c r="V106" s="415"/>
      <c r="W106" s="415"/>
      <c r="X106" s="415"/>
    </row>
    <row r="107" spans="1:26">
      <c r="A107" s="448"/>
      <c r="B107" s="449"/>
      <c r="C107" s="450"/>
      <c r="D107" s="415" t="s">
        <v>544</v>
      </c>
      <c r="E107" s="415"/>
      <c r="F107" s="415"/>
      <c r="G107" s="415"/>
      <c r="H107" s="415"/>
      <c r="I107" s="415" t="s">
        <v>545</v>
      </c>
      <c r="J107" s="415"/>
      <c r="K107" s="415"/>
      <c r="L107" s="415"/>
      <c r="M107" s="415"/>
      <c r="N107" s="415" t="s">
        <v>546</v>
      </c>
      <c r="O107" s="415"/>
      <c r="P107" s="415"/>
      <c r="Q107" s="415"/>
      <c r="R107" s="415"/>
      <c r="S107" s="415" t="s">
        <v>547</v>
      </c>
      <c r="T107" s="415"/>
      <c r="U107" s="415"/>
      <c r="V107" s="415"/>
      <c r="W107" s="415"/>
      <c r="X107" s="415"/>
    </row>
    <row r="108" spans="1:26">
      <c r="A108" s="448"/>
      <c r="B108" s="449"/>
      <c r="C108" s="450"/>
      <c r="D108" s="415" t="s">
        <v>548</v>
      </c>
      <c r="E108" s="415"/>
      <c r="F108" s="415"/>
      <c r="G108" s="415"/>
      <c r="H108" s="415"/>
      <c r="I108" s="415" t="s">
        <v>549</v>
      </c>
      <c r="J108" s="415"/>
      <c r="K108" s="415"/>
      <c r="L108" s="415"/>
      <c r="M108" s="415"/>
      <c r="N108" s="415" t="s">
        <v>550</v>
      </c>
      <c r="O108" s="415"/>
      <c r="P108" s="415"/>
      <c r="Q108" s="415"/>
      <c r="R108" s="415"/>
      <c r="S108" s="415" t="s">
        <v>551</v>
      </c>
      <c r="T108" s="415"/>
      <c r="U108" s="415"/>
      <c r="V108" s="415"/>
      <c r="W108" s="415"/>
      <c r="X108" s="415"/>
    </row>
    <row r="109" spans="1:26">
      <c r="A109" s="448"/>
      <c r="B109" s="449"/>
      <c r="C109" s="450"/>
      <c r="D109" s="415" t="s">
        <v>552</v>
      </c>
      <c r="E109" s="415"/>
      <c r="F109" s="415"/>
      <c r="G109" s="415"/>
      <c r="H109" s="415"/>
      <c r="I109" s="415" t="s">
        <v>553</v>
      </c>
      <c r="J109" s="415"/>
      <c r="K109" s="415"/>
      <c r="L109" s="415"/>
      <c r="M109" s="415"/>
      <c r="N109" s="415" t="s">
        <v>554</v>
      </c>
      <c r="O109" s="415"/>
      <c r="P109" s="415"/>
      <c r="Q109" s="415"/>
      <c r="R109" s="415"/>
      <c r="S109" s="415" t="s">
        <v>555</v>
      </c>
      <c r="T109" s="415"/>
      <c r="U109" s="415"/>
      <c r="V109" s="415"/>
      <c r="W109" s="415"/>
      <c r="X109" s="415"/>
    </row>
    <row r="110" spans="1:26">
      <c r="A110" s="444"/>
      <c r="B110" s="445"/>
      <c r="C110" s="446"/>
      <c r="D110" s="415" t="s">
        <v>556</v>
      </c>
      <c r="E110" s="415"/>
      <c r="F110" s="415"/>
      <c r="G110" s="415"/>
      <c r="H110" s="415"/>
      <c r="I110" s="415" t="s">
        <v>557</v>
      </c>
      <c r="J110" s="415"/>
      <c r="K110" s="415"/>
      <c r="L110" s="415"/>
      <c r="M110" s="415"/>
      <c r="N110" s="415" t="s">
        <v>558</v>
      </c>
      <c r="O110" s="415"/>
      <c r="P110" s="415"/>
      <c r="Q110" s="415"/>
      <c r="R110" s="415"/>
      <c r="S110" s="415" t="s">
        <v>559</v>
      </c>
      <c r="T110" s="415"/>
      <c r="U110" s="415"/>
      <c r="V110" s="415"/>
      <c r="W110" s="415"/>
      <c r="X110" s="415"/>
    </row>
    <row r="111" spans="1:26">
      <c r="A111" s="441" t="s">
        <v>560</v>
      </c>
      <c r="B111" s="442"/>
      <c r="C111" s="443"/>
      <c r="D111" s="415" t="s">
        <v>561</v>
      </c>
      <c r="E111" s="415"/>
      <c r="F111" s="415"/>
      <c r="G111" s="415"/>
      <c r="H111" s="415"/>
      <c r="I111" s="415" t="s">
        <v>562</v>
      </c>
      <c r="J111" s="415"/>
      <c r="K111" s="415"/>
      <c r="L111" s="415"/>
      <c r="M111" s="415"/>
      <c r="N111" s="415" t="s">
        <v>563</v>
      </c>
      <c r="O111" s="415"/>
      <c r="P111" s="415"/>
      <c r="Q111" s="415"/>
      <c r="R111" s="415"/>
      <c r="S111" s="415" t="s">
        <v>564</v>
      </c>
      <c r="T111" s="415"/>
      <c r="U111" s="415"/>
      <c r="V111" s="415"/>
      <c r="W111" s="415"/>
      <c r="X111" s="415"/>
    </row>
    <row r="112" spans="1:26">
      <c r="A112" s="448"/>
      <c r="B112" s="449"/>
      <c r="C112" s="450"/>
      <c r="D112" s="415" t="s">
        <v>565</v>
      </c>
      <c r="E112" s="415"/>
      <c r="F112" s="415"/>
      <c r="G112" s="415"/>
      <c r="H112" s="415"/>
      <c r="I112" s="415" t="s">
        <v>566</v>
      </c>
      <c r="J112" s="415"/>
      <c r="K112" s="415"/>
      <c r="L112" s="415"/>
      <c r="M112" s="415"/>
      <c r="N112" s="415" t="s">
        <v>567</v>
      </c>
      <c r="O112" s="415"/>
      <c r="P112" s="415"/>
      <c r="Q112" s="415"/>
      <c r="R112" s="415"/>
      <c r="S112" s="415" t="s">
        <v>568</v>
      </c>
      <c r="T112" s="415"/>
      <c r="U112" s="415"/>
      <c r="V112" s="415"/>
      <c r="W112" s="415"/>
      <c r="X112" s="415"/>
    </row>
    <row r="113" spans="1:30">
      <c r="A113" s="444"/>
      <c r="B113" s="445"/>
      <c r="C113" s="446"/>
      <c r="D113" s="415" t="s">
        <v>569</v>
      </c>
      <c r="E113" s="415"/>
      <c r="F113" s="415"/>
      <c r="G113" s="415"/>
      <c r="H113" s="415"/>
      <c r="I113" s="415" t="s">
        <v>570</v>
      </c>
      <c r="J113" s="415"/>
      <c r="K113" s="415"/>
      <c r="L113" s="415"/>
      <c r="M113" s="415"/>
      <c r="N113" s="415" t="s">
        <v>571</v>
      </c>
      <c r="O113" s="415"/>
      <c r="P113" s="415"/>
      <c r="Q113" s="415"/>
      <c r="R113" s="415"/>
      <c r="S113" s="415" t="s">
        <v>572</v>
      </c>
      <c r="T113" s="415"/>
      <c r="U113" s="415"/>
      <c r="V113" s="415"/>
      <c r="W113" s="415"/>
      <c r="X113" s="415"/>
    </row>
    <row r="114" spans="1:30">
      <c r="A114" s="441" t="s">
        <v>573</v>
      </c>
      <c r="B114" s="442"/>
      <c r="C114" s="443"/>
      <c r="D114" s="415" t="s">
        <v>574</v>
      </c>
      <c r="E114" s="415"/>
      <c r="F114" s="415"/>
      <c r="G114" s="415"/>
      <c r="H114" s="415"/>
      <c r="I114" s="415" t="s">
        <v>575</v>
      </c>
      <c r="J114" s="415"/>
      <c r="K114" s="415"/>
      <c r="L114" s="415"/>
      <c r="M114" s="415"/>
      <c r="N114" s="415" t="s">
        <v>576</v>
      </c>
      <c r="O114" s="415"/>
      <c r="P114" s="415"/>
      <c r="Q114" s="415"/>
      <c r="R114" s="415"/>
      <c r="S114" s="415" t="s">
        <v>577</v>
      </c>
      <c r="T114" s="415"/>
      <c r="U114" s="415"/>
      <c r="V114" s="415"/>
      <c r="W114" s="415"/>
      <c r="X114" s="415"/>
    </row>
    <row r="115" spans="1:30">
      <c r="A115" s="444"/>
      <c r="B115" s="445"/>
      <c r="C115" s="446"/>
      <c r="D115" s="415" t="s">
        <v>578</v>
      </c>
      <c r="E115" s="415"/>
      <c r="F115" s="415"/>
      <c r="G115" s="415"/>
      <c r="H115" s="415"/>
      <c r="I115" s="415" t="s">
        <v>579</v>
      </c>
      <c r="J115" s="415"/>
      <c r="K115" s="415"/>
      <c r="L115" s="415"/>
      <c r="M115" s="415"/>
      <c r="N115" s="415" t="s">
        <v>580</v>
      </c>
      <c r="O115" s="415"/>
      <c r="P115" s="415"/>
      <c r="Q115" s="415"/>
      <c r="R115" s="415"/>
      <c r="S115" s="415" t="s">
        <v>581</v>
      </c>
      <c r="T115" s="415"/>
      <c r="U115" s="415"/>
      <c r="V115" s="415"/>
      <c r="W115" s="415"/>
      <c r="X115" s="415"/>
    </row>
    <row r="116" spans="1:30">
      <c r="A116" s="440" t="s">
        <v>582</v>
      </c>
      <c r="B116" s="440"/>
      <c r="C116" s="440"/>
      <c r="D116" s="415" t="s">
        <v>583</v>
      </c>
      <c r="E116" s="415"/>
      <c r="F116" s="415"/>
      <c r="G116" s="415"/>
      <c r="H116" s="415"/>
      <c r="I116" s="415" t="s">
        <v>584</v>
      </c>
      <c r="J116" s="415"/>
      <c r="K116" s="415"/>
      <c r="L116" s="415"/>
      <c r="M116" s="415"/>
      <c r="N116" s="415" t="s">
        <v>585</v>
      </c>
      <c r="O116" s="415"/>
      <c r="P116" s="415"/>
      <c r="Q116" s="415"/>
      <c r="R116" s="415"/>
      <c r="S116" s="415" t="s">
        <v>586</v>
      </c>
      <c r="T116" s="415"/>
      <c r="U116" s="415"/>
      <c r="V116" s="415"/>
      <c r="W116" s="415"/>
      <c r="X116" s="415"/>
    </row>
    <row r="118" spans="1:30" s="35" customFormat="1">
      <c r="A118" s="35" t="s">
        <v>69</v>
      </c>
    </row>
    <row r="119" spans="1:30">
      <c r="A119" s="435" t="s">
        <v>587</v>
      </c>
      <c r="B119" s="435"/>
      <c r="C119" s="435"/>
      <c r="D119" s="327" t="s">
        <v>588</v>
      </c>
      <c r="E119" s="327"/>
      <c r="F119" s="327" t="s">
        <v>525</v>
      </c>
      <c r="G119" s="327"/>
      <c r="H119" s="327" t="s">
        <v>589</v>
      </c>
      <c r="I119" s="327"/>
      <c r="J119" s="327"/>
      <c r="K119" s="327" t="s">
        <v>590</v>
      </c>
      <c r="L119" s="327"/>
      <c r="M119" s="327"/>
      <c r="N119" s="327" t="s">
        <v>208</v>
      </c>
      <c r="O119" s="327"/>
      <c r="P119" s="76" t="s">
        <v>528</v>
      </c>
      <c r="Q119" s="76"/>
      <c r="R119" s="327" t="s">
        <v>591</v>
      </c>
      <c r="S119" s="327"/>
      <c r="T119" s="327"/>
      <c r="U119" s="327" t="s">
        <v>209</v>
      </c>
      <c r="V119" s="327"/>
      <c r="W119" s="177" t="s">
        <v>24</v>
      </c>
      <c r="X119" s="177"/>
      <c r="Y119" s="177" t="s">
        <v>76</v>
      </c>
      <c r="Z119" s="177"/>
      <c r="AA119" s="177" t="s">
        <v>531</v>
      </c>
      <c r="AB119" s="177"/>
      <c r="AC119" s="177" t="s">
        <v>532</v>
      </c>
      <c r="AD119" s="177"/>
    </row>
    <row r="120" spans="1:30">
      <c r="A120" s="421" t="s">
        <v>328</v>
      </c>
      <c r="B120" s="421"/>
      <c r="C120" s="421"/>
      <c r="D120" s="434">
        <v>300</v>
      </c>
      <c r="E120" s="434"/>
      <c r="F120" s="434">
        <v>1500</v>
      </c>
      <c r="G120" s="434"/>
      <c r="H120" s="434">
        <v>50000</v>
      </c>
      <c r="I120" s="434"/>
      <c r="J120" s="434"/>
      <c r="K120" s="434">
        <f>H120*F120*D120/100000000</f>
        <v>225</v>
      </c>
      <c r="L120" s="434"/>
      <c r="M120" s="434"/>
      <c r="N120" s="434">
        <f>K120/83*10/1000</f>
        <v>2.710843373493976E-2</v>
      </c>
      <c r="O120" s="434"/>
      <c r="P120" s="439">
        <v>0.05</v>
      </c>
      <c r="Q120" s="439"/>
      <c r="R120" s="439">
        <v>0.05</v>
      </c>
      <c r="S120" s="439"/>
      <c r="T120" s="439"/>
      <c r="U120" s="434">
        <f>N120*((1+P120)^10)*((1+R120)^10)</f>
        <v>7.1926745018975266E-2</v>
      </c>
      <c r="V120" s="434"/>
      <c r="W120" s="167">
        <v>0.35</v>
      </c>
      <c r="X120" s="167"/>
      <c r="Y120" s="167">
        <v>0.05</v>
      </c>
      <c r="Z120" s="167"/>
      <c r="AA120" s="202">
        <f>PRODUCT(W120:Z120,N120)*1000</f>
        <v>0.47439759036144574</v>
      </c>
      <c r="AB120" s="203"/>
      <c r="AC120" s="211">
        <f>PRODUCT(W120:Z120,U120)*1000</f>
        <v>1.258718037832067</v>
      </c>
      <c r="AD120" s="211"/>
    </row>
    <row r="121" spans="1:30">
      <c r="A121" s="421" t="s">
        <v>329</v>
      </c>
      <c r="B121" s="421"/>
      <c r="C121" s="421"/>
      <c r="D121" s="434">
        <v>200</v>
      </c>
      <c r="E121" s="434"/>
      <c r="F121" s="434">
        <v>45000</v>
      </c>
      <c r="G121" s="434"/>
      <c r="H121" s="434">
        <v>30000</v>
      </c>
      <c r="I121" s="434"/>
      <c r="J121" s="434"/>
      <c r="K121" s="434">
        <f>H121*F121*D121/100000000</f>
        <v>2700</v>
      </c>
      <c r="L121" s="434"/>
      <c r="M121" s="434"/>
      <c r="N121" s="434">
        <f>K121/83*10/1000</f>
        <v>0.32530120481927716</v>
      </c>
      <c r="O121" s="434"/>
      <c r="P121" s="439">
        <v>0.05</v>
      </c>
      <c r="Q121" s="439"/>
      <c r="R121" s="439">
        <v>0.05</v>
      </c>
      <c r="S121" s="439"/>
      <c r="T121" s="439"/>
      <c r="U121" s="434">
        <f>N121*((1+P121)^10)*((1+R121)^10)</f>
        <v>0.86312094022770325</v>
      </c>
      <c r="V121" s="434"/>
      <c r="W121" s="167">
        <v>0.35</v>
      </c>
      <c r="X121" s="167"/>
      <c r="Y121" s="167">
        <v>0.05</v>
      </c>
      <c r="Z121" s="167"/>
      <c r="AA121" s="202">
        <f t="shared" ref="AA121:AA122" si="5">PRODUCT(W121:Z121,N121)*1000</f>
        <v>5.69277108433735</v>
      </c>
      <c r="AB121" s="203"/>
      <c r="AC121" s="211">
        <f t="shared" ref="AC121:AC122" si="6">PRODUCT(W121:Z121,U121)</f>
        <v>1.5104616453984806E-2</v>
      </c>
      <c r="AD121" s="211"/>
    </row>
    <row r="122" spans="1:30">
      <c r="A122" s="421" t="s">
        <v>330</v>
      </c>
      <c r="B122" s="421"/>
      <c r="C122" s="421"/>
      <c r="D122" s="434">
        <v>250</v>
      </c>
      <c r="E122" s="434"/>
      <c r="F122" s="434">
        <v>25000</v>
      </c>
      <c r="G122" s="434"/>
      <c r="H122" s="434">
        <v>15000</v>
      </c>
      <c r="I122" s="434"/>
      <c r="J122" s="434"/>
      <c r="K122" s="434">
        <f>H122*F122*D122/100000000</f>
        <v>937.5</v>
      </c>
      <c r="L122" s="434"/>
      <c r="M122" s="434"/>
      <c r="N122" s="434">
        <f>K122/83*10/1000</f>
        <v>0.11295180722891565</v>
      </c>
      <c r="O122" s="434"/>
      <c r="P122" s="439">
        <v>0.05</v>
      </c>
      <c r="Q122" s="439"/>
      <c r="R122" s="439">
        <v>0.05</v>
      </c>
      <c r="S122" s="439"/>
      <c r="T122" s="439"/>
      <c r="U122" s="434">
        <f>N122*((1+P122)^10)*((1+R122)^10)</f>
        <v>0.29969477091239688</v>
      </c>
      <c r="V122" s="434"/>
      <c r="W122" s="167">
        <v>0.35</v>
      </c>
      <c r="X122" s="167"/>
      <c r="Y122" s="167">
        <v>0.05</v>
      </c>
      <c r="Z122" s="167"/>
      <c r="AA122" s="202">
        <f t="shared" si="5"/>
        <v>1.9766566265060235</v>
      </c>
      <c r="AB122" s="203"/>
      <c r="AC122" s="211">
        <f t="shared" si="6"/>
        <v>5.2446584909669452E-3</v>
      </c>
      <c r="AD122" s="211"/>
    </row>
    <row r="123" spans="1:30" ht="15" thickBot="1">
      <c r="A123" s="417" t="s">
        <v>592</v>
      </c>
      <c r="B123" s="417"/>
      <c r="C123" s="417"/>
      <c r="D123" s="436" t="s">
        <v>89</v>
      </c>
      <c r="E123" s="436"/>
      <c r="F123" s="436" t="s">
        <v>89</v>
      </c>
      <c r="G123" s="436"/>
      <c r="H123" s="437">
        <f>SUM(H120:J122)</f>
        <v>95000</v>
      </c>
      <c r="I123" s="437"/>
      <c r="J123" s="437"/>
      <c r="K123" s="437">
        <f t="shared" ref="K123" si="7">SUM(K120:K122)</f>
        <v>3862.5</v>
      </c>
      <c r="L123" s="437"/>
      <c r="M123" s="437"/>
      <c r="N123" s="438">
        <f>SUM(N120:N122)</f>
        <v>0.46536144578313254</v>
      </c>
      <c r="O123" s="438"/>
      <c r="P123" s="214"/>
      <c r="Q123" s="214"/>
      <c r="R123" s="214"/>
      <c r="S123" s="214"/>
      <c r="T123" s="214"/>
      <c r="U123" s="168">
        <f>SUM(U120:U122)</f>
        <v>1.2347424561590754</v>
      </c>
      <c r="V123" s="168"/>
      <c r="W123" s="167">
        <v>0.35</v>
      </c>
      <c r="X123" s="167"/>
      <c r="Y123" s="167">
        <v>0.05</v>
      </c>
      <c r="Z123" s="167"/>
      <c r="AA123" s="168">
        <f xml:space="preserve"> SUM(AA120:AB122)</f>
        <v>8.143825301204819</v>
      </c>
      <c r="AB123" s="214"/>
      <c r="AC123" s="168">
        <f xml:space="preserve"> SUM(AC120:AD122)</f>
        <v>1.2790673127770187</v>
      </c>
      <c r="AD123" s="214"/>
    </row>
    <row r="124" spans="1:30" ht="15" thickTop="1"/>
    <row r="125" spans="1:30" s="33" customFormat="1">
      <c r="A125" s="33" t="s">
        <v>593</v>
      </c>
    </row>
    <row r="126" spans="1:30" s="103" customFormat="1">
      <c r="A126" s="102" t="s">
        <v>297</v>
      </c>
      <c r="B126" s="102"/>
      <c r="C126" s="102"/>
      <c r="D126" s="102"/>
      <c r="E126" s="102"/>
      <c r="F126" s="102"/>
      <c r="G126" s="102"/>
      <c r="H126" s="102"/>
      <c r="I126" s="102"/>
      <c r="J126" s="102"/>
      <c r="K126" s="102"/>
      <c r="L126" s="102"/>
      <c r="M126" s="102"/>
      <c r="N126" s="102"/>
      <c r="O126" s="102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</row>
    <row r="127" spans="1:30">
      <c r="A127" s="435" t="s">
        <v>594</v>
      </c>
      <c r="B127" s="435"/>
      <c r="C127" s="435"/>
      <c r="D127" s="435" t="s">
        <v>595</v>
      </c>
      <c r="E127" s="435"/>
      <c r="F127" s="435"/>
      <c r="G127" s="435"/>
      <c r="H127" s="435"/>
      <c r="I127" s="435"/>
      <c r="J127" s="435"/>
      <c r="K127" s="435"/>
      <c r="L127" s="435"/>
      <c r="M127" s="435" t="s">
        <v>596</v>
      </c>
      <c r="N127" s="435"/>
      <c r="O127" s="435"/>
      <c r="P127" s="435"/>
      <c r="Q127" s="435"/>
      <c r="R127" s="435"/>
      <c r="S127" s="435"/>
      <c r="T127" s="435"/>
      <c r="U127" s="435"/>
      <c r="V127" s="435" t="s">
        <v>597</v>
      </c>
      <c r="W127" s="435"/>
      <c r="X127" s="435"/>
      <c r="Y127" s="435" t="s">
        <v>333</v>
      </c>
      <c r="Z127" s="435"/>
      <c r="AA127" s="435"/>
      <c r="AB127" s="435"/>
      <c r="AC127" s="435"/>
      <c r="AD127" s="435"/>
    </row>
    <row r="128" spans="1:30">
      <c r="A128" s="415" t="s">
        <v>598</v>
      </c>
      <c r="B128" s="415"/>
      <c r="C128" s="415"/>
      <c r="D128" s="415" t="s">
        <v>599</v>
      </c>
      <c r="E128" s="415"/>
      <c r="F128" s="415"/>
      <c r="G128" s="415"/>
      <c r="H128" s="415"/>
      <c r="I128" s="415"/>
      <c r="J128" s="415"/>
      <c r="K128" s="415"/>
      <c r="L128" s="415"/>
      <c r="M128" s="415" t="s">
        <v>600</v>
      </c>
      <c r="N128" s="415"/>
      <c r="O128" s="415"/>
      <c r="P128" s="415"/>
      <c r="Q128" s="415"/>
      <c r="R128" s="415"/>
      <c r="S128" s="415"/>
      <c r="T128" s="415"/>
      <c r="U128" s="342"/>
      <c r="V128" s="431">
        <v>40000</v>
      </c>
      <c r="W128" s="431"/>
      <c r="X128" s="431"/>
      <c r="Y128" s="432" t="s">
        <v>601</v>
      </c>
      <c r="Z128" s="432"/>
      <c r="AA128" s="432"/>
      <c r="AB128" s="432"/>
      <c r="AC128" s="432"/>
      <c r="AD128" s="432"/>
    </row>
    <row r="129" spans="1:30">
      <c r="A129" s="415" t="s">
        <v>602</v>
      </c>
      <c r="B129" s="415"/>
      <c r="C129" s="415"/>
      <c r="D129" s="415" t="s">
        <v>603</v>
      </c>
      <c r="E129" s="415"/>
      <c r="F129" s="415"/>
      <c r="G129" s="415"/>
      <c r="H129" s="415"/>
      <c r="I129" s="415"/>
      <c r="J129" s="415"/>
      <c r="K129" s="415"/>
      <c r="L129" s="415"/>
      <c r="M129" s="415" t="s">
        <v>604</v>
      </c>
      <c r="N129" s="415"/>
      <c r="O129" s="415"/>
      <c r="P129" s="415"/>
      <c r="Q129" s="415"/>
      <c r="R129" s="415"/>
      <c r="S129" s="415"/>
      <c r="T129" s="415"/>
      <c r="U129" s="342"/>
      <c r="V129" s="434">
        <v>135000</v>
      </c>
      <c r="W129" s="434"/>
      <c r="X129" s="434"/>
      <c r="Y129" s="432" t="s">
        <v>605</v>
      </c>
      <c r="Z129" s="432"/>
      <c r="AA129" s="432"/>
      <c r="AB129" s="432"/>
      <c r="AC129" s="432"/>
      <c r="AD129" s="432"/>
    </row>
    <row r="130" spans="1:30">
      <c r="A130" s="415" t="s">
        <v>606</v>
      </c>
      <c r="B130" s="415"/>
      <c r="C130" s="415"/>
      <c r="D130" s="415" t="s">
        <v>607</v>
      </c>
      <c r="E130" s="415"/>
      <c r="F130" s="415"/>
      <c r="G130" s="415"/>
      <c r="H130" s="415"/>
      <c r="I130" s="415"/>
      <c r="J130" s="415"/>
      <c r="K130" s="415"/>
      <c r="L130" s="415"/>
      <c r="M130" s="415" t="s">
        <v>608</v>
      </c>
      <c r="N130" s="415"/>
      <c r="O130" s="415"/>
      <c r="P130" s="415"/>
      <c r="Q130" s="415"/>
      <c r="R130" s="415"/>
      <c r="S130" s="415"/>
      <c r="T130" s="415"/>
      <c r="U130" s="342"/>
      <c r="V130" s="431">
        <v>25000</v>
      </c>
      <c r="W130" s="431"/>
      <c r="X130" s="431"/>
      <c r="Y130" s="432" t="s">
        <v>609</v>
      </c>
      <c r="Z130" s="432"/>
      <c r="AA130" s="432"/>
      <c r="AB130" s="432"/>
      <c r="AC130" s="432"/>
      <c r="AD130" s="432"/>
    </row>
    <row r="131" spans="1:30">
      <c r="V131" s="431">
        <f>SUM(V128:V130)</f>
        <v>200000</v>
      </c>
      <c r="W131" s="431"/>
      <c r="X131" s="431"/>
      <c r="Y131" s="433" t="s">
        <v>610</v>
      </c>
      <c r="Z131" s="433"/>
      <c r="AA131" s="433"/>
      <c r="AB131" s="433"/>
      <c r="AC131" s="433"/>
      <c r="AD131" s="433"/>
    </row>
    <row r="132" spans="1:30" s="35" customFormat="1">
      <c r="A132" s="35" t="s">
        <v>69</v>
      </c>
    </row>
    <row r="133" spans="1:30">
      <c r="A133" s="327" t="s">
        <v>611</v>
      </c>
      <c r="B133" s="327"/>
      <c r="C133" s="327"/>
      <c r="D133" s="327" t="s">
        <v>528</v>
      </c>
      <c r="E133" s="327"/>
      <c r="F133" s="327" t="s">
        <v>597</v>
      </c>
      <c r="G133" s="327"/>
      <c r="H133" s="327"/>
      <c r="I133" s="327" t="s">
        <v>208</v>
      </c>
      <c r="J133" s="327"/>
      <c r="K133" s="327" t="s">
        <v>612</v>
      </c>
      <c r="L133" s="327"/>
      <c r="M133" s="327" t="s">
        <v>209</v>
      </c>
      <c r="N133" s="327"/>
      <c r="O133" s="327" t="s">
        <v>613</v>
      </c>
      <c r="P133" s="327"/>
      <c r="Q133" s="327" t="s">
        <v>614</v>
      </c>
      <c r="R133" s="327"/>
      <c r="S133" s="327" t="s">
        <v>615</v>
      </c>
      <c r="T133" s="327"/>
      <c r="U133" s="327" t="s">
        <v>616</v>
      </c>
      <c r="V133" s="327"/>
    </row>
    <row r="134" spans="1:30" ht="15" thickBot="1">
      <c r="A134" s="211">
        <f>D101</f>
        <v>71500</v>
      </c>
      <c r="B134" s="211"/>
      <c r="C134" s="211"/>
      <c r="D134" s="167">
        <v>0.05</v>
      </c>
      <c r="E134" s="167"/>
      <c r="F134" s="430">
        <f xml:space="preserve"> V131</f>
        <v>200000</v>
      </c>
      <c r="G134" s="430"/>
      <c r="H134" s="430"/>
      <c r="I134" s="429">
        <f>A134*F134/100000000000</f>
        <v>0.14299999999999999</v>
      </c>
      <c r="J134" s="429"/>
      <c r="K134" s="368">
        <v>7.0000000000000007E-2</v>
      </c>
      <c r="L134" s="369"/>
      <c r="M134" s="429">
        <f>I134*((1+D134)^10)*((1+K134)^10)</f>
        <v>0.45821236546041022</v>
      </c>
      <c r="N134" s="429"/>
      <c r="O134" s="429">
        <v>0.35</v>
      </c>
      <c r="P134" s="429"/>
      <c r="Q134" s="429">
        <v>0.05</v>
      </c>
      <c r="R134" s="429"/>
      <c r="S134" s="168">
        <f>PRODUCT(O134:R134,I134)*1000</f>
        <v>2.5024999999999995</v>
      </c>
      <c r="T134" s="168"/>
      <c r="U134" s="168">
        <f>PRODUCT(M134:R134)*1000</f>
        <v>8.0187163955571776</v>
      </c>
      <c r="V134" s="168"/>
    </row>
    <row r="135" spans="1:30" ht="15" thickTop="1"/>
    <row r="136" spans="1:30" s="33" customFormat="1">
      <c r="A136" s="33" t="s">
        <v>617</v>
      </c>
    </row>
    <row r="137" spans="1:30" s="103" customFormat="1">
      <c r="A137" s="102" t="s">
        <v>618</v>
      </c>
      <c r="B137" s="102"/>
      <c r="C137" s="102"/>
      <c r="D137" s="102"/>
      <c r="E137" s="102"/>
      <c r="F137" s="102"/>
      <c r="G137" s="102"/>
      <c r="H137" s="102"/>
      <c r="I137" s="102"/>
      <c r="J137" s="102"/>
      <c r="K137" s="102"/>
      <c r="L137" s="102"/>
      <c r="M137" s="102"/>
      <c r="N137" s="102"/>
      <c r="O137" s="102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</row>
    <row r="138" spans="1:30">
      <c r="A138" s="426" t="s">
        <v>70</v>
      </c>
      <c r="B138" s="426"/>
      <c r="C138" s="426"/>
      <c r="D138" s="426" t="s">
        <v>619</v>
      </c>
      <c r="E138" s="426"/>
      <c r="F138" s="426"/>
      <c r="G138" s="426"/>
      <c r="H138" s="426" t="s">
        <v>620</v>
      </c>
      <c r="I138" s="426"/>
      <c r="J138" s="426"/>
      <c r="K138" s="426"/>
      <c r="L138" s="426" t="s">
        <v>621</v>
      </c>
      <c r="M138" s="426"/>
      <c r="N138" s="426"/>
      <c r="O138" s="426" t="s">
        <v>622</v>
      </c>
      <c r="P138" s="426"/>
      <c r="Q138" s="426"/>
    </row>
    <row r="139" spans="1:30">
      <c r="A139" s="421" t="s">
        <v>623</v>
      </c>
      <c r="B139" s="421"/>
      <c r="C139" s="421"/>
      <c r="D139" s="121" t="s">
        <v>624</v>
      </c>
      <c r="E139" s="122"/>
      <c r="F139" s="49"/>
      <c r="G139" s="49"/>
      <c r="H139" s="422" t="s">
        <v>625</v>
      </c>
      <c r="I139" s="423"/>
      <c r="J139" s="423"/>
      <c r="K139" s="424"/>
      <c r="L139" s="421" t="s">
        <v>626</v>
      </c>
      <c r="M139" s="421"/>
      <c r="N139" s="421"/>
      <c r="O139" s="121" t="s">
        <v>627</v>
      </c>
      <c r="P139" s="49"/>
      <c r="Q139" s="49"/>
    </row>
    <row r="140" spans="1:30">
      <c r="A140" s="421" t="s">
        <v>628</v>
      </c>
      <c r="B140" s="421"/>
      <c r="C140" s="421"/>
      <c r="D140" s="121" t="s">
        <v>629</v>
      </c>
      <c r="E140" s="122"/>
      <c r="F140" s="49"/>
      <c r="G140" s="49"/>
      <c r="H140" s="422" t="s">
        <v>630</v>
      </c>
      <c r="I140" s="423"/>
      <c r="J140" s="423"/>
      <c r="K140" s="424"/>
      <c r="L140" s="421" t="s">
        <v>631</v>
      </c>
      <c r="M140" s="421"/>
      <c r="N140" s="421"/>
      <c r="O140" s="121" t="s">
        <v>632</v>
      </c>
      <c r="P140" s="49"/>
      <c r="Q140" s="49"/>
    </row>
    <row r="141" spans="1:30">
      <c r="A141" s="421" t="s">
        <v>633</v>
      </c>
      <c r="B141" s="421"/>
      <c r="C141" s="421"/>
      <c r="D141" s="121" t="s">
        <v>634</v>
      </c>
      <c r="E141" s="122"/>
      <c r="F141" s="49"/>
      <c r="G141" s="49"/>
      <c r="H141" s="422" t="s">
        <v>635</v>
      </c>
      <c r="I141" s="423"/>
      <c r="J141" s="423"/>
      <c r="K141" s="424"/>
      <c r="L141" s="425">
        <v>8.1000000000000003E-2</v>
      </c>
      <c r="M141" s="425"/>
      <c r="N141" s="425"/>
      <c r="O141" s="121" t="s">
        <v>636</v>
      </c>
      <c r="P141" s="49"/>
      <c r="Q141" s="49"/>
    </row>
    <row r="143" spans="1:30" s="35" customFormat="1">
      <c r="A143" s="35" t="s">
        <v>69</v>
      </c>
    </row>
    <row r="144" spans="1:30">
      <c r="A144" s="426" t="s">
        <v>70</v>
      </c>
      <c r="B144" s="426"/>
      <c r="C144" s="426"/>
      <c r="D144" s="427" t="s">
        <v>611</v>
      </c>
      <c r="E144" s="427"/>
      <c r="F144" s="427" t="s">
        <v>637</v>
      </c>
      <c r="G144" s="427"/>
      <c r="H144" s="427" t="s">
        <v>208</v>
      </c>
      <c r="I144" s="427"/>
      <c r="J144" s="427" t="s">
        <v>638</v>
      </c>
      <c r="K144" s="427"/>
      <c r="L144" s="427" t="s">
        <v>639</v>
      </c>
      <c r="M144" s="427"/>
      <c r="N144" s="428" t="s">
        <v>209</v>
      </c>
      <c r="O144" s="177"/>
      <c r="P144" s="177" t="s">
        <v>24</v>
      </c>
      <c r="Q144" s="177"/>
      <c r="R144" s="177" t="s">
        <v>76</v>
      </c>
      <c r="S144" s="177"/>
      <c r="T144" s="177" t="s">
        <v>531</v>
      </c>
      <c r="U144" s="177"/>
      <c r="V144" s="177" t="s">
        <v>532</v>
      </c>
      <c r="W144" s="177"/>
    </row>
    <row r="145" spans="1:23">
      <c r="A145" s="421" t="s">
        <v>640</v>
      </c>
      <c r="B145" s="421"/>
      <c r="C145" s="421"/>
      <c r="D145" s="176">
        <v>3750</v>
      </c>
      <c r="E145" s="176"/>
      <c r="F145" s="176">
        <v>10</v>
      </c>
      <c r="G145" s="176"/>
      <c r="H145" s="176">
        <f>D145*F145/8300</f>
        <v>4.5180722891566267</v>
      </c>
      <c r="I145" s="176"/>
      <c r="J145" s="326">
        <v>0.1</v>
      </c>
      <c r="K145" s="326"/>
      <c r="L145" s="326">
        <v>0.05</v>
      </c>
      <c r="M145" s="353"/>
      <c r="N145" s="211">
        <f>H145*((1+J145)^10)*((1+L145)^10)</f>
        <v>19.088553417927994</v>
      </c>
      <c r="O145" s="211"/>
      <c r="P145" s="167">
        <v>0.35</v>
      </c>
      <c r="Q145" s="167"/>
      <c r="R145" s="167">
        <v>0.05</v>
      </c>
      <c r="S145" s="167"/>
      <c r="T145" s="202">
        <f>PRODUCT(P145:S145,H145)*1000</f>
        <v>79.066265060240966</v>
      </c>
      <c r="U145" s="203"/>
      <c r="V145" s="211">
        <f>PRODUCT(P145:S145,N145)*1000</f>
        <v>334.04968481373987</v>
      </c>
      <c r="W145" s="211"/>
    </row>
    <row r="146" spans="1:23">
      <c r="A146" s="421" t="s">
        <v>628</v>
      </c>
      <c r="B146" s="421"/>
      <c r="C146" s="421"/>
      <c r="D146" s="176">
        <f>D101</f>
        <v>71500</v>
      </c>
      <c r="E146" s="176"/>
      <c r="F146" s="176">
        <v>1.25</v>
      </c>
      <c r="G146" s="176"/>
      <c r="H146" s="176">
        <f>D146*F146/8300</f>
        <v>10.768072289156626</v>
      </c>
      <c r="I146" s="176"/>
      <c r="J146" s="326">
        <v>0.1</v>
      </c>
      <c r="K146" s="326"/>
      <c r="L146" s="326">
        <v>0.05</v>
      </c>
      <c r="M146" s="353"/>
      <c r="N146" s="211">
        <f>H146*((1+J146)^10)*((1+L146)^10)</f>
        <v>45.494385646061716</v>
      </c>
      <c r="O146" s="211"/>
      <c r="P146" s="167">
        <v>0.35</v>
      </c>
      <c r="Q146" s="167"/>
      <c r="R146" s="167">
        <v>0.05</v>
      </c>
      <c r="S146" s="167"/>
      <c r="T146" s="202">
        <f t="shared" ref="T146:T147" si="8">PRODUCT(P146:S146,H146)*1000</f>
        <v>188.44126506024091</v>
      </c>
      <c r="U146" s="203"/>
      <c r="V146" s="211">
        <f t="shared" ref="V146:V147" si="9">PRODUCT(P146:S146,N146)*1000</f>
        <v>796.15174880607992</v>
      </c>
      <c r="W146" s="211"/>
    </row>
    <row r="147" spans="1:23">
      <c r="A147" s="421" t="s">
        <v>633</v>
      </c>
      <c r="B147" s="421"/>
      <c r="C147" s="421"/>
      <c r="D147" s="176">
        <f>D101</f>
        <v>71500</v>
      </c>
      <c r="E147" s="176"/>
      <c r="F147" s="176">
        <v>0.4</v>
      </c>
      <c r="G147" s="176"/>
      <c r="H147" s="176">
        <f>D147*F147/8300</f>
        <v>3.4457831325301207</v>
      </c>
      <c r="I147" s="176"/>
      <c r="J147" s="326">
        <v>0.08</v>
      </c>
      <c r="K147" s="326"/>
      <c r="L147" s="326">
        <v>0.05</v>
      </c>
      <c r="M147" s="353"/>
      <c r="N147" s="211">
        <f>H147*((1+J147)^10)*((1+L147)^10)</f>
        <v>12.117652285717108</v>
      </c>
      <c r="O147" s="211"/>
      <c r="P147" s="167">
        <v>0.35</v>
      </c>
      <c r="Q147" s="167"/>
      <c r="R147" s="167">
        <v>0.05</v>
      </c>
      <c r="S147" s="167"/>
      <c r="T147" s="202">
        <f t="shared" si="8"/>
        <v>60.30120481927711</v>
      </c>
      <c r="U147" s="203"/>
      <c r="V147" s="211">
        <f t="shared" si="9"/>
        <v>212.05891500004935</v>
      </c>
      <c r="W147" s="211"/>
    </row>
    <row r="148" spans="1:23" ht="15" thickBot="1">
      <c r="A148" s="417" t="s">
        <v>592</v>
      </c>
      <c r="B148" s="417"/>
      <c r="C148" s="417"/>
      <c r="D148" s="124"/>
      <c r="E148" s="125"/>
      <c r="F148" s="418">
        <f t="shared" ref="F148" si="10">SUM(F145:F147)</f>
        <v>11.65</v>
      </c>
      <c r="G148" s="418"/>
      <c r="H148" s="419">
        <f>SUM(H145:I147)</f>
        <v>18.731927710843372</v>
      </c>
      <c r="I148" s="419"/>
      <c r="J148" s="124"/>
      <c r="K148" s="125"/>
      <c r="L148" s="124"/>
      <c r="M148" s="125"/>
      <c r="N148" s="420">
        <f>SUM(N145:O147)</f>
        <v>76.700591349706826</v>
      </c>
      <c r="O148" s="420"/>
      <c r="P148" s="167">
        <v>0.35</v>
      </c>
      <c r="Q148" s="167"/>
      <c r="R148" s="167">
        <v>0.05</v>
      </c>
      <c r="S148" s="167"/>
      <c r="T148" s="168">
        <f xml:space="preserve"> SUM(T145:U147)</f>
        <v>327.80873493975901</v>
      </c>
      <c r="U148" s="214"/>
      <c r="V148" s="168">
        <f xml:space="preserve"> SUM(V145:W147)</f>
        <v>1342.2603486198693</v>
      </c>
      <c r="W148" s="214"/>
    </row>
    <row r="149" spans="1:23" ht="15" thickTop="1"/>
    <row r="150" spans="1:23" s="126" customFormat="1">
      <c r="A150" s="126" t="s">
        <v>641</v>
      </c>
    </row>
    <row r="151" spans="1:23">
      <c r="A151" s="158" t="s">
        <v>642</v>
      </c>
      <c r="B151" s="158"/>
      <c r="C151" s="158"/>
      <c r="D151" s="177" t="s">
        <v>643</v>
      </c>
      <c r="E151" s="177"/>
      <c r="F151" s="177" t="s">
        <v>644</v>
      </c>
      <c r="G151" s="177"/>
      <c r="H151" s="158" t="s">
        <v>645</v>
      </c>
      <c r="I151" s="158"/>
      <c r="J151" s="158"/>
      <c r="K151" s="158"/>
      <c r="L151" s="158"/>
      <c r="M151" s="158"/>
      <c r="N151" s="158"/>
      <c r="O151" s="158"/>
      <c r="P151" s="158"/>
      <c r="Q151" s="158"/>
      <c r="R151" s="158"/>
      <c r="S151" s="158"/>
    </row>
    <row r="152" spans="1:23">
      <c r="A152" s="415" t="s">
        <v>646</v>
      </c>
      <c r="B152" s="415"/>
      <c r="C152" s="415"/>
      <c r="D152" s="416" t="s">
        <v>647</v>
      </c>
      <c r="E152" s="416"/>
      <c r="F152" s="326">
        <f>(N145/H145)^0.1-1</f>
        <v>0.15500000000000003</v>
      </c>
      <c r="G152" s="326"/>
      <c r="H152" s="415" t="s">
        <v>648</v>
      </c>
      <c r="I152" s="415"/>
      <c r="J152" s="415"/>
      <c r="K152" s="415"/>
      <c r="L152" s="415"/>
      <c r="M152" s="415"/>
      <c r="N152" s="415"/>
      <c r="O152" s="415"/>
      <c r="P152" s="415"/>
      <c r="Q152" s="415"/>
      <c r="R152" s="415"/>
      <c r="S152" s="415"/>
    </row>
    <row r="153" spans="1:23">
      <c r="A153" s="415" t="s">
        <v>649</v>
      </c>
      <c r="B153" s="415"/>
      <c r="C153" s="415"/>
      <c r="D153" s="416" t="s">
        <v>650</v>
      </c>
      <c r="E153" s="416"/>
      <c r="F153" s="326">
        <f t="shared" ref="F153" si="11">(N146/H146)^0.1-1</f>
        <v>0.15500000000000003</v>
      </c>
      <c r="G153" s="326"/>
      <c r="H153" s="415" t="s">
        <v>651</v>
      </c>
      <c r="I153" s="415"/>
      <c r="J153" s="415"/>
      <c r="K153" s="415"/>
      <c r="L153" s="415"/>
      <c r="M153" s="415"/>
      <c r="N153" s="415"/>
      <c r="O153" s="415"/>
      <c r="P153" s="415"/>
      <c r="Q153" s="415"/>
      <c r="R153" s="415"/>
      <c r="S153" s="415"/>
    </row>
    <row r="154" spans="1:23">
      <c r="A154" s="415" t="s">
        <v>652</v>
      </c>
      <c r="B154" s="415"/>
      <c r="C154" s="415"/>
      <c r="D154" s="416" t="s">
        <v>653</v>
      </c>
      <c r="E154" s="416"/>
      <c r="F154" s="326">
        <f>(N147/H147)^0.1-1</f>
        <v>0.13400000000000012</v>
      </c>
      <c r="G154" s="326"/>
      <c r="H154" s="415" t="s">
        <v>654</v>
      </c>
      <c r="I154" s="415"/>
      <c r="J154" s="415"/>
      <c r="K154" s="415"/>
      <c r="L154" s="415"/>
      <c r="M154" s="415"/>
      <c r="N154" s="415"/>
      <c r="O154" s="415"/>
      <c r="P154" s="415"/>
      <c r="Q154" s="415"/>
      <c r="R154" s="415"/>
      <c r="S154" s="415"/>
    </row>
    <row r="155" spans="1:23">
      <c r="A155" s="415" t="s">
        <v>655</v>
      </c>
      <c r="B155" s="415"/>
      <c r="C155" s="415"/>
      <c r="D155" s="416" t="s">
        <v>656</v>
      </c>
      <c r="E155" s="416"/>
      <c r="F155" s="326">
        <f>(N148/H148)^0.1-1</f>
        <v>0.15138780138061247</v>
      </c>
      <c r="G155" s="326"/>
      <c r="H155" s="415" t="s">
        <v>657</v>
      </c>
      <c r="I155" s="415"/>
      <c r="J155" s="415"/>
      <c r="K155" s="415"/>
      <c r="L155" s="415"/>
      <c r="M155" s="415"/>
      <c r="N155" s="415"/>
      <c r="O155" s="415"/>
      <c r="P155" s="415"/>
      <c r="Q155" s="415"/>
      <c r="R155" s="415"/>
      <c r="S155" s="415"/>
    </row>
    <row r="157" spans="1:23" s="3" customFormat="1">
      <c r="A157" s="2" t="s">
        <v>144</v>
      </c>
    </row>
    <row r="158" spans="1:23">
      <c r="A158" s="52" t="s">
        <v>116</v>
      </c>
      <c r="B158" s="52"/>
      <c r="D158" s="53">
        <f>DATE(2025, 4, 1)</f>
        <v>45748</v>
      </c>
      <c r="E158" s="53">
        <f>EDATE(D158, 12)</f>
        <v>46113</v>
      </c>
      <c r="F158" s="53">
        <f t="shared" ref="F158:N158" si="12">EDATE(E158, 12)</f>
        <v>46478</v>
      </c>
      <c r="G158" s="53">
        <f t="shared" si="12"/>
        <v>46844</v>
      </c>
      <c r="H158" s="53">
        <f t="shared" si="12"/>
        <v>47209</v>
      </c>
      <c r="I158" s="53">
        <f t="shared" si="12"/>
        <v>47574</v>
      </c>
      <c r="J158" s="53">
        <f t="shared" si="12"/>
        <v>47939</v>
      </c>
      <c r="K158" s="53">
        <f t="shared" si="12"/>
        <v>48305</v>
      </c>
      <c r="L158" s="53">
        <f t="shared" si="12"/>
        <v>48670</v>
      </c>
      <c r="M158" s="53">
        <f>EDATE(L158, 12)</f>
        <v>49035</v>
      </c>
      <c r="N158" s="53">
        <f t="shared" si="12"/>
        <v>49400</v>
      </c>
    </row>
    <row r="159" spans="1:23">
      <c r="A159" s="52" t="s">
        <v>131</v>
      </c>
      <c r="B159" s="52"/>
      <c r="D159" s="54">
        <v>0</v>
      </c>
      <c r="E159" s="54">
        <v>1</v>
      </c>
      <c r="F159" s="54">
        <v>2</v>
      </c>
      <c r="G159" s="54">
        <v>3</v>
      </c>
      <c r="H159" s="54">
        <v>4</v>
      </c>
      <c r="I159" s="54">
        <v>5</v>
      </c>
      <c r="J159" s="54">
        <v>6</v>
      </c>
      <c r="K159" s="54">
        <v>7</v>
      </c>
      <c r="L159" s="54">
        <v>8</v>
      </c>
      <c r="M159" s="54">
        <v>9</v>
      </c>
      <c r="N159" s="54">
        <v>10</v>
      </c>
    </row>
    <row r="161" spans="1:14">
      <c r="A161" s="55" t="s">
        <v>132</v>
      </c>
      <c r="B161" s="55"/>
      <c r="D161" s="56">
        <f>S58</f>
        <v>394.670952</v>
      </c>
      <c r="E161" s="56">
        <f>D161*(1+E162)</f>
        <v>651.2070708</v>
      </c>
      <c r="F161" s="56">
        <f t="shared" ref="F161:N161" si="13">E161*(1+F162)</f>
        <v>911.68989911999995</v>
      </c>
      <c r="G161" s="56">
        <f t="shared" si="13"/>
        <v>1139.6123739</v>
      </c>
      <c r="H161" s="56">
        <f t="shared" si="13"/>
        <v>1310.5542299849999</v>
      </c>
      <c r="I161" s="56">
        <f t="shared" si="13"/>
        <v>1441.6096529834999</v>
      </c>
      <c r="J161" s="56">
        <f t="shared" si="13"/>
        <v>1556.9384252221801</v>
      </c>
      <c r="K161" s="56">
        <f t="shared" si="13"/>
        <v>1650.3547307355109</v>
      </c>
      <c r="L161" s="56">
        <f t="shared" si="13"/>
        <v>1716.3689199649314</v>
      </c>
      <c r="M161" s="56">
        <f t="shared" si="13"/>
        <v>1750.69629836423</v>
      </c>
      <c r="N161" s="56">
        <f t="shared" si="13"/>
        <v>1785.7102243315146</v>
      </c>
    </row>
    <row r="162" spans="1:14" s="58" customFormat="1" ht="12">
      <c r="A162" s="164" t="s">
        <v>133</v>
      </c>
      <c r="B162" s="164"/>
      <c r="D162" s="59"/>
      <c r="E162" s="59">
        <v>0.65</v>
      </c>
      <c r="F162" s="59">
        <v>0.4</v>
      </c>
      <c r="G162" s="59">
        <v>0.25</v>
      </c>
      <c r="H162" s="59">
        <v>0.15</v>
      </c>
      <c r="I162" s="59">
        <v>0.1</v>
      </c>
      <c r="J162" s="59">
        <v>0.08</v>
      </c>
      <c r="K162" s="59">
        <v>0.06</v>
      </c>
      <c r="L162" s="59">
        <v>0.04</v>
      </c>
      <c r="M162" s="59">
        <v>0.02</v>
      </c>
      <c r="N162" s="59">
        <v>0.02</v>
      </c>
    </row>
    <row r="163" spans="1:14">
      <c r="A163" s="55"/>
      <c r="B163" s="55"/>
    </row>
    <row r="164" spans="1:14">
      <c r="A164" s="55" t="s">
        <v>134</v>
      </c>
      <c r="B164" s="55"/>
      <c r="D164" s="56">
        <f>D161*D165</f>
        <v>276.26966640000001</v>
      </c>
      <c r="E164" s="56">
        <f t="shared" ref="E164:N164" si="14">E161*E165</f>
        <v>436.308737436</v>
      </c>
      <c r="F164" s="56">
        <f t="shared" si="14"/>
        <v>583.48153543679996</v>
      </c>
      <c r="G164" s="56">
        <f t="shared" si="14"/>
        <v>695.16354807899995</v>
      </c>
      <c r="H164" s="56">
        <f t="shared" si="14"/>
        <v>760.12145339129984</v>
      </c>
      <c r="I164" s="56">
        <f t="shared" si="14"/>
        <v>792.88530914092507</v>
      </c>
      <c r="J164" s="56">
        <f t="shared" si="14"/>
        <v>809.60798111553527</v>
      </c>
      <c r="K164" s="56">
        <f t="shared" si="14"/>
        <v>808.67381806040191</v>
      </c>
      <c r="L164" s="56">
        <f t="shared" si="14"/>
        <v>789.5297031838702</v>
      </c>
      <c r="M164" s="56">
        <f t="shared" si="14"/>
        <v>752.79940829662064</v>
      </c>
      <c r="N164" s="56">
        <f t="shared" si="14"/>
        <v>714.28408973260764</v>
      </c>
    </row>
    <row r="165" spans="1:14" s="58" customFormat="1">
      <c r="A165" s="164" t="s">
        <v>135</v>
      </c>
      <c r="B165" s="164"/>
      <c r="D165" s="94">
        <v>0.7</v>
      </c>
      <c r="E165" s="94">
        <v>0.67</v>
      </c>
      <c r="F165" s="94">
        <v>0.64</v>
      </c>
      <c r="G165" s="94">
        <v>0.61</v>
      </c>
      <c r="H165" s="94">
        <v>0.57999999999999996</v>
      </c>
      <c r="I165" s="94">
        <v>0.55000000000000004</v>
      </c>
      <c r="J165" s="94">
        <v>0.52000000000000102</v>
      </c>
      <c r="K165" s="94">
        <v>0.49000000000000099</v>
      </c>
      <c r="L165" s="94">
        <v>0.46000000000000102</v>
      </c>
      <c r="M165" s="94">
        <v>0.43000000000000099</v>
      </c>
      <c r="N165" s="94">
        <v>0.40000000000000102</v>
      </c>
    </row>
    <row r="167" spans="1:14">
      <c r="A167" s="92" t="s">
        <v>136</v>
      </c>
      <c r="B167" s="92"/>
      <c r="D167" s="56">
        <f xml:space="preserve"> D161-D164</f>
        <v>118.40128559999999</v>
      </c>
      <c r="E167" s="56">
        <f t="shared" ref="E167:N167" si="15" xml:space="preserve"> E161-E164</f>
        <v>214.898333364</v>
      </c>
      <c r="F167" s="56">
        <f t="shared" si="15"/>
        <v>328.20836368319999</v>
      </c>
      <c r="G167" s="56">
        <f t="shared" si="15"/>
        <v>444.44882582100001</v>
      </c>
      <c r="H167" s="56">
        <f t="shared" si="15"/>
        <v>550.43277659370005</v>
      </c>
      <c r="I167" s="56">
        <f t="shared" si="15"/>
        <v>648.72434384257485</v>
      </c>
      <c r="J167" s="56">
        <f t="shared" si="15"/>
        <v>747.33044410664479</v>
      </c>
      <c r="K167" s="56">
        <f t="shared" si="15"/>
        <v>841.68091267510897</v>
      </c>
      <c r="L167" s="56">
        <f t="shared" si="15"/>
        <v>926.83921678106117</v>
      </c>
      <c r="M167" s="56">
        <f t="shared" si="15"/>
        <v>997.89689006760932</v>
      </c>
      <c r="N167" s="56">
        <f t="shared" si="15"/>
        <v>1071.4261345989071</v>
      </c>
    </row>
    <row r="168" spans="1:14" s="58" customFormat="1" ht="12">
      <c r="A168" s="262" t="s">
        <v>135</v>
      </c>
      <c r="B168" s="262"/>
      <c r="D168" s="59">
        <f>D167/D161</f>
        <v>0.3</v>
      </c>
      <c r="E168" s="59">
        <f t="shared" ref="E168:N168" si="16">E167/E161</f>
        <v>0.33</v>
      </c>
      <c r="F168" s="59">
        <f t="shared" si="16"/>
        <v>0.36</v>
      </c>
      <c r="G168" s="59">
        <f t="shared" si="16"/>
        <v>0.39</v>
      </c>
      <c r="H168" s="59">
        <f t="shared" si="16"/>
        <v>0.4200000000000001</v>
      </c>
      <c r="I168" s="59">
        <f t="shared" si="16"/>
        <v>0.4499999999999999</v>
      </c>
      <c r="J168" s="59">
        <f t="shared" si="16"/>
        <v>0.47999999999999893</v>
      </c>
      <c r="K168" s="59">
        <f t="shared" si="16"/>
        <v>0.50999999999999901</v>
      </c>
      <c r="L168" s="59">
        <f t="shared" si="16"/>
        <v>0.53999999999999893</v>
      </c>
      <c r="M168" s="59">
        <f t="shared" si="16"/>
        <v>0.56999999999999895</v>
      </c>
      <c r="N168" s="59">
        <f t="shared" si="16"/>
        <v>0.59999999999999909</v>
      </c>
    </row>
    <row r="170" spans="1:14">
      <c r="A170" s="55" t="s">
        <v>137</v>
      </c>
      <c r="B170" s="55"/>
      <c r="D170" s="56">
        <f>D161*D171</f>
        <v>20.720224979999998</v>
      </c>
      <c r="E170" s="56">
        <f t="shared" ref="E170:N170" si="17">E161*E171</f>
        <v>32.234750004600002</v>
      </c>
      <c r="F170" s="56">
        <f t="shared" si="17"/>
        <v>42.393580309080001</v>
      </c>
      <c r="G170" s="56">
        <f t="shared" si="17"/>
        <v>49.573138264649998</v>
      </c>
      <c r="H170" s="56">
        <f t="shared" si="17"/>
        <v>53.077446314392496</v>
      </c>
      <c r="I170" s="56">
        <f t="shared" si="17"/>
        <v>54.060361986881247</v>
      </c>
      <c r="J170" s="56">
        <f t="shared" si="17"/>
        <v>53.714375670165218</v>
      </c>
      <c r="K170" s="56">
        <f t="shared" si="17"/>
        <v>51.98617401816859</v>
      </c>
      <c r="L170" s="56">
        <f t="shared" si="17"/>
        <v>48.91651421900054</v>
      </c>
      <c r="M170" s="56">
        <f t="shared" si="17"/>
        <v>49.894844503380547</v>
      </c>
      <c r="N170" s="56">
        <f t="shared" si="17"/>
        <v>50.892741393448162</v>
      </c>
    </row>
    <row r="171" spans="1:14" s="58" customFormat="1" ht="12">
      <c r="A171" s="164" t="s">
        <v>135</v>
      </c>
      <c r="B171" s="164"/>
      <c r="D171" s="59">
        <f>15%*D177</f>
        <v>5.2499999999999998E-2</v>
      </c>
      <c r="E171" s="59">
        <f t="shared" ref="E171:N171" si="18">15%*E177</f>
        <v>4.9500000000000002E-2</v>
      </c>
      <c r="F171" s="59">
        <f t="shared" si="18"/>
        <v>4.65E-2</v>
      </c>
      <c r="G171" s="59">
        <f t="shared" si="18"/>
        <v>4.3499999999999997E-2</v>
      </c>
      <c r="H171" s="59">
        <f t="shared" si="18"/>
        <v>4.0500000000000001E-2</v>
      </c>
      <c r="I171" s="59">
        <f t="shared" si="18"/>
        <v>3.7499999999999999E-2</v>
      </c>
      <c r="J171" s="59">
        <f t="shared" si="18"/>
        <v>3.4500000000000003E-2</v>
      </c>
      <c r="K171" s="59">
        <f t="shared" si="18"/>
        <v>3.15E-2</v>
      </c>
      <c r="L171" s="59">
        <f t="shared" si="18"/>
        <v>2.8499999999999998E-2</v>
      </c>
      <c r="M171" s="59">
        <f t="shared" si="18"/>
        <v>2.8499999999999998E-2</v>
      </c>
      <c r="N171" s="59">
        <f t="shared" si="18"/>
        <v>2.8499999999999998E-2</v>
      </c>
    </row>
    <row r="172" spans="1:14">
      <c r="A172" s="55" t="s">
        <v>450</v>
      </c>
      <c r="B172" s="55"/>
      <c r="D172" s="56">
        <f>D161*D173</f>
        <v>89.787641579999999</v>
      </c>
      <c r="E172" s="56">
        <f t="shared" ref="E172:N172" si="19">E161*E173</f>
        <v>139.68391668660001</v>
      </c>
      <c r="F172" s="56">
        <f t="shared" si="19"/>
        <v>183.70551467268001</v>
      </c>
      <c r="G172" s="56">
        <f t="shared" si="19"/>
        <v>214.81693248015</v>
      </c>
      <c r="H172" s="56">
        <f t="shared" si="19"/>
        <v>230.00226736236749</v>
      </c>
      <c r="I172" s="56">
        <f t="shared" si="19"/>
        <v>234.26156860981874</v>
      </c>
      <c r="J172" s="56">
        <f t="shared" si="19"/>
        <v>232.76229457071597</v>
      </c>
      <c r="K172" s="56">
        <f t="shared" si="19"/>
        <v>225.27342074539726</v>
      </c>
      <c r="L172" s="56">
        <f t="shared" si="19"/>
        <v>211.97156161566903</v>
      </c>
      <c r="M172" s="56">
        <f t="shared" si="19"/>
        <v>216.21099284798242</v>
      </c>
      <c r="N172" s="56">
        <f t="shared" si="19"/>
        <v>220.53521270494207</v>
      </c>
    </row>
    <row r="173" spans="1:14" s="58" customFormat="1" ht="12">
      <c r="A173" s="164" t="s">
        <v>135</v>
      </c>
      <c r="B173" s="164"/>
      <c r="D173" s="59">
        <f>65%*D177</f>
        <v>0.22749999999999998</v>
      </c>
      <c r="E173" s="59">
        <f t="shared" ref="E173:N173" si="20">65%*E177</f>
        <v>0.21450000000000002</v>
      </c>
      <c r="F173" s="59">
        <f t="shared" si="20"/>
        <v>0.20150000000000001</v>
      </c>
      <c r="G173" s="59">
        <f t="shared" si="20"/>
        <v>0.1885</v>
      </c>
      <c r="H173" s="59">
        <f t="shared" si="20"/>
        <v>0.17550000000000002</v>
      </c>
      <c r="I173" s="59">
        <f t="shared" si="20"/>
        <v>0.16250000000000001</v>
      </c>
      <c r="J173" s="59">
        <f t="shared" si="20"/>
        <v>0.14950000000000002</v>
      </c>
      <c r="K173" s="59">
        <f t="shared" si="20"/>
        <v>0.13650000000000001</v>
      </c>
      <c r="L173" s="59">
        <f t="shared" si="20"/>
        <v>0.12350000000000001</v>
      </c>
      <c r="M173" s="59">
        <f t="shared" si="20"/>
        <v>0.12350000000000001</v>
      </c>
      <c r="N173" s="59">
        <f t="shared" si="20"/>
        <v>0.12350000000000001</v>
      </c>
    </row>
    <row r="174" spans="1:14">
      <c r="A174" s="55" t="s">
        <v>138</v>
      </c>
      <c r="B174" s="55"/>
      <c r="D174" s="56">
        <f t="shared" ref="D174:N174" si="21">D161*D175</f>
        <v>27.626966639999996</v>
      </c>
      <c r="E174" s="56">
        <f t="shared" si="21"/>
        <v>42.979666672800001</v>
      </c>
      <c r="F174" s="56">
        <f t="shared" si="21"/>
        <v>56.524773745439994</v>
      </c>
      <c r="G174" s="56">
        <f t="shared" si="21"/>
        <v>66.097517686199993</v>
      </c>
      <c r="H174" s="56">
        <f t="shared" si="21"/>
        <v>70.769928419190009</v>
      </c>
      <c r="I174" s="56">
        <f t="shared" si="21"/>
        <v>72.080482649174996</v>
      </c>
      <c r="J174" s="56">
        <f t="shared" si="21"/>
        <v>71.619167560220291</v>
      </c>
      <c r="K174" s="56">
        <f t="shared" si="21"/>
        <v>69.314898690891468</v>
      </c>
      <c r="L174" s="56">
        <f t="shared" si="21"/>
        <v>65.222018958667405</v>
      </c>
      <c r="M174" s="56">
        <f t="shared" si="21"/>
        <v>66.526459337840748</v>
      </c>
      <c r="N174" s="56">
        <f t="shared" si="21"/>
        <v>67.856988524597568</v>
      </c>
    </row>
    <row r="175" spans="1:14" s="58" customFormat="1" ht="12">
      <c r="A175" s="164" t="s">
        <v>135</v>
      </c>
      <c r="B175" s="164"/>
      <c r="D175" s="59">
        <f>20%*D177</f>
        <v>6.9999999999999993E-2</v>
      </c>
      <c r="E175" s="59">
        <f t="shared" ref="E175:N175" si="22">20%*E177</f>
        <v>6.6000000000000003E-2</v>
      </c>
      <c r="F175" s="59">
        <f t="shared" si="22"/>
        <v>6.2E-2</v>
      </c>
      <c r="G175" s="59">
        <f t="shared" si="22"/>
        <v>5.7999999999999996E-2</v>
      </c>
      <c r="H175" s="59">
        <f t="shared" si="22"/>
        <v>5.4000000000000006E-2</v>
      </c>
      <c r="I175" s="59">
        <f t="shared" si="22"/>
        <v>0.05</v>
      </c>
      <c r="J175" s="59">
        <f t="shared" si="22"/>
        <v>4.6000000000000006E-2</v>
      </c>
      <c r="K175" s="59">
        <f t="shared" si="22"/>
        <v>4.2000000000000003E-2</v>
      </c>
      <c r="L175" s="59">
        <f t="shared" si="22"/>
        <v>3.8000000000000006E-2</v>
      </c>
      <c r="M175" s="59">
        <f t="shared" si="22"/>
        <v>3.8000000000000006E-2</v>
      </c>
      <c r="N175" s="59">
        <f t="shared" si="22"/>
        <v>3.8000000000000006E-2</v>
      </c>
    </row>
    <row r="176" spans="1:14" s="58" customFormat="1">
      <c r="A176" s="55" t="s">
        <v>452</v>
      </c>
      <c r="B176" s="55"/>
      <c r="D176" s="56">
        <f t="shared" ref="D176:N176" si="23">D177*D161</f>
        <v>138.1348332</v>
      </c>
      <c r="E176" s="56">
        <f t="shared" si="23"/>
        <v>214.898333364</v>
      </c>
      <c r="F176" s="56">
        <f t="shared" si="23"/>
        <v>282.62386872719998</v>
      </c>
      <c r="G176" s="56">
        <f t="shared" si="23"/>
        <v>330.48758843099995</v>
      </c>
      <c r="H176" s="56">
        <f t="shared" si="23"/>
        <v>353.84964209595</v>
      </c>
      <c r="I176" s="56">
        <f t="shared" si="23"/>
        <v>360.40241324587498</v>
      </c>
      <c r="J176" s="56">
        <f t="shared" si="23"/>
        <v>358.09583780110142</v>
      </c>
      <c r="K176" s="56">
        <f t="shared" si="23"/>
        <v>346.5744934544573</v>
      </c>
      <c r="L176" s="56">
        <f t="shared" si="23"/>
        <v>326.11009479333694</v>
      </c>
      <c r="M176" s="56">
        <f t="shared" si="23"/>
        <v>332.63229668920371</v>
      </c>
      <c r="N176" s="56">
        <f t="shared" si="23"/>
        <v>339.28494262298778</v>
      </c>
    </row>
    <row r="177" spans="1:19" s="58" customFormat="1" ht="12">
      <c r="A177" s="164" t="s">
        <v>135</v>
      </c>
      <c r="B177" s="164"/>
      <c r="D177" s="59">
        <v>0.35</v>
      </c>
      <c r="E177" s="59">
        <v>0.33</v>
      </c>
      <c r="F177" s="59">
        <v>0.31</v>
      </c>
      <c r="G177" s="59">
        <v>0.28999999999999998</v>
      </c>
      <c r="H177" s="59">
        <v>0.27</v>
      </c>
      <c r="I177" s="59">
        <v>0.25</v>
      </c>
      <c r="J177" s="59">
        <v>0.23</v>
      </c>
      <c r="K177" s="59">
        <v>0.21</v>
      </c>
      <c r="L177" s="59">
        <v>0.19</v>
      </c>
      <c r="M177" s="59">
        <v>0.19</v>
      </c>
      <c r="N177" s="59">
        <v>0.19</v>
      </c>
    </row>
    <row r="179" spans="1:19">
      <c r="A179" s="92" t="s">
        <v>285</v>
      </c>
      <c r="B179" s="92"/>
      <c r="D179" s="56">
        <f t="shared" ref="D179:N179" si="24">D167-SUM(D170,D172,D174)</f>
        <v>-19.733547600000009</v>
      </c>
      <c r="E179" s="56">
        <f t="shared" si="24"/>
        <v>0</v>
      </c>
      <c r="F179" s="56">
        <f t="shared" si="24"/>
        <v>45.584494956000015</v>
      </c>
      <c r="G179" s="56">
        <f t="shared" si="24"/>
        <v>113.96123739000001</v>
      </c>
      <c r="H179" s="56">
        <f t="shared" si="24"/>
        <v>196.58313449775005</v>
      </c>
      <c r="I179" s="56">
        <f t="shared" si="24"/>
        <v>288.32193059669987</v>
      </c>
      <c r="J179" s="56">
        <f t="shared" si="24"/>
        <v>389.23460630554337</v>
      </c>
      <c r="K179" s="56">
        <f t="shared" si="24"/>
        <v>495.10641922065162</v>
      </c>
      <c r="L179" s="56">
        <f t="shared" si="24"/>
        <v>600.72912198772417</v>
      </c>
      <c r="M179" s="56">
        <f t="shared" si="24"/>
        <v>665.26459337840561</v>
      </c>
      <c r="N179" s="56">
        <f t="shared" si="24"/>
        <v>732.14119197591936</v>
      </c>
    </row>
    <row r="180" spans="1:19" s="58" customFormat="1" ht="12">
      <c r="A180" s="262" t="s">
        <v>135</v>
      </c>
      <c r="B180" s="262"/>
      <c r="D180" s="59">
        <f t="shared" ref="D180:N180" si="25">D179/D161</f>
        <v>-5.0000000000000024E-2</v>
      </c>
      <c r="E180" s="59">
        <f t="shared" si="25"/>
        <v>0</v>
      </c>
      <c r="F180" s="59">
        <f t="shared" si="25"/>
        <v>5.0000000000000017E-2</v>
      </c>
      <c r="G180" s="59">
        <f t="shared" si="25"/>
        <v>0.1</v>
      </c>
      <c r="H180" s="59">
        <f t="shared" si="25"/>
        <v>0.15000000000000005</v>
      </c>
      <c r="I180" s="59">
        <f t="shared" si="25"/>
        <v>0.19999999999999993</v>
      </c>
      <c r="J180" s="59">
        <f t="shared" si="25"/>
        <v>0.24999999999999895</v>
      </c>
      <c r="K180" s="59">
        <f t="shared" si="25"/>
        <v>0.29999999999999899</v>
      </c>
      <c r="L180" s="59">
        <f t="shared" si="25"/>
        <v>0.34999999999999892</v>
      </c>
      <c r="M180" s="59">
        <f t="shared" si="25"/>
        <v>0.37999999999999901</v>
      </c>
      <c r="N180" s="59">
        <f t="shared" si="25"/>
        <v>0.40999999999999909</v>
      </c>
    </row>
    <row r="182" spans="1:19">
      <c r="A182" s="55" t="s">
        <v>139</v>
      </c>
      <c r="B182" s="55"/>
      <c r="D182" s="56">
        <f t="shared" ref="D182:N182" si="26">D161*D183</f>
        <v>17.760192839999998</v>
      </c>
      <c r="E182" s="56">
        <f t="shared" si="26"/>
        <v>28.001904044399996</v>
      </c>
      <c r="F182" s="56">
        <f t="shared" si="26"/>
        <v>37.379285863919996</v>
      </c>
      <c r="G182" s="56">
        <f t="shared" si="26"/>
        <v>44.4448825821</v>
      </c>
      <c r="H182" s="56">
        <f t="shared" si="26"/>
        <v>48.490506509444991</v>
      </c>
      <c r="I182" s="56">
        <f t="shared" si="26"/>
        <v>50.4563378544225</v>
      </c>
      <c r="J182" s="56">
        <f t="shared" si="26"/>
        <v>51.378968032331947</v>
      </c>
      <c r="K182" s="56">
        <f t="shared" si="26"/>
        <v>51.16099665280084</v>
      </c>
      <c r="L182" s="56">
        <f t="shared" si="26"/>
        <v>49.774698678983015</v>
      </c>
      <c r="M182" s="56">
        <f t="shared" si="26"/>
        <v>47.268800055834205</v>
      </c>
      <c r="N182" s="56">
        <f t="shared" si="26"/>
        <v>44.642755608287871</v>
      </c>
    </row>
    <row r="183" spans="1:19" s="58" customFormat="1" ht="12">
      <c r="A183" s="164" t="s">
        <v>135</v>
      </c>
      <c r="B183" s="164"/>
      <c r="D183" s="59">
        <v>4.4999999999999998E-2</v>
      </c>
      <c r="E183" s="59">
        <v>4.2999999999999997E-2</v>
      </c>
      <c r="F183" s="59">
        <v>4.1000000000000002E-2</v>
      </c>
      <c r="G183" s="59">
        <v>3.9E-2</v>
      </c>
      <c r="H183" s="59">
        <v>3.6999999999999998E-2</v>
      </c>
      <c r="I183" s="59">
        <v>3.5000000000000003E-2</v>
      </c>
      <c r="J183" s="59">
        <v>3.3000000000000002E-2</v>
      </c>
      <c r="K183" s="59">
        <v>3.1E-2</v>
      </c>
      <c r="L183" s="59">
        <v>2.9000000000000001E-2</v>
      </c>
      <c r="M183" s="59">
        <v>2.7E-2</v>
      </c>
      <c r="N183" s="59">
        <v>2.5000000000000001E-2</v>
      </c>
    </row>
    <row r="185" spans="1:19">
      <c r="A185" s="92" t="s">
        <v>140</v>
      </c>
      <c r="B185" s="92"/>
      <c r="D185" s="56">
        <f>D167- SUM(D170,D172,D174)-D182</f>
        <v>-37.49374044000001</v>
      </c>
      <c r="E185" s="56">
        <f t="shared" ref="E185:N185" si="27">E167- SUM(E170,E172,E174)-E182</f>
        <v>-28.001904044400025</v>
      </c>
      <c r="F185" s="56">
        <f t="shared" si="27"/>
        <v>8.2052090920800183</v>
      </c>
      <c r="G185" s="56">
        <f t="shared" si="27"/>
        <v>69.516354807900001</v>
      </c>
      <c r="H185" s="56">
        <f t="shared" si="27"/>
        <v>148.09262798830505</v>
      </c>
      <c r="I185" s="56">
        <f t="shared" si="27"/>
        <v>237.86559274227739</v>
      </c>
      <c r="J185" s="56">
        <f t="shared" si="27"/>
        <v>337.85563827321141</v>
      </c>
      <c r="K185" s="56">
        <f t="shared" si="27"/>
        <v>443.94542256785076</v>
      </c>
      <c r="L185" s="56">
        <f t="shared" si="27"/>
        <v>550.95442330874118</v>
      </c>
      <c r="M185" s="56">
        <f t="shared" si="27"/>
        <v>617.99579332257144</v>
      </c>
      <c r="N185" s="56">
        <f t="shared" si="27"/>
        <v>687.49843636763148</v>
      </c>
    </row>
    <row r="186" spans="1:19" s="58" customFormat="1" ht="12">
      <c r="A186" s="262" t="s">
        <v>135</v>
      </c>
      <c r="B186" s="262"/>
      <c r="D186" s="59">
        <f t="shared" ref="D186:N186" si="28">D185/D161</f>
        <v>-9.5000000000000029E-2</v>
      </c>
      <c r="E186" s="59">
        <f t="shared" si="28"/>
        <v>-4.3000000000000038E-2</v>
      </c>
      <c r="F186" s="59">
        <f t="shared" si="28"/>
        <v>9.0000000000000201E-3</v>
      </c>
      <c r="G186" s="59">
        <f t="shared" si="28"/>
        <v>6.1000000000000006E-2</v>
      </c>
      <c r="H186" s="59">
        <f t="shared" si="28"/>
        <v>0.11300000000000004</v>
      </c>
      <c r="I186" s="59">
        <f t="shared" si="28"/>
        <v>0.16499999999999992</v>
      </c>
      <c r="J186" s="59">
        <f t="shared" si="28"/>
        <v>0.21699999999999894</v>
      </c>
      <c r="K186" s="59">
        <f t="shared" si="28"/>
        <v>0.26899999999999896</v>
      </c>
      <c r="L186" s="59">
        <f t="shared" si="28"/>
        <v>0.32099999999999895</v>
      </c>
      <c r="M186" s="59">
        <f t="shared" si="28"/>
        <v>0.35299999999999904</v>
      </c>
      <c r="N186" s="59">
        <f t="shared" si="28"/>
        <v>0.38499999999999907</v>
      </c>
    </row>
    <row r="188" spans="1:19">
      <c r="A188" s="55" t="s">
        <v>141</v>
      </c>
      <c r="B188" s="55"/>
      <c r="D188" s="56">
        <f t="shared" ref="D188:N188" si="29">D161*D189</f>
        <v>19.733547600000001</v>
      </c>
      <c r="E188" s="56">
        <f t="shared" si="29"/>
        <v>31.257939398400001</v>
      </c>
      <c r="F188" s="56">
        <f t="shared" si="29"/>
        <v>41.937735359519998</v>
      </c>
      <c r="G188" s="56">
        <f t="shared" si="29"/>
        <v>50.142944451599995</v>
      </c>
      <c r="H188" s="56">
        <f t="shared" si="29"/>
        <v>55.043277659369998</v>
      </c>
      <c r="I188" s="56">
        <f t="shared" si="29"/>
        <v>57.664386119340001</v>
      </c>
      <c r="J188" s="56">
        <f t="shared" si="29"/>
        <v>59.163660158442838</v>
      </c>
      <c r="K188" s="56">
        <f t="shared" si="29"/>
        <v>59.412770306478386</v>
      </c>
      <c r="L188" s="56">
        <f t="shared" si="29"/>
        <v>58.356543278807671</v>
      </c>
      <c r="M188" s="56">
        <f t="shared" si="29"/>
        <v>56.022281547655361</v>
      </c>
      <c r="N188" s="56">
        <f t="shared" si="29"/>
        <v>53.571306729945434</v>
      </c>
      <c r="S188" s="94"/>
    </row>
    <row r="189" spans="1:19" s="58" customFormat="1" ht="12">
      <c r="A189" s="164" t="s">
        <v>135</v>
      </c>
      <c r="B189" s="164"/>
      <c r="D189" s="59">
        <v>0.05</v>
      </c>
      <c r="E189" s="59">
        <v>4.8000000000000001E-2</v>
      </c>
      <c r="F189" s="59">
        <v>4.5999999999999999E-2</v>
      </c>
      <c r="G189" s="59">
        <v>4.3999999999999997E-2</v>
      </c>
      <c r="H189" s="59">
        <v>4.2000000000000003E-2</v>
      </c>
      <c r="I189" s="59">
        <v>0.04</v>
      </c>
      <c r="J189" s="59">
        <v>3.7999999999999999E-2</v>
      </c>
      <c r="K189" s="59">
        <v>3.5999999999999997E-2</v>
      </c>
      <c r="L189" s="59">
        <v>3.4000000000000002E-2</v>
      </c>
      <c r="M189" s="59">
        <v>3.2000000000000001E-2</v>
      </c>
      <c r="N189" s="59">
        <v>0.03</v>
      </c>
    </row>
    <row r="191" spans="1:19">
      <c r="A191" s="55" t="s">
        <v>142</v>
      </c>
      <c r="B191" s="55"/>
      <c r="D191" s="56">
        <f t="shared" ref="D191:N191" si="30">D161*D192</f>
        <v>39.467095200000003</v>
      </c>
      <c r="E191" s="56">
        <f t="shared" si="30"/>
        <v>61.864671725999997</v>
      </c>
      <c r="F191" s="56">
        <f t="shared" si="30"/>
        <v>82.052090920799998</v>
      </c>
      <c r="G191" s="56">
        <f t="shared" si="30"/>
        <v>96.86705178150001</v>
      </c>
      <c r="H191" s="56">
        <f t="shared" si="30"/>
        <v>104.84433839879999</v>
      </c>
      <c r="I191" s="56">
        <f t="shared" si="30"/>
        <v>108.12072397376249</v>
      </c>
      <c r="J191" s="56">
        <f t="shared" si="30"/>
        <v>108.98568976555262</v>
      </c>
      <c r="K191" s="56">
        <f t="shared" si="30"/>
        <v>107.27305749780821</v>
      </c>
      <c r="L191" s="56">
        <f t="shared" si="30"/>
        <v>102.98213519789587</v>
      </c>
      <c r="M191" s="56">
        <f t="shared" si="30"/>
        <v>96.288296410032643</v>
      </c>
      <c r="N191" s="56">
        <f t="shared" si="30"/>
        <v>89.285511216575742</v>
      </c>
    </row>
    <row r="192" spans="1:19" s="58" customFormat="1" ht="12">
      <c r="A192" s="164" t="s">
        <v>135</v>
      </c>
      <c r="B192" s="164"/>
      <c r="D192" s="59">
        <v>0.1</v>
      </c>
      <c r="E192" s="59">
        <v>9.5000000000000001E-2</v>
      </c>
      <c r="F192" s="59">
        <v>0.09</v>
      </c>
      <c r="G192" s="59">
        <v>8.5000000000000006E-2</v>
      </c>
      <c r="H192" s="59">
        <v>0.08</v>
      </c>
      <c r="I192" s="59">
        <v>7.4999999999999997E-2</v>
      </c>
      <c r="J192" s="59">
        <v>7.0000000000000007E-2</v>
      </c>
      <c r="K192" s="59">
        <v>6.5000000000000002E-2</v>
      </c>
      <c r="L192" s="59">
        <v>0.06</v>
      </c>
      <c r="M192" s="59">
        <v>5.5E-2</v>
      </c>
      <c r="N192" s="59">
        <v>0.05</v>
      </c>
    </row>
    <row r="194" spans="1:14">
      <c r="A194" s="55" t="s">
        <v>143</v>
      </c>
      <c r="B194" s="55"/>
      <c r="D194" s="56">
        <f xml:space="preserve"> MAX(D185,0)*25%</f>
        <v>0</v>
      </c>
      <c r="E194" s="56">
        <f t="shared" ref="E194:N194" si="31" xml:space="preserve"> MAX(E185,0)*25%</f>
        <v>0</v>
      </c>
      <c r="F194" s="56">
        <f t="shared" si="31"/>
        <v>2.0513022730200046</v>
      </c>
      <c r="G194" s="56">
        <f t="shared" si="31"/>
        <v>17.379088701975</v>
      </c>
      <c r="H194" s="56">
        <f t="shared" si="31"/>
        <v>37.023156997076264</v>
      </c>
      <c r="I194" s="56">
        <f t="shared" si="31"/>
        <v>59.466398185569346</v>
      </c>
      <c r="J194" s="56">
        <f t="shared" si="31"/>
        <v>84.463909568302853</v>
      </c>
      <c r="K194" s="56">
        <f t="shared" si="31"/>
        <v>110.98635564196269</v>
      </c>
      <c r="L194" s="56">
        <f t="shared" si="31"/>
        <v>137.7386058271853</v>
      </c>
      <c r="M194" s="56">
        <f t="shared" si="31"/>
        <v>154.49894833064286</v>
      </c>
      <c r="N194" s="56">
        <f t="shared" si="31"/>
        <v>171.87460909190787</v>
      </c>
    </row>
    <row r="195" spans="1:14" s="58" customFormat="1" ht="12">
      <c r="A195" s="164" t="s">
        <v>135</v>
      </c>
      <c r="B195" s="164"/>
      <c r="D195" s="59">
        <v>0.25</v>
      </c>
      <c r="E195" s="59">
        <v>0.25</v>
      </c>
      <c r="F195" s="59">
        <v>0.25</v>
      </c>
      <c r="G195" s="59">
        <v>0.25</v>
      </c>
      <c r="H195" s="59">
        <v>0.25</v>
      </c>
      <c r="I195" s="59">
        <v>0.25</v>
      </c>
      <c r="J195" s="59">
        <v>0.25</v>
      </c>
      <c r="K195" s="59">
        <v>0.25</v>
      </c>
      <c r="L195" s="59">
        <v>0.25</v>
      </c>
      <c r="M195" s="59">
        <v>0.25</v>
      </c>
      <c r="N195" s="59">
        <v>0.25</v>
      </c>
    </row>
    <row r="197" spans="1:14">
      <c r="A197" s="60" t="s">
        <v>144</v>
      </c>
      <c r="B197" s="60"/>
      <c r="D197" s="56">
        <f>D185+D182-D188-D191 - D194</f>
        <v>-78.93419040000002</v>
      </c>
      <c r="E197" s="56">
        <f t="shared" ref="E197:N197" si="32">E185+E182-E188-E191 - E194</f>
        <v>-93.122611124400024</v>
      </c>
      <c r="F197" s="56">
        <f t="shared" si="32"/>
        <v>-80.456633597339973</v>
      </c>
      <c r="G197" s="56">
        <f t="shared" si="32"/>
        <v>-50.427847545074997</v>
      </c>
      <c r="H197" s="56">
        <f t="shared" si="32"/>
        <v>-0.32763855749620774</v>
      </c>
      <c r="I197" s="56">
        <f t="shared" si="32"/>
        <v>63.070422318028022</v>
      </c>
      <c r="J197" s="56">
        <f t="shared" si="32"/>
        <v>136.62134681324505</v>
      </c>
      <c r="K197" s="56">
        <f t="shared" si="32"/>
        <v>217.43423577440234</v>
      </c>
      <c r="L197" s="56">
        <f t="shared" si="32"/>
        <v>301.65183768383531</v>
      </c>
      <c r="M197" s="56">
        <f t="shared" si="32"/>
        <v>358.45506709007475</v>
      </c>
      <c r="N197" s="56">
        <f t="shared" si="32"/>
        <v>417.40976493749025</v>
      </c>
    </row>
    <row r="198" spans="1:14" s="58" customFormat="1" ht="12">
      <c r="A198" s="165" t="s">
        <v>135</v>
      </c>
      <c r="B198" s="165"/>
      <c r="D198" s="59">
        <f t="shared" ref="D198:N198" si="33">D197/D161</f>
        <v>-0.20000000000000004</v>
      </c>
      <c r="E198" s="59">
        <f t="shared" si="33"/>
        <v>-0.14300000000000004</v>
      </c>
      <c r="F198" s="59">
        <f t="shared" si="33"/>
        <v>-8.8249999999999981E-2</v>
      </c>
      <c r="G198" s="59">
        <f t="shared" si="33"/>
        <v>-4.4249999999999998E-2</v>
      </c>
      <c r="H198" s="59">
        <f t="shared" si="33"/>
        <v>-2.4999999999996775E-4</v>
      </c>
      <c r="I198" s="59">
        <f t="shared" si="33"/>
        <v>4.3749999999999928E-2</v>
      </c>
      <c r="J198" s="59">
        <f t="shared" si="33"/>
        <v>8.7749999999999204E-2</v>
      </c>
      <c r="K198" s="59">
        <f t="shared" si="33"/>
        <v>0.13174999999999926</v>
      </c>
      <c r="L198" s="59">
        <f t="shared" si="33"/>
        <v>0.17574999999999918</v>
      </c>
      <c r="M198" s="59">
        <f t="shared" si="33"/>
        <v>0.20474999999999924</v>
      </c>
      <c r="N198" s="59">
        <f t="shared" si="33"/>
        <v>0.23374999999999929</v>
      </c>
    </row>
    <row r="200" spans="1:14">
      <c r="A200" s="166" t="s">
        <v>145</v>
      </c>
      <c r="B200" s="166"/>
      <c r="D200" s="61">
        <f>D197/(1+$D$204)^D159</f>
        <v>-78.93419040000002</v>
      </c>
      <c r="E200" s="61">
        <f t="shared" ref="E200:N200" si="34">E197/(1+$D$204)^E159</f>
        <v>-78.917467054576292</v>
      </c>
      <c r="F200" s="61">
        <f t="shared" si="34"/>
        <v>-57.782701520640607</v>
      </c>
      <c r="G200" s="61">
        <f t="shared" si="34"/>
        <v>-30.691944858697216</v>
      </c>
      <c r="H200" s="61">
        <f t="shared" si="34"/>
        <v>-0.1689923230273736</v>
      </c>
      <c r="I200" s="61">
        <f t="shared" si="34"/>
        <v>27.568662866757261</v>
      </c>
      <c r="J200" s="61">
        <f t="shared" si="34"/>
        <v>50.608855784650181</v>
      </c>
      <c r="K200" s="61">
        <f t="shared" si="34"/>
        <v>68.258049684729798</v>
      </c>
      <c r="L200" s="61">
        <f t="shared" si="34"/>
        <v>80.250900983339832</v>
      </c>
      <c r="M200" s="61">
        <f t="shared" si="34"/>
        <v>80.81587104113423</v>
      </c>
      <c r="N200" s="61">
        <f t="shared" si="34"/>
        <v>79.752174222315105</v>
      </c>
    </row>
    <row r="201" spans="1:14" s="142" customFormat="1" ht="10.8">
      <c r="A201" s="142" t="s">
        <v>146</v>
      </c>
      <c r="D201" s="143">
        <f>SUM(C200:D200)</f>
        <v>-78.93419040000002</v>
      </c>
      <c r="E201" s="143">
        <f>SUM(D200:E200)</f>
        <v>-157.8516574545763</v>
      </c>
      <c r="F201" s="143">
        <f xml:space="preserve"> SUM(F200,E201)</f>
        <v>-215.63435897521691</v>
      </c>
      <c r="G201" s="143">
        <f t="shared" ref="G201:N201" si="35" xml:space="preserve"> SUM(G200,F201)</f>
        <v>-246.32630383391412</v>
      </c>
      <c r="H201" s="143">
        <f t="shared" si="35"/>
        <v>-246.49529615694149</v>
      </c>
      <c r="I201" s="143">
        <f t="shared" si="35"/>
        <v>-218.92663329018424</v>
      </c>
      <c r="J201" s="143">
        <f t="shared" si="35"/>
        <v>-168.31777750553405</v>
      </c>
      <c r="K201" s="143">
        <f t="shared" si="35"/>
        <v>-100.05972782080426</v>
      </c>
      <c r="L201" s="143">
        <f t="shared" si="35"/>
        <v>-19.808826837464423</v>
      </c>
      <c r="M201" s="143">
        <f t="shared" si="35"/>
        <v>61.007044203669807</v>
      </c>
      <c r="N201" s="143">
        <f t="shared" si="35"/>
        <v>140.7592184259849</v>
      </c>
    </row>
    <row r="202" spans="1:14"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</row>
    <row r="203" spans="1:14" s="3" customFormat="1">
      <c r="A203" s="2" t="s">
        <v>130</v>
      </c>
    </row>
    <row r="204" spans="1:14">
      <c r="A204" s="161" t="s">
        <v>147</v>
      </c>
      <c r="B204" s="162"/>
      <c r="C204" s="163"/>
      <c r="D204" s="63">
        <f>CHOOSE(ASSUMPTIONS!E5,ASSUMPTIONS!D32,ASSUMPTIONS!D33,ASSUMPTIONS!D34)</f>
        <v>0.18</v>
      </c>
    </row>
    <row r="205" spans="1:14">
      <c r="A205" s="161" t="s">
        <v>148</v>
      </c>
      <c r="B205" s="162"/>
      <c r="C205" s="163"/>
      <c r="D205" s="63">
        <f>CHOOSE(ASSUMPTIONS!E5,ASSUMPTIONS!E32,ASSUMPTIONS!E33,ASSUMPTIONS!E34)</f>
        <v>3.5000000000000003E-2</v>
      </c>
    </row>
    <row r="206" spans="1:14">
      <c r="A206" s="160" t="s">
        <v>149</v>
      </c>
      <c r="B206" s="160"/>
      <c r="C206" s="160"/>
      <c r="D206" s="64">
        <f>N197*(1+D205)/(D204-D205)</f>
        <v>2979.4421152434647</v>
      </c>
    </row>
    <row r="207" spans="1:14">
      <c r="A207" s="160" t="s">
        <v>150</v>
      </c>
      <c r="B207" s="160"/>
      <c r="C207" s="160"/>
      <c r="D207" s="64">
        <f xml:space="preserve"> D206/(1+D204)^N159</f>
        <v>569.26551944893879</v>
      </c>
    </row>
    <row r="208" spans="1:14">
      <c r="A208" s="160" t="s">
        <v>732</v>
      </c>
      <c r="B208" s="160"/>
      <c r="C208" s="160"/>
      <c r="D208" s="64">
        <f>SUM(D197:N197)</f>
        <v>1191.3737533927645</v>
      </c>
    </row>
    <row r="209" spans="1:4">
      <c r="D209" s="65"/>
    </row>
    <row r="210" spans="1:4">
      <c r="A210" s="161" t="s">
        <v>151</v>
      </c>
      <c r="B210" s="162"/>
      <c r="C210" s="163"/>
      <c r="D210" s="66">
        <f>SUM(D207:D208)</f>
        <v>1760.6392728417031</v>
      </c>
    </row>
    <row r="211" spans="1:4">
      <c r="A211" s="161" t="s">
        <v>152</v>
      </c>
      <c r="B211" s="162"/>
      <c r="C211" s="163"/>
      <c r="D211" s="66">
        <f>D210</f>
        <v>1760.6392728417031</v>
      </c>
    </row>
    <row r="212" spans="1:4">
      <c r="A212" s="161" t="s">
        <v>153</v>
      </c>
      <c r="B212" s="162"/>
      <c r="C212" s="163"/>
      <c r="D212" s="67">
        <f>-D210/SUM(D200:F200)</f>
        <v>8.1649291940717816</v>
      </c>
    </row>
    <row r="214" spans="1:4">
      <c r="A214" s="160" t="s">
        <v>154</v>
      </c>
      <c r="B214" s="160"/>
      <c r="C214" s="160"/>
      <c r="D214" s="68">
        <f xml:space="preserve"> 9+(-L201/M200)</f>
        <v>9.2451106024382508</v>
      </c>
    </row>
  </sheetData>
  <mergeCells count="496">
    <mergeCell ref="A5:D5"/>
    <mergeCell ref="E5:F5"/>
    <mergeCell ref="G5:H5"/>
    <mergeCell ref="E6:F6"/>
    <mergeCell ref="G6:H6"/>
    <mergeCell ref="A8:D8"/>
    <mergeCell ref="E8:F8"/>
    <mergeCell ref="G8:H8"/>
    <mergeCell ref="A1:G1"/>
    <mergeCell ref="A3:D3"/>
    <mergeCell ref="E3:F3"/>
    <mergeCell ref="G3:H3"/>
    <mergeCell ref="A4:D4"/>
    <mergeCell ref="E4:F4"/>
    <mergeCell ref="G4:H4"/>
    <mergeCell ref="A14:D14"/>
    <mergeCell ref="E14:F14"/>
    <mergeCell ref="G14:H14"/>
    <mergeCell ref="E15:F15"/>
    <mergeCell ref="G15:H15"/>
    <mergeCell ref="A17:D17"/>
    <mergeCell ref="E17:F17"/>
    <mergeCell ref="G17:H17"/>
    <mergeCell ref="A9:D9"/>
    <mergeCell ref="E9:F9"/>
    <mergeCell ref="G9:H9"/>
    <mergeCell ref="E10:F10"/>
    <mergeCell ref="G10:H10"/>
    <mergeCell ref="A13:D13"/>
    <mergeCell ref="E13:F13"/>
    <mergeCell ref="G13:H13"/>
    <mergeCell ref="A22:D22"/>
    <mergeCell ref="E22:F22"/>
    <mergeCell ref="G22:H22"/>
    <mergeCell ref="E23:F23"/>
    <mergeCell ref="G23:H23"/>
    <mergeCell ref="A26:B26"/>
    <mergeCell ref="E26:F26"/>
    <mergeCell ref="A18:D18"/>
    <mergeCell ref="E18:F18"/>
    <mergeCell ref="G18:H18"/>
    <mergeCell ref="E19:F19"/>
    <mergeCell ref="G19:H19"/>
    <mergeCell ref="A21:D21"/>
    <mergeCell ref="E21:F21"/>
    <mergeCell ref="G21:H21"/>
    <mergeCell ref="A32:D32"/>
    <mergeCell ref="H32:K32"/>
    <mergeCell ref="O32:R32"/>
    <mergeCell ref="V32:Y32"/>
    <mergeCell ref="A33:D33"/>
    <mergeCell ref="H33:K33"/>
    <mergeCell ref="O33:R33"/>
    <mergeCell ref="V33:Y33"/>
    <mergeCell ref="A28:F28"/>
    <mergeCell ref="H28:M28"/>
    <mergeCell ref="O28:T28"/>
    <mergeCell ref="V28:AA28"/>
    <mergeCell ref="A31:D31"/>
    <mergeCell ref="H31:K31"/>
    <mergeCell ref="O31:R31"/>
    <mergeCell ref="V31:Y31"/>
    <mergeCell ref="H38:K38"/>
    <mergeCell ref="O38:R38"/>
    <mergeCell ref="V38:Y38"/>
    <mergeCell ref="A39:D39"/>
    <mergeCell ref="H39:K39"/>
    <mergeCell ref="O39:R39"/>
    <mergeCell ref="V39:Y39"/>
    <mergeCell ref="A34:D34"/>
    <mergeCell ref="H34:K34"/>
    <mergeCell ref="O34:R34"/>
    <mergeCell ref="V34:Y34"/>
    <mergeCell ref="A35:D35"/>
    <mergeCell ref="H35:K35"/>
    <mergeCell ref="O35:R35"/>
    <mergeCell ref="V35:Y35"/>
    <mergeCell ref="A43:D43"/>
    <mergeCell ref="H43:K43"/>
    <mergeCell ref="O43:R43"/>
    <mergeCell ref="V43:Y43"/>
    <mergeCell ref="A44:D44"/>
    <mergeCell ref="H44:K44"/>
    <mergeCell ref="O44:R44"/>
    <mergeCell ref="V44:Y44"/>
    <mergeCell ref="A40:D40"/>
    <mergeCell ref="H40:K40"/>
    <mergeCell ref="O40:R40"/>
    <mergeCell ref="V40:Y40"/>
    <mergeCell ref="A41:D41"/>
    <mergeCell ref="H41:K41"/>
    <mergeCell ref="O41:R41"/>
    <mergeCell ref="V41:Y41"/>
    <mergeCell ref="A48:D48"/>
    <mergeCell ref="H48:K48"/>
    <mergeCell ref="O48:R48"/>
    <mergeCell ref="V48:Y48"/>
    <mergeCell ref="A49:D49"/>
    <mergeCell ref="H49:K49"/>
    <mergeCell ref="O49:R49"/>
    <mergeCell ref="V49:Y49"/>
    <mergeCell ref="A45:D45"/>
    <mergeCell ref="H45:K45"/>
    <mergeCell ref="O45:R45"/>
    <mergeCell ref="V45:Y45"/>
    <mergeCell ref="A46:D46"/>
    <mergeCell ref="H46:K46"/>
    <mergeCell ref="O46:R46"/>
    <mergeCell ref="V46:Y46"/>
    <mergeCell ref="A81:C81"/>
    <mergeCell ref="D81:L81"/>
    <mergeCell ref="M81:U81"/>
    <mergeCell ref="V81:Y81"/>
    <mergeCell ref="A82:C82"/>
    <mergeCell ref="D82:L82"/>
    <mergeCell ref="M82:Y82"/>
    <mergeCell ref="A50:D50"/>
    <mergeCell ref="H50:K50"/>
    <mergeCell ref="O50:R50"/>
    <mergeCell ref="V50:Y50"/>
    <mergeCell ref="A51:D51"/>
    <mergeCell ref="H51:K51"/>
    <mergeCell ref="O51:R51"/>
    <mergeCell ref="V51:Y51"/>
    <mergeCell ref="A85:C85"/>
    <mergeCell ref="D85:L85"/>
    <mergeCell ref="M85:Y85"/>
    <mergeCell ref="A86:C86"/>
    <mergeCell ref="D86:L86"/>
    <mergeCell ref="M86:Y86"/>
    <mergeCell ref="A83:C83"/>
    <mergeCell ref="D83:L83"/>
    <mergeCell ref="M83:Y83"/>
    <mergeCell ref="A84:C84"/>
    <mergeCell ref="D84:L84"/>
    <mergeCell ref="M84:Y84"/>
    <mergeCell ref="A87:C87"/>
    <mergeCell ref="D87:L87"/>
    <mergeCell ref="M87:Y87"/>
    <mergeCell ref="A91:C91"/>
    <mergeCell ref="D91:E91"/>
    <mergeCell ref="F91:G91"/>
    <mergeCell ref="H91:I91"/>
    <mergeCell ref="J91:K91"/>
    <mergeCell ref="L91:M91"/>
    <mergeCell ref="N91:O91"/>
    <mergeCell ref="P91:Q91"/>
    <mergeCell ref="R91:S91"/>
    <mergeCell ref="T91:U91"/>
    <mergeCell ref="D92:E92"/>
    <mergeCell ref="F92:G92"/>
    <mergeCell ref="H92:I92"/>
    <mergeCell ref="J92:K92"/>
    <mergeCell ref="L92:M92"/>
    <mergeCell ref="N92:O92"/>
    <mergeCell ref="P92:Q92"/>
    <mergeCell ref="R92:S92"/>
    <mergeCell ref="T92:U92"/>
    <mergeCell ref="T93:U93"/>
    <mergeCell ref="A94:C94"/>
    <mergeCell ref="D94:E94"/>
    <mergeCell ref="F94:G94"/>
    <mergeCell ref="H94:I94"/>
    <mergeCell ref="J94:K94"/>
    <mergeCell ref="L94:M94"/>
    <mergeCell ref="N94:O94"/>
    <mergeCell ref="P94:Q94"/>
    <mergeCell ref="R94:S94"/>
    <mergeCell ref="D93:E93"/>
    <mergeCell ref="F93:G93"/>
    <mergeCell ref="H93:I93"/>
    <mergeCell ref="J93:K93"/>
    <mergeCell ref="L93:M93"/>
    <mergeCell ref="N93:O93"/>
    <mergeCell ref="P93:Q93"/>
    <mergeCell ref="R93:S93"/>
    <mergeCell ref="T94:U94"/>
    <mergeCell ref="W97:X97"/>
    <mergeCell ref="Y97:Z97"/>
    <mergeCell ref="D98:E98"/>
    <mergeCell ref="F98:H98"/>
    <mergeCell ref="I98:K98"/>
    <mergeCell ref="L98:M98"/>
    <mergeCell ref="N98:O98"/>
    <mergeCell ref="P98:R98"/>
    <mergeCell ref="S98:T98"/>
    <mergeCell ref="U98:V98"/>
    <mergeCell ref="W98:X98"/>
    <mergeCell ref="Y98:Z98"/>
    <mergeCell ref="D97:E97"/>
    <mergeCell ref="F97:H97"/>
    <mergeCell ref="I97:K97"/>
    <mergeCell ref="P97:R97"/>
    <mergeCell ref="S97:T97"/>
    <mergeCell ref="U97:V97"/>
    <mergeCell ref="Y99:Z99"/>
    <mergeCell ref="A100:C100"/>
    <mergeCell ref="D100:E100"/>
    <mergeCell ref="F100:H100"/>
    <mergeCell ref="I100:K100"/>
    <mergeCell ref="L100:M100"/>
    <mergeCell ref="N100:O100"/>
    <mergeCell ref="P100:R100"/>
    <mergeCell ref="S100:T100"/>
    <mergeCell ref="U100:V100"/>
    <mergeCell ref="W100:X100"/>
    <mergeCell ref="Y100:Z100"/>
    <mergeCell ref="D99:E99"/>
    <mergeCell ref="F99:H99"/>
    <mergeCell ref="I99:K99"/>
    <mergeCell ref="L99:M99"/>
    <mergeCell ref="N99:O99"/>
    <mergeCell ref="P99:R99"/>
    <mergeCell ref="S99:T99"/>
    <mergeCell ref="U99:V99"/>
    <mergeCell ref="W99:X99"/>
    <mergeCell ref="A101:C101"/>
    <mergeCell ref="D101:E101"/>
    <mergeCell ref="F101:H101"/>
    <mergeCell ref="I101:K101"/>
    <mergeCell ref="L101:M101"/>
    <mergeCell ref="N101:O101"/>
    <mergeCell ref="P101:R101"/>
    <mergeCell ref="S101:T101"/>
    <mergeCell ref="U101:V101"/>
    <mergeCell ref="W101:X101"/>
    <mergeCell ref="Y101:Z101"/>
    <mergeCell ref="A105:C105"/>
    <mergeCell ref="D105:H105"/>
    <mergeCell ref="I105:M105"/>
    <mergeCell ref="N105:R105"/>
    <mergeCell ref="S105:X105"/>
    <mergeCell ref="A111:C113"/>
    <mergeCell ref="D111:H111"/>
    <mergeCell ref="I111:M111"/>
    <mergeCell ref="N111:R111"/>
    <mergeCell ref="S111:X111"/>
    <mergeCell ref="D112:H112"/>
    <mergeCell ref="I108:M108"/>
    <mergeCell ref="N108:R108"/>
    <mergeCell ref="S108:X108"/>
    <mergeCell ref="D109:H109"/>
    <mergeCell ref="I109:M109"/>
    <mergeCell ref="N109:R109"/>
    <mergeCell ref="S109:X109"/>
    <mergeCell ref="A106:C110"/>
    <mergeCell ref="D106:H106"/>
    <mergeCell ref="I106:M106"/>
    <mergeCell ref="N106:R106"/>
    <mergeCell ref="S106:X106"/>
    <mergeCell ref="D107:H107"/>
    <mergeCell ref="I107:M107"/>
    <mergeCell ref="N107:R107"/>
    <mergeCell ref="S107:X107"/>
    <mergeCell ref="D108:H108"/>
    <mergeCell ref="I112:M112"/>
    <mergeCell ref="N112:R112"/>
    <mergeCell ref="S112:X112"/>
    <mergeCell ref="D113:H113"/>
    <mergeCell ref="I113:M113"/>
    <mergeCell ref="N113:R113"/>
    <mergeCell ref="S113:X113"/>
    <mergeCell ref="D110:H110"/>
    <mergeCell ref="I110:M110"/>
    <mergeCell ref="N110:R110"/>
    <mergeCell ref="S110:X110"/>
    <mergeCell ref="A114:C115"/>
    <mergeCell ref="D114:H114"/>
    <mergeCell ref="I114:M114"/>
    <mergeCell ref="N114:R114"/>
    <mergeCell ref="S114:X114"/>
    <mergeCell ref="D115:H115"/>
    <mergeCell ref="I115:M115"/>
    <mergeCell ref="N115:R115"/>
    <mergeCell ref="S115:X115"/>
    <mergeCell ref="A116:C116"/>
    <mergeCell ref="D116:H116"/>
    <mergeCell ref="I116:M116"/>
    <mergeCell ref="N116:R116"/>
    <mergeCell ref="S116:X116"/>
    <mergeCell ref="A119:C119"/>
    <mergeCell ref="D119:E119"/>
    <mergeCell ref="F119:G119"/>
    <mergeCell ref="H119:J119"/>
    <mergeCell ref="K119:M119"/>
    <mergeCell ref="AC119:AD119"/>
    <mergeCell ref="A120:C120"/>
    <mergeCell ref="D120:E120"/>
    <mergeCell ref="F120:G120"/>
    <mergeCell ref="H120:J120"/>
    <mergeCell ref="K120:M120"/>
    <mergeCell ref="N120:O120"/>
    <mergeCell ref="P120:Q120"/>
    <mergeCell ref="R120:T120"/>
    <mergeCell ref="U120:V120"/>
    <mergeCell ref="N119:O119"/>
    <mergeCell ref="R119:T119"/>
    <mergeCell ref="U119:V119"/>
    <mergeCell ref="W119:X119"/>
    <mergeCell ref="Y119:Z119"/>
    <mergeCell ref="AA119:AB119"/>
    <mergeCell ref="W120:X120"/>
    <mergeCell ref="Y120:Z120"/>
    <mergeCell ref="AA120:AB120"/>
    <mergeCell ref="AC120:AD120"/>
    <mergeCell ref="A121:C121"/>
    <mergeCell ref="D121:E121"/>
    <mergeCell ref="F121:G121"/>
    <mergeCell ref="H121:J121"/>
    <mergeCell ref="K121:M121"/>
    <mergeCell ref="N121:O121"/>
    <mergeCell ref="AC121:AD121"/>
    <mergeCell ref="A122:C122"/>
    <mergeCell ref="D122:E122"/>
    <mergeCell ref="F122:G122"/>
    <mergeCell ref="H122:J122"/>
    <mergeCell ref="K122:M122"/>
    <mergeCell ref="N122:O122"/>
    <mergeCell ref="P122:Q122"/>
    <mergeCell ref="R122:T122"/>
    <mergeCell ref="U122:V122"/>
    <mergeCell ref="P121:Q121"/>
    <mergeCell ref="R121:T121"/>
    <mergeCell ref="U121:V121"/>
    <mergeCell ref="W121:X121"/>
    <mergeCell ref="Y121:Z121"/>
    <mergeCell ref="AA121:AB121"/>
    <mergeCell ref="W122:X122"/>
    <mergeCell ref="Y122:Z122"/>
    <mergeCell ref="AA122:AB122"/>
    <mergeCell ref="AC122:AD122"/>
    <mergeCell ref="A123:C123"/>
    <mergeCell ref="D123:E123"/>
    <mergeCell ref="F123:G123"/>
    <mergeCell ref="H123:J123"/>
    <mergeCell ref="K123:M123"/>
    <mergeCell ref="N123:O123"/>
    <mergeCell ref="AC123:AD123"/>
    <mergeCell ref="A127:C127"/>
    <mergeCell ref="D127:L127"/>
    <mergeCell ref="M127:U127"/>
    <mergeCell ref="V127:X127"/>
    <mergeCell ref="Y127:AD127"/>
    <mergeCell ref="P123:Q123"/>
    <mergeCell ref="R123:T123"/>
    <mergeCell ref="U123:V123"/>
    <mergeCell ref="W123:X123"/>
    <mergeCell ref="Y123:Z123"/>
    <mergeCell ref="AA123:AB123"/>
    <mergeCell ref="A130:C130"/>
    <mergeCell ref="D130:L130"/>
    <mergeCell ref="M130:U130"/>
    <mergeCell ref="V130:X130"/>
    <mergeCell ref="Y130:AD130"/>
    <mergeCell ref="V131:X131"/>
    <mergeCell ref="Y131:AD131"/>
    <mergeCell ref="A128:C128"/>
    <mergeCell ref="D128:L128"/>
    <mergeCell ref="M128:U128"/>
    <mergeCell ref="V128:X128"/>
    <mergeCell ref="Y128:AD128"/>
    <mergeCell ref="A129:C129"/>
    <mergeCell ref="D129:L129"/>
    <mergeCell ref="M129:U129"/>
    <mergeCell ref="V129:X129"/>
    <mergeCell ref="Y129:AD129"/>
    <mergeCell ref="U134:V134"/>
    <mergeCell ref="A138:C138"/>
    <mergeCell ref="D138:G138"/>
    <mergeCell ref="H138:K138"/>
    <mergeCell ref="L138:N138"/>
    <mergeCell ref="O138:Q138"/>
    <mergeCell ref="O133:P133"/>
    <mergeCell ref="Q133:R133"/>
    <mergeCell ref="S133:T133"/>
    <mergeCell ref="U133:V133"/>
    <mergeCell ref="A134:C134"/>
    <mergeCell ref="D134:E134"/>
    <mergeCell ref="F134:H134"/>
    <mergeCell ref="I134:J134"/>
    <mergeCell ref="K134:L134"/>
    <mergeCell ref="M134:N134"/>
    <mergeCell ref="A133:C133"/>
    <mergeCell ref="D133:E133"/>
    <mergeCell ref="F133:H133"/>
    <mergeCell ref="I133:J133"/>
    <mergeCell ref="K133:L133"/>
    <mergeCell ref="M133:N133"/>
    <mergeCell ref="A139:C139"/>
    <mergeCell ref="H139:K139"/>
    <mergeCell ref="L139:N139"/>
    <mergeCell ref="A140:C140"/>
    <mergeCell ref="H140:K140"/>
    <mergeCell ref="L140:N140"/>
    <mergeCell ref="O134:P134"/>
    <mergeCell ref="Q134:R134"/>
    <mergeCell ref="S134:T134"/>
    <mergeCell ref="A141:C141"/>
    <mergeCell ref="H141:K141"/>
    <mergeCell ref="L141:N141"/>
    <mergeCell ref="A144:C144"/>
    <mergeCell ref="D144:E144"/>
    <mergeCell ref="F144:G144"/>
    <mergeCell ref="H144:I144"/>
    <mergeCell ref="J144:K144"/>
    <mergeCell ref="L144:M144"/>
    <mergeCell ref="N144:O144"/>
    <mergeCell ref="A146:C146"/>
    <mergeCell ref="D146:E146"/>
    <mergeCell ref="F146:G146"/>
    <mergeCell ref="H146:I146"/>
    <mergeCell ref="J146:K146"/>
    <mergeCell ref="P144:Q144"/>
    <mergeCell ref="R144:S144"/>
    <mergeCell ref="T144:U144"/>
    <mergeCell ref="V144:W144"/>
    <mergeCell ref="A145:C145"/>
    <mergeCell ref="D145:E145"/>
    <mergeCell ref="F145:G145"/>
    <mergeCell ref="H145:I145"/>
    <mergeCell ref="J145:K145"/>
    <mergeCell ref="L145:M145"/>
    <mergeCell ref="L146:M146"/>
    <mergeCell ref="N146:O146"/>
    <mergeCell ref="P146:Q146"/>
    <mergeCell ref="R146:S146"/>
    <mergeCell ref="T146:U146"/>
    <mergeCell ref="V146:W146"/>
    <mergeCell ref="N145:O145"/>
    <mergeCell ref="P145:Q145"/>
    <mergeCell ref="R145:S145"/>
    <mergeCell ref="T145:U145"/>
    <mergeCell ref="V145:W145"/>
    <mergeCell ref="R148:S148"/>
    <mergeCell ref="T148:U148"/>
    <mergeCell ref="V148:W148"/>
    <mergeCell ref="A151:C151"/>
    <mergeCell ref="D151:E151"/>
    <mergeCell ref="F151:G151"/>
    <mergeCell ref="H151:S151"/>
    <mergeCell ref="N147:O147"/>
    <mergeCell ref="P147:Q147"/>
    <mergeCell ref="R147:S147"/>
    <mergeCell ref="T147:U147"/>
    <mergeCell ref="V147:W147"/>
    <mergeCell ref="A148:C148"/>
    <mergeCell ref="F148:G148"/>
    <mergeCell ref="H148:I148"/>
    <mergeCell ref="N148:O148"/>
    <mergeCell ref="P148:Q148"/>
    <mergeCell ref="A147:C147"/>
    <mergeCell ref="D147:E147"/>
    <mergeCell ref="F147:G147"/>
    <mergeCell ref="H147:I147"/>
    <mergeCell ref="J147:K147"/>
    <mergeCell ref="L147:M147"/>
    <mergeCell ref="A154:C154"/>
    <mergeCell ref="D154:E154"/>
    <mergeCell ref="F154:G154"/>
    <mergeCell ref="H154:S154"/>
    <mergeCell ref="A155:C155"/>
    <mergeCell ref="D155:E155"/>
    <mergeCell ref="F155:G155"/>
    <mergeCell ref="H155:S155"/>
    <mergeCell ref="A152:C152"/>
    <mergeCell ref="D152:E152"/>
    <mergeCell ref="F152:G152"/>
    <mergeCell ref="H152:S152"/>
    <mergeCell ref="A153:C153"/>
    <mergeCell ref="D153:E153"/>
    <mergeCell ref="F153:G153"/>
    <mergeCell ref="H153:S153"/>
    <mergeCell ref="A177:B177"/>
    <mergeCell ref="A180:B180"/>
    <mergeCell ref="A183:B183"/>
    <mergeCell ref="A186:B186"/>
    <mergeCell ref="A189:B189"/>
    <mergeCell ref="A192:B192"/>
    <mergeCell ref="A162:B162"/>
    <mergeCell ref="A165:B165"/>
    <mergeCell ref="A168:B168"/>
    <mergeCell ref="A171:B171"/>
    <mergeCell ref="A173:B173"/>
    <mergeCell ref="A175:B175"/>
    <mergeCell ref="A214:C214"/>
    <mergeCell ref="A207:C207"/>
    <mergeCell ref="A208:C208"/>
    <mergeCell ref="A210:C210"/>
    <mergeCell ref="A211:C211"/>
    <mergeCell ref="A212:C212"/>
    <mergeCell ref="A195:B195"/>
    <mergeCell ref="A198:B198"/>
    <mergeCell ref="A200:B200"/>
    <mergeCell ref="A204:C204"/>
    <mergeCell ref="A205:C205"/>
    <mergeCell ref="A206:C206"/>
  </mergeCells>
  <dataValidations count="1">
    <dataValidation type="list" allowBlank="1" showInputMessage="1" showErrorMessage="1" sqref="G26" xr:uid="{08B93A5D-5DC5-4C09-B8C8-3BDF20DE258D}">
      <formula1>"1,2,3"</formula1>
    </dataValidation>
  </dataValidations>
  <hyperlinks>
    <hyperlink ref="Y128" r:id="rId1" xr:uid="{34DD9887-4D93-4B45-B353-CE580B4286A2}"/>
    <hyperlink ref="Y129" r:id="rId2" xr:uid="{67B6C307-8110-482D-8185-25D7D8CAE611}"/>
    <hyperlink ref="Y130" r:id="rId3" xr:uid="{B51F6E6C-56D2-4D6D-ABEA-4F7927900B4A}"/>
  </hyperlinks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6AE1D-8667-4AAF-8E2D-826906BBE871}">
  <sheetPr codeName="Sheet6"/>
  <dimension ref="A1:AR155"/>
  <sheetViews>
    <sheetView showGridLines="0" topLeftCell="A30" zoomScale="78" zoomScaleNormal="67" workbookViewId="0">
      <selection activeCell="L96" sqref="L96:M96"/>
    </sheetView>
  </sheetViews>
  <sheetFormatPr defaultRowHeight="14.4"/>
  <cols>
    <col min="4" max="4" width="9.109375" bestFit="1" customWidth="1"/>
    <col min="5" max="10" width="9" bestFit="1" customWidth="1"/>
    <col min="11" max="11" width="9.44140625" bestFit="1" customWidth="1"/>
    <col min="12" max="12" width="9" bestFit="1" customWidth="1"/>
    <col min="13" max="13" width="12.109375" bestFit="1" customWidth="1"/>
    <col min="14" max="14" width="9.109375" bestFit="1" customWidth="1"/>
    <col min="15" max="15" width="9" bestFit="1" customWidth="1"/>
    <col min="16" max="17" width="10.33203125" bestFit="1" customWidth="1"/>
  </cols>
  <sheetData>
    <row r="1" spans="1:9" s="1" customFormat="1" ht="21">
      <c r="A1" s="256" t="s">
        <v>724</v>
      </c>
      <c r="B1" s="256"/>
      <c r="C1" s="256"/>
      <c r="D1" s="256"/>
      <c r="E1" s="256"/>
      <c r="F1" s="256"/>
    </row>
    <row r="2" spans="1:9" s="3" customFormat="1">
      <c r="A2" s="2" t="s">
        <v>0</v>
      </c>
    </row>
    <row r="3" spans="1:9">
      <c r="A3" s="257" t="s">
        <v>1</v>
      </c>
      <c r="B3" s="258"/>
      <c r="C3" s="258"/>
      <c r="D3" s="259"/>
      <c r="E3" s="260" t="s">
        <v>658</v>
      </c>
      <c r="F3" s="260"/>
      <c r="G3" s="260" t="s">
        <v>454</v>
      </c>
      <c r="H3" s="261"/>
      <c r="I3" s="4" t="s">
        <v>4</v>
      </c>
    </row>
    <row r="4" spans="1:9">
      <c r="A4" s="245" t="s">
        <v>659</v>
      </c>
      <c r="B4" s="245"/>
      <c r="C4" s="245"/>
      <c r="D4" s="245"/>
      <c r="E4" s="253">
        <f>E23</f>
        <v>0.44999999999999996</v>
      </c>
      <c r="F4" s="253"/>
      <c r="G4" s="253">
        <f>F23</f>
        <v>5.0847562839198543</v>
      </c>
      <c r="H4" s="253"/>
      <c r="I4" s="5">
        <f>(G4/E4)^0.1-1</f>
        <v>0.27439999999999998</v>
      </c>
    </row>
    <row r="5" spans="1:9" ht="15" thickBot="1">
      <c r="A5" s="459" t="s">
        <v>456</v>
      </c>
      <c r="B5" s="246"/>
      <c r="C5" s="246"/>
      <c r="D5" s="246"/>
      <c r="E5" s="168">
        <f>E26</f>
        <v>7.8749999999999982</v>
      </c>
      <c r="F5" s="168"/>
      <c r="G5" s="168">
        <f>F26</f>
        <v>88.983234968597444</v>
      </c>
      <c r="H5" s="250"/>
      <c r="I5" s="5">
        <f>(G5/E5)^0.1-1</f>
        <v>0.27439999999999998</v>
      </c>
    </row>
    <row r="6" spans="1:9" s="7" customFormat="1" ht="15" thickTop="1">
      <c r="A6" s="6" t="s">
        <v>7</v>
      </c>
      <c r="B6" s="6"/>
      <c r="C6" s="6"/>
      <c r="D6" s="6"/>
      <c r="E6" s="247">
        <f xml:space="preserve"> E5/E4/1000</f>
        <v>1.7499999999999995E-2</v>
      </c>
      <c r="F6" s="247"/>
      <c r="G6" s="247">
        <f xml:space="preserve"> G5/G4/1000</f>
        <v>1.7500000000000002E-2</v>
      </c>
      <c r="H6" s="247"/>
      <c r="I6" s="5"/>
    </row>
    <row r="7" spans="1:9" s="7" customFormat="1">
      <c r="A7" s="6"/>
      <c r="B7" s="6"/>
      <c r="C7" s="6"/>
      <c r="D7" s="6"/>
      <c r="E7" s="8"/>
      <c r="F7" s="8"/>
      <c r="G7" s="8"/>
      <c r="H7" s="8"/>
      <c r="I7" s="5"/>
    </row>
    <row r="8" spans="1:9">
      <c r="A8" s="245" t="s">
        <v>660</v>
      </c>
      <c r="B8" s="245"/>
      <c r="C8" s="245"/>
      <c r="D8" s="245"/>
      <c r="E8" s="253">
        <f>L23</f>
        <v>39.75903614457831</v>
      </c>
      <c r="F8" s="253"/>
      <c r="G8" s="254">
        <f>D96</f>
        <v>85.8367770000024</v>
      </c>
      <c r="H8" s="255"/>
      <c r="I8" s="5">
        <f>(G8/E8)^0.1-1</f>
        <v>8.0000000000000071E-2</v>
      </c>
    </row>
    <row r="9" spans="1:9" ht="15" thickBot="1">
      <c r="A9" s="459" t="s">
        <v>456</v>
      </c>
      <c r="B9" s="246"/>
      <c r="C9" s="246"/>
      <c r="D9" s="246"/>
      <c r="E9" s="168">
        <f>L26</f>
        <v>298.19277108433732</v>
      </c>
      <c r="F9" s="168"/>
      <c r="G9" s="168">
        <f>M26</f>
        <v>1287.5516550000361</v>
      </c>
      <c r="H9" s="250"/>
      <c r="I9" s="5">
        <f>(G9/E9)^0.1-1</f>
        <v>0.15751533953919661</v>
      </c>
    </row>
    <row r="10" spans="1:9" s="7" customFormat="1" ht="15" thickTop="1">
      <c r="A10" s="6" t="s">
        <v>7</v>
      </c>
      <c r="B10" s="6"/>
      <c r="C10" s="6"/>
      <c r="D10" s="6"/>
      <c r="E10" s="247">
        <f xml:space="preserve"> E9/E8/1000</f>
        <v>7.4999999999999997E-3</v>
      </c>
      <c r="F10" s="247"/>
      <c r="G10" s="247">
        <f xml:space="preserve"> G9/G8/1000</f>
        <v>1.5000000000000001E-2</v>
      </c>
      <c r="H10" s="247"/>
      <c r="I10" s="5"/>
    </row>
    <row r="11" spans="1:9" s="7" customFormat="1">
      <c r="A11" s="6"/>
      <c r="B11" s="6"/>
      <c r="C11" s="6"/>
      <c r="D11" s="6"/>
      <c r="E11" s="8"/>
      <c r="F11" s="8"/>
      <c r="G11" s="8"/>
      <c r="H11" s="8"/>
      <c r="I11" s="5"/>
    </row>
    <row r="12" spans="1:9">
      <c r="A12" s="245" t="s">
        <v>460</v>
      </c>
      <c r="B12" s="245"/>
      <c r="C12" s="245"/>
      <c r="D12" s="245"/>
      <c r="E12" s="251">
        <f xml:space="preserve"> SUM(E4,E8)</f>
        <v>40.209036144578313</v>
      </c>
      <c r="F12" s="251"/>
      <c r="G12" s="251">
        <f xml:space="preserve"> SUM(G4,G8)</f>
        <v>90.921533283922258</v>
      </c>
      <c r="H12" s="251"/>
      <c r="I12" s="5">
        <f t="shared" ref="I12" si="0">(G12/E12)^0.1-1</f>
        <v>8.5011418918610415E-2</v>
      </c>
    </row>
    <row r="13" spans="1:9" ht="15" thickBot="1">
      <c r="A13" s="459" t="s">
        <v>456</v>
      </c>
      <c r="B13" s="246"/>
      <c r="C13" s="246"/>
      <c r="D13" s="246"/>
      <c r="E13" s="168">
        <f xml:space="preserve"> SUM(E9,E5)</f>
        <v>306.06777108433732</v>
      </c>
      <c r="F13" s="168"/>
      <c r="G13" s="168">
        <f xml:space="preserve"> SUM(G9,G5)</f>
        <v>1376.5348899686335</v>
      </c>
      <c r="H13" s="168"/>
      <c r="I13" s="5">
        <f>(G13/E13)^0.1-1</f>
        <v>0.16224306181649228</v>
      </c>
    </row>
    <row r="14" spans="1:9" s="7" customFormat="1" ht="15" thickTop="1">
      <c r="A14" s="6" t="s">
        <v>7</v>
      </c>
      <c r="B14" s="6"/>
      <c r="C14" s="6"/>
      <c r="D14" s="6"/>
      <c r="E14" s="247">
        <f xml:space="preserve"> E13/E12/1000</f>
        <v>7.6119151422535834E-3</v>
      </c>
      <c r="F14" s="247"/>
      <c r="G14" s="247">
        <f xml:space="preserve"> G13/G12/1000</f>
        <v>1.5139811662327602E-2</v>
      </c>
      <c r="H14" s="247"/>
      <c r="I14" s="5"/>
    </row>
    <row r="16" spans="1:9" s="3" customFormat="1">
      <c r="A16" s="2" t="s">
        <v>11</v>
      </c>
    </row>
    <row r="17" spans="1:13" s="7" customFormat="1">
      <c r="A17" s="248" t="s">
        <v>12</v>
      </c>
      <c r="B17" s="249"/>
      <c r="C17" s="10">
        <f>ASSUMPTIONS!B5</f>
        <v>0.1</v>
      </c>
      <c r="E17" s="248" t="s">
        <v>13</v>
      </c>
      <c r="F17" s="249"/>
      <c r="G17" s="11">
        <f>ASSUMPTIONS!E5</f>
        <v>2</v>
      </c>
      <c r="H17" s="8"/>
    </row>
    <row r="18" spans="1:13">
      <c r="E18" s="12"/>
      <c r="F18" s="12"/>
      <c r="G18" s="12"/>
      <c r="H18" s="12"/>
      <c r="I18" s="13"/>
    </row>
    <row r="19" spans="1:13">
      <c r="A19" s="244" t="s">
        <v>461</v>
      </c>
      <c r="B19" s="244"/>
      <c r="C19" s="244"/>
      <c r="D19" s="244"/>
      <c r="E19" s="244"/>
      <c r="F19" s="244"/>
      <c r="G19" s="14"/>
      <c r="H19" s="244" t="s">
        <v>462</v>
      </c>
      <c r="I19" s="244"/>
      <c r="J19" s="244"/>
      <c r="K19" s="244"/>
      <c r="L19" s="244"/>
      <c r="M19" s="244"/>
    </row>
    <row r="20" spans="1:13">
      <c r="E20" s="14"/>
      <c r="F20" s="14"/>
      <c r="G20" s="14"/>
      <c r="L20" s="14"/>
      <c r="M20" s="14"/>
    </row>
    <row r="21" spans="1:13" s="7" customFormat="1">
      <c r="A21" s="15" t="s">
        <v>17</v>
      </c>
      <c r="B21" s="15"/>
      <c r="C21" s="15"/>
      <c r="D21" s="15"/>
      <c r="E21" s="15"/>
      <c r="F21" s="15"/>
      <c r="H21" s="15" t="s">
        <v>17</v>
      </c>
      <c r="I21" s="15"/>
      <c r="J21" s="15"/>
      <c r="K21" s="15"/>
      <c r="L21" s="15"/>
      <c r="M21" s="15"/>
    </row>
    <row r="22" spans="1:13">
      <c r="A22" s="245" t="s">
        <v>18</v>
      </c>
      <c r="B22" s="245"/>
      <c r="C22" s="245"/>
      <c r="D22" s="245"/>
      <c r="E22" s="16">
        <v>45849</v>
      </c>
      <c r="F22" s="17">
        <f>EDATE(E22,120)</f>
        <v>49501</v>
      </c>
      <c r="H22" s="245" t="s">
        <v>18</v>
      </c>
      <c r="I22" s="245"/>
      <c r="J22" s="245"/>
      <c r="K22" s="245"/>
      <c r="L22" s="16">
        <v>45849</v>
      </c>
      <c r="M22" s="17">
        <f>EDATE(L22,120)</f>
        <v>49501</v>
      </c>
    </row>
    <row r="23" spans="1:13">
      <c r="A23" s="239" t="s">
        <v>19</v>
      </c>
      <c r="B23" s="239"/>
      <c r="C23" s="239"/>
      <c r="D23" s="239"/>
      <c r="E23" s="19">
        <f xml:space="preserve"> CHOOSE($G$17,E30,E31,E32)</f>
        <v>0.44999999999999996</v>
      </c>
      <c r="F23" s="19">
        <f xml:space="preserve"> CHOOSE($G$17,F30,F31,F32)</f>
        <v>5.0847562839198543</v>
      </c>
      <c r="H23" s="239" t="s">
        <v>19</v>
      </c>
      <c r="I23" s="239"/>
      <c r="J23" s="239"/>
      <c r="K23" s="239"/>
      <c r="L23" s="19">
        <f xml:space="preserve"> CHOOSE($G$17,L30,L31,L32)</f>
        <v>39.75903614457831</v>
      </c>
      <c r="M23" s="19">
        <f xml:space="preserve"> CHOOSE($G$17,M30,M31,M32)</f>
        <v>85.8367770000024</v>
      </c>
    </row>
    <row r="24" spans="1:13">
      <c r="A24" s="239" t="s">
        <v>23</v>
      </c>
      <c r="B24" s="239"/>
      <c r="C24" s="239"/>
      <c r="D24" s="239"/>
      <c r="E24" s="20">
        <f>CHOOSE($G$17,E35,E36,E37)</f>
        <v>0.35</v>
      </c>
      <c r="F24" s="20">
        <f>CHOOSE($G$17,F35,F36,F37)</f>
        <v>0.35</v>
      </c>
      <c r="H24" s="239" t="s">
        <v>23</v>
      </c>
      <c r="I24" s="239"/>
      <c r="J24" s="239"/>
      <c r="K24" s="239"/>
      <c r="L24" s="20">
        <f>CHOOSE($G$17,L35,L36,L37)</f>
        <v>0.15</v>
      </c>
      <c r="M24" s="20">
        <f>CHOOSE($G$17,M35,M36,M37)</f>
        <v>0.3</v>
      </c>
    </row>
    <row r="25" spans="1:13">
      <c r="A25" s="239" t="s">
        <v>21</v>
      </c>
      <c r="B25" s="239"/>
      <c r="C25" s="239"/>
      <c r="D25" s="239"/>
      <c r="E25" s="20">
        <f xml:space="preserve"> CHOOSE($G$17,E40,E41,E42)</f>
        <v>0.05</v>
      </c>
      <c r="F25" s="20">
        <f xml:space="preserve"> CHOOSE($G$17,F40,F41,F42)</f>
        <v>0.05</v>
      </c>
      <c r="H25" s="239" t="s">
        <v>21</v>
      </c>
      <c r="I25" s="239"/>
      <c r="J25" s="239"/>
      <c r="K25" s="239"/>
      <c r="L25" s="20">
        <f xml:space="preserve"> CHOOSE($G$17,L40,L41,L42)</f>
        <v>0.05</v>
      </c>
      <c r="M25" s="20">
        <f xml:space="preserve"> CHOOSE($G$17,M40,M41,M42)</f>
        <v>0.05</v>
      </c>
    </row>
    <row r="26" spans="1:13" ht="15" thickBot="1">
      <c r="A26" s="242" t="s">
        <v>465</v>
      </c>
      <c r="B26" s="242"/>
      <c r="C26" s="242"/>
      <c r="D26" s="242"/>
      <c r="E26" s="21">
        <f xml:space="preserve"> PRODUCT(E23:E25)*1000</f>
        <v>7.8749999999999982</v>
      </c>
      <c r="F26" s="21">
        <f xml:space="preserve"> PRODUCT(F23:F25)*1000</f>
        <v>88.983234968597444</v>
      </c>
      <c r="G26" s="14"/>
      <c r="H26" s="242" t="s">
        <v>465</v>
      </c>
      <c r="I26" s="242"/>
      <c r="J26" s="242"/>
      <c r="K26" s="242"/>
      <c r="L26" s="21">
        <f xml:space="preserve"> PRODUCT(L23:L25)*1000</f>
        <v>298.19277108433732</v>
      </c>
      <c r="M26" s="21">
        <f xml:space="preserve"> PRODUCT(M23:M25)*1000</f>
        <v>1287.5516550000361</v>
      </c>
    </row>
    <row r="27" spans="1:13" ht="15" thickTop="1">
      <c r="E27" s="14"/>
      <c r="F27" s="14"/>
      <c r="G27" s="14"/>
      <c r="L27" s="14"/>
      <c r="M27" s="14"/>
    </row>
    <row r="28" spans="1:13" s="7" customFormat="1">
      <c r="A28" s="15" t="s">
        <v>26</v>
      </c>
      <c r="B28" s="15"/>
      <c r="C28" s="15"/>
      <c r="D28" s="15"/>
      <c r="E28" s="15"/>
      <c r="F28" s="15"/>
      <c r="H28" s="15" t="s">
        <v>26</v>
      </c>
      <c r="I28" s="15"/>
      <c r="J28" s="15"/>
      <c r="K28" s="15"/>
      <c r="L28" s="15"/>
      <c r="M28" s="15"/>
    </row>
    <row r="29" spans="1:13">
      <c r="A29" s="114" t="s">
        <v>466</v>
      </c>
      <c r="B29" s="114"/>
      <c r="C29" s="114"/>
      <c r="D29" s="114"/>
      <c r="E29" s="14"/>
      <c r="F29" s="14"/>
      <c r="G29" s="14"/>
      <c r="H29" s="114" t="s">
        <v>466</v>
      </c>
      <c r="I29" s="114"/>
      <c r="J29" s="114"/>
      <c r="K29" s="114"/>
      <c r="L29" s="14"/>
      <c r="M29" s="14"/>
    </row>
    <row r="30" spans="1:13">
      <c r="A30" s="239" t="s">
        <v>30</v>
      </c>
      <c r="B30" s="239"/>
      <c r="C30" s="239"/>
      <c r="D30" s="239"/>
      <c r="E30" s="19">
        <f>E31*(1+$C$17)</f>
        <v>0.495</v>
      </c>
      <c r="F30" s="19">
        <f>F31*(1+$C$17)</f>
        <v>5.5932319123118406</v>
      </c>
      <c r="G30" s="14"/>
      <c r="H30" s="239" t="s">
        <v>30</v>
      </c>
      <c r="I30" s="239"/>
      <c r="J30" s="239"/>
      <c r="K30" s="239"/>
      <c r="L30" s="19">
        <f>L31*(1+$C$17)</f>
        <v>43.734939759036145</v>
      </c>
      <c r="M30" s="19">
        <f>M31*(1+$C$17)</f>
        <v>94.420454700002651</v>
      </c>
    </row>
    <row r="31" spans="1:13">
      <c r="A31" s="239" t="s">
        <v>31</v>
      </c>
      <c r="B31" s="239"/>
      <c r="C31" s="239"/>
      <c r="D31" s="239"/>
      <c r="E31" s="19">
        <f>I90</f>
        <v>0.44999999999999996</v>
      </c>
      <c r="F31" s="19">
        <f>K90</f>
        <v>5.0847562839198543</v>
      </c>
      <c r="G31" s="14"/>
      <c r="H31" s="239" t="s">
        <v>31</v>
      </c>
      <c r="I31" s="239"/>
      <c r="J31" s="239"/>
      <c r="K31" s="239"/>
      <c r="L31" s="19">
        <f>D95</f>
        <v>39.75903614457831</v>
      </c>
      <c r="M31" s="19">
        <f>D96</f>
        <v>85.8367770000024</v>
      </c>
    </row>
    <row r="32" spans="1:13">
      <c r="A32" s="239" t="s">
        <v>32</v>
      </c>
      <c r="B32" s="239"/>
      <c r="C32" s="239"/>
      <c r="D32" s="239"/>
      <c r="E32" s="19">
        <f>E31*(1-$C$17)</f>
        <v>0.40499999999999997</v>
      </c>
      <c r="F32" s="19">
        <f>F31*(1-$C$17)</f>
        <v>4.576280655527869</v>
      </c>
      <c r="G32" s="14"/>
      <c r="H32" s="239" t="s">
        <v>32</v>
      </c>
      <c r="I32" s="239"/>
      <c r="J32" s="239"/>
      <c r="K32" s="239"/>
      <c r="L32" s="19">
        <f>L31*(1-$C$17)</f>
        <v>35.783132530120483</v>
      </c>
      <c r="M32" s="19">
        <f>M31*(1-$C$17)</f>
        <v>77.253099300002162</v>
      </c>
    </row>
    <row r="33" spans="1:17">
      <c r="E33" s="14"/>
      <c r="F33" s="14"/>
      <c r="G33" s="14"/>
      <c r="L33" s="14"/>
      <c r="M33" s="14"/>
    </row>
    <row r="34" spans="1:17">
      <c r="A34" s="240" t="s">
        <v>33</v>
      </c>
      <c r="B34" s="240"/>
      <c r="C34" s="240"/>
      <c r="D34" s="240"/>
      <c r="E34" s="14"/>
      <c r="F34" s="14"/>
      <c r="G34" s="14"/>
      <c r="H34" s="240" t="s">
        <v>33</v>
      </c>
      <c r="I34" s="240"/>
      <c r="J34" s="240"/>
      <c r="K34" s="240"/>
      <c r="L34" s="14"/>
      <c r="M34" s="14"/>
    </row>
    <row r="35" spans="1:17">
      <c r="A35" s="239" t="s">
        <v>30</v>
      </c>
      <c r="B35" s="239"/>
      <c r="C35" s="239"/>
      <c r="D35" s="239"/>
      <c r="E35" s="20">
        <f>E36*(1+$C$17)</f>
        <v>0.38500000000000001</v>
      </c>
      <c r="F35" s="20">
        <f>F36*(1+$C$17)</f>
        <v>0.38500000000000001</v>
      </c>
      <c r="G35" s="14"/>
      <c r="H35" s="239" t="s">
        <v>30</v>
      </c>
      <c r="I35" s="239"/>
      <c r="J35" s="239"/>
      <c r="K35" s="239"/>
      <c r="L35" s="20">
        <f>L36*(1+$C$17)</f>
        <v>0.16500000000000001</v>
      </c>
      <c r="M35" s="20">
        <f>M36*(1+$C$17)</f>
        <v>0.33</v>
      </c>
    </row>
    <row r="36" spans="1:17">
      <c r="A36" s="239" t="s">
        <v>31</v>
      </c>
      <c r="B36" s="239"/>
      <c r="C36" s="239"/>
      <c r="D36" s="239"/>
      <c r="E36" s="20">
        <f>M90</f>
        <v>0.35</v>
      </c>
      <c r="F36" s="24">
        <f>M90</f>
        <v>0.35</v>
      </c>
      <c r="G36" s="14"/>
      <c r="H36" s="239" t="s">
        <v>31</v>
      </c>
      <c r="I36" s="239"/>
      <c r="J36" s="239"/>
      <c r="K36" s="239"/>
      <c r="L36" s="20">
        <f>L95</f>
        <v>0.15</v>
      </c>
      <c r="M36" s="20">
        <f>L96</f>
        <v>0.3</v>
      </c>
    </row>
    <row r="37" spans="1:17">
      <c r="A37" s="239" t="s">
        <v>32</v>
      </c>
      <c r="B37" s="239"/>
      <c r="C37" s="239"/>
      <c r="D37" s="239"/>
      <c r="E37" s="20">
        <f>E36*(1-$C$17)</f>
        <v>0.315</v>
      </c>
      <c r="F37" s="20">
        <f>F36*(1-$C$17)</f>
        <v>0.315</v>
      </c>
      <c r="H37" s="239" t="s">
        <v>32</v>
      </c>
      <c r="I37" s="239"/>
      <c r="J37" s="239"/>
      <c r="K37" s="239"/>
      <c r="L37" s="20">
        <f>L36*(1-$C$17)</f>
        <v>0.13500000000000001</v>
      </c>
      <c r="M37" s="20">
        <f>M36*(1-$C$17)</f>
        <v>0.27</v>
      </c>
    </row>
    <row r="38" spans="1:17">
      <c r="E38" s="14"/>
      <c r="F38" s="14"/>
      <c r="G38" s="14"/>
      <c r="L38" s="14"/>
      <c r="M38" s="14"/>
    </row>
    <row r="39" spans="1:17">
      <c r="A39" s="240" t="s">
        <v>36</v>
      </c>
      <c r="B39" s="240"/>
      <c r="C39" s="240"/>
      <c r="D39" s="240"/>
      <c r="E39" s="14"/>
      <c r="F39" s="14"/>
      <c r="G39" s="14"/>
      <c r="H39" s="240" t="s">
        <v>36</v>
      </c>
      <c r="I39" s="240"/>
      <c r="J39" s="240"/>
      <c r="K39" s="240"/>
      <c r="L39" s="14"/>
      <c r="M39" s="14"/>
    </row>
    <row r="40" spans="1:17">
      <c r="A40" s="239" t="s">
        <v>30</v>
      </c>
      <c r="B40" s="239"/>
      <c r="C40" s="239"/>
      <c r="D40" s="239"/>
      <c r="E40" s="20">
        <f xml:space="preserve"> E41*(1+$C$17)</f>
        <v>5.5000000000000007E-2</v>
      </c>
      <c r="F40" s="20">
        <f xml:space="preserve"> F41*(1+$C$17)</f>
        <v>5.5000000000000007E-2</v>
      </c>
      <c r="G40" s="14"/>
      <c r="H40" s="239" t="s">
        <v>30</v>
      </c>
      <c r="I40" s="239"/>
      <c r="J40" s="239"/>
      <c r="K40" s="239"/>
      <c r="L40" s="20">
        <f xml:space="preserve"> L41*(1+$C$17)</f>
        <v>5.5000000000000007E-2</v>
      </c>
      <c r="M40" s="20">
        <f xml:space="preserve"> M41*(1+$C$17)</f>
        <v>5.5000000000000007E-2</v>
      </c>
    </row>
    <row r="41" spans="1:17">
      <c r="A41" s="239" t="s">
        <v>31</v>
      </c>
      <c r="B41" s="239"/>
      <c r="C41" s="239"/>
      <c r="D41" s="239"/>
      <c r="E41" s="20">
        <f>O90</f>
        <v>0.05</v>
      </c>
      <c r="F41" s="24">
        <f>O90</f>
        <v>0.05</v>
      </c>
      <c r="G41" s="14"/>
      <c r="H41" s="239" t="s">
        <v>31</v>
      </c>
      <c r="I41" s="239"/>
      <c r="J41" s="239"/>
      <c r="K41" s="239"/>
      <c r="L41" s="20">
        <f>N95</f>
        <v>0.05</v>
      </c>
      <c r="M41" s="20">
        <f>N96</f>
        <v>0.05</v>
      </c>
    </row>
    <row r="42" spans="1:17">
      <c r="A42" s="239" t="s">
        <v>32</v>
      </c>
      <c r="B42" s="239"/>
      <c r="C42" s="239"/>
      <c r="D42" s="239"/>
      <c r="E42" s="20">
        <f xml:space="preserve"> E41*(1-$C$17)</f>
        <v>4.5000000000000005E-2</v>
      </c>
      <c r="F42" s="20">
        <f xml:space="preserve"> F41*(1-$C$17)</f>
        <v>4.5000000000000005E-2</v>
      </c>
      <c r="H42" s="239" t="s">
        <v>32</v>
      </c>
      <c r="I42" s="239"/>
      <c r="J42" s="239"/>
      <c r="K42" s="239"/>
      <c r="L42" s="20">
        <f xml:space="preserve"> L41*(1-$C$17)</f>
        <v>4.5000000000000005E-2</v>
      </c>
      <c r="M42" s="20">
        <f xml:space="preserve"> M41*(1-$C$17)</f>
        <v>4.5000000000000005E-2</v>
      </c>
    </row>
    <row r="44" spans="1:17" s="3" customFormat="1">
      <c r="A44" s="2" t="s">
        <v>39</v>
      </c>
    </row>
    <row r="46" spans="1:17" ht="15" thickBot="1"/>
    <row r="47" spans="1:17" s="96" customFormat="1" ht="55.8" thickBot="1">
      <c r="N47" s="26" t="s">
        <v>40</v>
      </c>
      <c r="O47" s="127" t="s">
        <v>661</v>
      </c>
      <c r="P47" s="127" t="s">
        <v>662</v>
      </c>
      <c r="Q47" s="127" t="s">
        <v>663</v>
      </c>
    </row>
    <row r="48" spans="1:17" s="7" customFormat="1" ht="15" thickBot="1">
      <c r="N48" s="128" t="s">
        <v>44</v>
      </c>
      <c r="O48" s="99">
        <v>10000</v>
      </c>
      <c r="P48" s="99">
        <v>10000</v>
      </c>
      <c r="Q48" s="99">
        <v>10000</v>
      </c>
    </row>
    <row r="49" spans="14:17" s="7" customFormat="1" ht="15" thickBot="1">
      <c r="N49" s="128" t="s">
        <v>45</v>
      </c>
      <c r="O49" s="99">
        <v>7.9002340000000002</v>
      </c>
      <c r="P49" s="99">
        <v>298.21210200000002</v>
      </c>
      <c r="Q49" s="99">
        <v>306.11233700000003</v>
      </c>
    </row>
    <row r="50" spans="14:17" ht="15" thickBot="1">
      <c r="N50" s="128" t="s">
        <v>46</v>
      </c>
      <c r="O50" s="99">
        <v>0.57706900000000005</v>
      </c>
      <c r="P50" s="99">
        <v>21.345033999999998</v>
      </c>
      <c r="Q50" s="99">
        <v>21.355598000000001</v>
      </c>
    </row>
    <row r="51" spans="14:17" ht="15" thickBot="1">
      <c r="N51" s="128" t="s">
        <v>47</v>
      </c>
      <c r="O51" s="99">
        <v>6.1737780000000004</v>
      </c>
      <c r="P51" s="99">
        <v>237.033682</v>
      </c>
      <c r="Q51" s="99">
        <v>245.371488</v>
      </c>
    </row>
    <row r="52" spans="14:17" ht="15" thickBot="1">
      <c r="N52" s="129">
        <v>0.05</v>
      </c>
      <c r="O52" s="99">
        <v>6.9787929999999996</v>
      </c>
      <c r="P52" s="99">
        <v>263.873311</v>
      </c>
      <c r="Q52" s="99">
        <v>271.74802099999999</v>
      </c>
    </row>
    <row r="53" spans="14:17" ht="15" thickBot="1">
      <c r="N53" s="129">
        <v>0.5</v>
      </c>
      <c r="O53" s="99">
        <v>7.881043</v>
      </c>
      <c r="P53" s="99">
        <v>297.80370900000003</v>
      </c>
      <c r="Q53" s="99">
        <v>305.77976799999999</v>
      </c>
    </row>
    <row r="54" spans="14:17" ht="15" thickBot="1">
      <c r="N54" s="129">
        <v>0.95</v>
      </c>
      <c r="O54" s="99">
        <v>8.8791419999999999</v>
      </c>
      <c r="P54" s="99">
        <v>334.39798500000001</v>
      </c>
      <c r="Q54" s="99">
        <v>342.33043600000002</v>
      </c>
    </row>
    <row r="55" spans="14:17" s="7" customFormat="1" ht="15" thickBot="1">
      <c r="N55" s="128" t="s">
        <v>48</v>
      </c>
      <c r="O55" s="99">
        <v>10.134359999999999</v>
      </c>
      <c r="P55" s="99">
        <v>375.29906999999997</v>
      </c>
      <c r="Q55" s="99">
        <v>383.42365599999999</v>
      </c>
    </row>
    <row r="56" spans="14:17" s="7" customFormat="1"/>
    <row r="59" spans="14:17" s="7" customFormat="1">
      <c r="P59" s="7" t="s">
        <v>295</v>
      </c>
    </row>
    <row r="60" spans="14:17" s="7" customFormat="1"/>
    <row r="61" spans="14:17" s="7" customFormat="1"/>
    <row r="62" spans="14:17" s="7" customFormat="1"/>
    <row r="63" spans="14:17" s="7" customFormat="1"/>
    <row r="64" spans="14:17" s="7" customFormat="1"/>
    <row r="65" spans="1:44" s="7" customFormat="1"/>
    <row r="66" spans="1:44" s="7" customFormat="1"/>
    <row r="67" spans="1:44" s="7" customFormat="1"/>
    <row r="68" spans="1:44" s="3" customFormat="1">
      <c r="A68" s="360" t="s">
        <v>49</v>
      </c>
      <c r="B68" s="360"/>
    </row>
    <row r="69" spans="1:44" s="103" customFormat="1">
      <c r="A69" s="102" t="s">
        <v>297</v>
      </c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</row>
    <row r="70" spans="1:44">
      <c r="A70" s="158" t="s">
        <v>70</v>
      </c>
      <c r="B70" s="158"/>
      <c r="C70" s="158"/>
      <c r="D70" s="158"/>
      <c r="E70" s="158" t="s">
        <v>596</v>
      </c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466" t="s">
        <v>664</v>
      </c>
      <c r="T70" s="466"/>
      <c r="U70" s="466"/>
      <c r="V70" s="466"/>
      <c r="W70" s="466"/>
      <c r="X70" s="466"/>
      <c r="Y70" s="466"/>
      <c r="Z70" s="466"/>
      <c r="AA70" s="466"/>
      <c r="AB70" s="466"/>
      <c r="AC70" s="466"/>
      <c r="AD70" s="466"/>
      <c r="AE70" s="466"/>
      <c r="AF70" s="466"/>
      <c r="AG70" s="466"/>
      <c r="AH70" s="466"/>
      <c r="AI70" s="466"/>
      <c r="AJ70" s="466"/>
      <c r="AK70" s="466"/>
      <c r="AL70" s="466"/>
      <c r="AM70" s="466"/>
      <c r="AN70" s="466"/>
      <c r="AO70" s="466"/>
      <c r="AP70" s="466"/>
      <c r="AQ70" s="466"/>
      <c r="AR70" s="466"/>
    </row>
    <row r="71" spans="1:44" ht="15.6" customHeight="1">
      <c r="A71" s="467" t="s">
        <v>665</v>
      </c>
      <c r="B71" s="467"/>
      <c r="C71" s="467"/>
      <c r="D71" s="467"/>
      <c r="E71" s="225" t="s">
        <v>666</v>
      </c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Q71" s="225"/>
      <c r="R71" s="225"/>
      <c r="S71" s="415" t="s">
        <v>667</v>
      </c>
      <c r="T71" s="415"/>
      <c r="U71" s="415"/>
      <c r="V71" s="415"/>
      <c r="W71" s="415"/>
      <c r="X71" s="415"/>
      <c r="Y71" s="415"/>
      <c r="Z71" s="415"/>
      <c r="AA71" s="415"/>
      <c r="AB71" s="415"/>
      <c r="AC71" s="415"/>
      <c r="AD71" s="415"/>
      <c r="AE71" s="415"/>
      <c r="AF71" s="415"/>
      <c r="AG71" s="415"/>
      <c r="AH71" s="415"/>
      <c r="AI71" s="415"/>
      <c r="AJ71" s="415"/>
      <c r="AK71" s="415"/>
      <c r="AL71" s="415"/>
      <c r="AM71" s="415"/>
      <c r="AN71" s="415"/>
      <c r="AO71" s="415"/>
      <c r="AP71" s="415"/>
      <c r="AQ71" s="415"/>
      <c r="AR71" s="415"/>
    </row>
    <row r="72" spans="1:44">
      <c r="A72" s="468"/>
      <c r="B72" s="468"/>
      <c r="C72" s="468"/>
      <c r="D72" s="468"/>
      <c r="E72" s="470"/>
      <c r="F72" s="470"/>
      <c r="G72" s="470"/>
      <c r="H72" s="470"/>
      <c r="I72" s="470"/>
      <c r="J72" s="470"/>
      <c r="K72" s="470"/>
      <c r="L72" s="470"/>
      <c r="M72" s="470"/>
      <c r="N72" s="470"/>
      <c r="O72" s="470"/>
      <c r="P72" s="470"/>
      <c r="Q72" s="470"/>
      <c r="R72" s="470"/>
      <c r="S72" s="415" t="s">
        <v>668</v>
      </c>
      <c r="T72" s="415"/>
      <c r="U72" s="415"/>
      <c r="V72" s="415"/>
      <c r="W72" s="415"/>
      <c r="X72" s="415"/>
      <c r="Y72" s="415"/>
      <c r="Z72" s="415"/>
      <c r="AA72" s="415"/>
      <c r="AB72" s="415"/>
      <c r="AC72" s="415"/>
      <c r="AD72" s="415"/>
      <c r="AE72" s="415"/>
      <c r="AF72" s="415"/>
      <c r="AG72" s="415"/>
      <c r="AH72" s="415"/>
      <c r="AI72" s="415"/>
      <c r="AJ72" s="415"/>
      <c r="AK72" s="415"/>
      <c r="AL72" s="415"/>
      <c r="AM72" s="415"/>
      <c r="AN72" s="415"/>
      <c r="AO72" s="415"/>
      <c r="AP72" s="415"/>
      <c r="AQ72" s="415"/>
      <c r="AR72" s="415"/>
    </row>
    <row r="73" spans="1:44">
      <c r="A73" s="468"/>
      <c r="B73" s="468"/>
      <c r="C73" s="468"/>
      <c r="D73" s="468"/>
      <c r="E73" s="470"/>
      <c r="F73" s="470"/>
      <c r="G73" s="470"/>
      <c r="H73" s="470"/>
      <c r="I73" s="470"/>
      <c r="J73" s="470"/>
      <c r="K73" s="470"/>
      <c r="L73" s="470"/>
      <c r="M73" s="470"/>
      <c r="N73" s="470"/>
      <c r="O73" s="470"/>
      <c r="P73" s="470"/>
      <c r="Q73" s="470"/>
      <c r="R73" s="470"/>
      <c r="S73" s="415" t="s">
        <v>669</v>
      </c>
      <c r="T73" s="415"/>
      <c r="U73" s="415"/>
      <c r="V73" s="415"/>
      <c r="W73" s="415"/>
      <c r="X73" s="415"/>
      <c r="Y73" s="415"/>
      <c r="Z73" s="415"/>
      <c r="AA73" s="415"/>
      <c r="AB73" s="415"/>
      <c r="AC73" s="415"/>
      <c r="AD73" s="415"/>
      <c r="AE73" s="415"/>
      <c r="AF73" s="415"/>
      <c r="AG73" s="415"/>
      <c r="AH73" s="415"/>
      <c r="AI73" s="415"/>
      <c r="AJ73" s="415"/>
      <c r="AK73" s="415"/>
      <c r="AL73" s="415"/>
      <c r="AM73" s="415"/>
      <c r="AN73" s="415"/>
      <c r="AO73" s="415"/>
      <c r="AP73" s="415"/>
      <c r="AQ73" s="415"/>
      <c r="AR73" s="415"/>
    </row>
    <row r="74" spans="1:44">
      <c r="A74" s="468"/>
      <c r="B74" s="468"/>
      <c r="C74" s="468"/>
      <c r="D74" s="468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15" t="s">
        <v>670</v>
      </c>
      <c r="T74" s="415"/>
      <c r="U74" s="415"/>
      <c r="V74" s="415"/>
      <c r="W74" s="415"/>
      <c r="X74" s="415"/>
      <c r="Y74" s="415"/>
      <c r="Z74" s="415"/>
      <c r="AA74" s="415"/>
      <c r="AB74" s="415"/>
      <c r="AC74" s="415"/>
      <c r="AD74" s="415"/>
      <c r="AE74" s="415"/>
      <c r="AF74" s="415"/>
      <c r="AG74" s="415"/>
      <c r="AH74" s="415"/>
      <c r="AI74" s="415"/>
      <c r="AJ74" s="415"/>
      <c r="AK74" s="415"/>
      <c r="AL74" s="415"/>
      <c r="AM74" s="415"/>
      <c r="AN74" s="415"/>
      <c r="AO74" s="415"/>
      <c r="AP74" s="415"/>
      <c r="AQ74" s="415"/>
      <c r="AR74" s="415"/>
    </row>
    <row r="75" spans="1:44">
      <c r="A75" s="468"/>
      <c r="B75" s="468"/>
      <c r="C75" s="468"/>
      <c r="D75" s="468"/>
      <c r="E75" s="470"/>
      <c r="F75" s="470"/>
      <c r="G75" s="470"/>
      <c r="H75" s="470"/>
      <c r="I75" s="470"/>
      <c r="J75" s="470"/>
      <c r="K75" s="470"/>
      <c r="L75" s="470"/>
      <c r="M75" s="470"/>
      <c r="N75" s="470"/>
      <c r="O75" s="470"/>
      <c r="P75" s="470"/>
      <c r="Q75" s="470"/>
      <c r="R75" s="470"/>
      <c r="S75" s="415" t="s">
        <v>671</v>
      </c>
      <c r="T75" s="415"/>
      <c r="U75" s="415"/>
      <c r="V75" s="415"/>
      <c r="W75" s="415"/>
      <c r="X75" s="415"/>
      <c r="Y75" s="415"/>
      <c r="Z75" s="415"/>
      <c r="AA75" s="415"/>
      <c r="AB75" s="415"/>
      <c r="AC75" s="415"/>
      <c r="AD75" s="415"/>
      <c r="AE75" s="415"/>
      <c r="AF75" s="415"/>
      <c r="AG75" s="415"/>
      <c r="AH75" s="415"/>
      <c r="AI75" s="415"/>
      <c r="AJ75" s="415"/>
      <c r="AK75" s="415"/>
      <c r="AL75" s="415"/>
      <c r="AM75" s="415"/>
      <c r="AN75" s="415"/>
      <c r="AO75" s="415"/>
      <c r="AP75" s="415"/>
      <c r="AQ75" s="415"/>
      <c r="AR75" s="415"/>
    </row>
    <row r="76" spans="1:44">
      <c r="A76" s="468"/>
      <c r="B76" s="468"/>
      <c r="C76" s="468"/>
      <c r="D76" s="468"/>
      <c r="E76" s="470"/>
      <c r="F76" s="470"/>
      <c r="G76" s="470"/>
      <c r="H76" s="470"/>
      <c r="I76" s="470"/>
      <c r="J76" s="470"/>
      <c r="K76" s="470"/>
      <c r="L76" s="470"/>
      <c r="M76" s="470"/>
      <c r="N76" s="470"/>
      <c r="O76" s="470"/>
      <c r="P76" s="470"/>
      <c r="Q76" s="470"/>
      <c r="R76" s="470"/>
      <c r="S76" s="415" t="s">
        <v>672</v>
      </c>
      <c r="T76" s="415"/>
      <c r="U76" s="415"/>
      <c r="V76" s="415"/>
      <c r="W76" s="415"/>
      <c r="X76" s="415"/>
      <c r="Y76" s="415"/>
      <c r="Z76" s="415"/>
      <c r="AA76" s="415"/>
      <c r="AB76" s="415"/>
      <c r="AC76" s="415"/>
      <c r="AD76" s="415"/>
      <c r="AE76" s="415"/>
      <c r="AF76" s="415"/>
      <c r="AG76" s="415"/>
      <c r="AH76" s="415"/>
      <c r="AI76" s="415"/>
      <c r="AJ76" s="415"/>
      <c r="AK76" s="415"/>
      <c r="AL76" s="415"/>
      <c r="AM76" s="415"/>
      <c r="AN76" s="415"/>
      <c r="AO76" s="415"/>
      <c r="AP76" s="415"/>
      <c r="AQ76" s="415"/>
      <c r="AR76" s="415"/>
    </row>
    <row r="77" spans="1:44">
      <c r="A77" s="468"/>
      <c r="B77" s="468"/>
      <c r="C77" s="468"/>
      <c r="D77" s="468"/>
      <c r="E77" s="470"/>
      <c r="F77" s="470"/>
      <c r="G77" s="470"/>
      <c r="H77" s="470"/>
      <c r="I77" s="470"/>
      <c r="J77" s="470"/>
      <c r="K77" s="470"/>
      <c r="L77" s="470"/>
      <c r="M77" s="470"/>
      <c r="N77" s="470"/>
      <c r="O77" s="470"/>
      <c r="P77" s="470"/>
      <c r="Q77" s="470"/>
      <c r="R77" s="470"/>
      <c r="S77" s="415" t="s">
        <v>673</v>
      </c>
      <c r="T77" s="415"/>
      <c r="U77" s="415"/>
      <c r="V77" s="415"/>
      <c r="W77" s="415"/>
      <c r="X77" s="415"/>
      <c r="Y77" s="415"/>
      <c r="Z77" s="415"/>
      <c r="AA77" s="415"/>
      <c r="AB77" s="415"/>
      <c r="AC77" s="415"/>
      <c r="AD77" s="415"/>
      <c r="AE77" s="415"/>
      <c r="AF77" s="415"/>
      <c r="AG77" s="415"/>
      <c r="AH77" s="415"/>
      <c r="AI77" s="415"/>
      <c r="AJ77" s="415"/>
      <c r="AK77" s="415"/>
      <c r="AL77" s="415"/>
      <c r="AM77" s="415"/>
      <c r="AN77" s="415"/>
      <c r="AO77" s="415"/>
      <c r="AP77" s="415"/>
      <c r="AQ77" s="415"/>
      <c r="AR77" s="415"/>
    </row>
    <row r="78" spans="1:44">
      <c r="A78" s="468"/>
      <c r="B78" s="468"/>
      <c r="C78" s="468"/>
      <c r="D78" s="468"/>
      <c r="E78" s="470"/>
      <c r="F78" s="470"/>
      <c r="G78" s="470"/>
      <c r="H78" s="470"/>
      <c r="I78" s="470"/>
      <c r="J78" s="470"/>
      <c r="K78" s="470"/>
      <c r="L78" s="470"/>
      <c r="M78" s="470"/>
      <c r="N78" s="470"/>
      <c r="O78" s="470"/>
      <c r="P78" s="470"/>
      <c r="Q78" s="470"/>
      <c r="R78" s="470"/>
      <c r="S78" s="415" t="s">
        <v>674</v>
      </c>
      <c r="T78" s="415"/>
      <c r="U78" s="415"/>
      <c r="V78" s="415"/>
      <c r="W78" s="415"/>
      <c r="X78" s="415"/>
      <c r="Y78" s="415"/>
      <c r="Z78" s="415"/>
      <c r="AA78" s="415"/>
      <c r="AB78" s="415"/>
      <c r="AC78" s="415"/>
      <c r="AD78" s="415"/>
      <c r="AE78" s="415"/>
      <c r="AF78" s="415"/>
      <c r="AG78" s="415"/>
      <c r="AH78" s="415"/>
      <c r="AI78" s="415"/>
      <c r="AJ78" s="415"/>
      <c r="AK78" s="415"/>
      <c r="AL78" s="415"/>
      <c r="AM78" s="415"/>
      <c r="AN78" s="415"/>
      <c r="AO78" s="415"/>
      <c r="AP78" s="415"/>
      <c r="AQ78" s="415"/>
      <c r="AR78" s="415"/>
    </row>
    <row r="79" spans="1:44">
      <c r="A79" s="469"/>
      <c r="B79" s="469"/>
      <c r="C79" s="469"/>
      <c r="D79" s="469"/>
      <c r="E79" s="228"/>
      <c r="F79" s="228"/>
      <c r="G79" s="228"/>
      <c r="H79" s="228"/>
      <c r="I79" s="228"/>
      <c r="J79" s="228"/>
      <c r="K79" s="228"/>
      <c r="L79" s="228"/>
      <c r="M79" s="228"/>
      <c r="N79" s="228"/>
      <c r="O79" s="228"/>
      <c r="P79" s="228"/>
      <c r="Q79" s="228"/>
      <c r="R79" s="228"/>
      <c r="S79" s="415" t="s">
        <v>675</v>
      </c>
      <c r="T79" s="415"/>
      <c r="U79" s="415"/>
      <c r="V79" s="415"/>
      <c r="W79" s="415"/>
      <c r="X79" s="415"/>
      <c r="Y79" s="415"/>
      <c r="Z79" s="415"/>
      <c r="AA79" s="415"/>
      <c r="AB79" s="415"/>
      <c r="AC79" s="415"/>
      <c r="AD79" s="415"/>
      <c r="AE79" s="415"/>
      <c r="AF79" s="415"/>
      <c r="AG79" s="415"/>
      <c r="AH79" s="415"/>
      <c r="AI79" s="415"/>
      <c r="AJ79" s="415"/>
      <c r="AK79" s="415"/>
      <c r="AL79" s="415"/>
      <c r="AM79" s="415"/>
      <c r="AN79" s="415"/>
      <c r="AO79" s="415"/>
      <c r="AP79" s="415"/>
      <c r="AQ79" s="415"/>
      <c r="AR79" s="415"/>
    </row>
    <row r="80" spans="1:44" ht="14.4" customHeight="1">
      <c r="A80" s="187" t="s">
        <v>676</v>
      </c>
      <c r="B80" s="187"/>
      <c r="C80" s="187"/>
      <c r="D80" s="187"/>
      <c r="E80" s="191" t="s">
        <v>677</v>
      </c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415" t="s">
        <v>678</v>
      </c>
      <c r="T80" s="415"/>
      <c r="U80" s="415"/>
      <c r="V80" s="415"/>
      <c r="W80" s="415"/>
      <c r="X80" s="415"/>
      <c r="Y80" s="415"/>
      <c r="Z80" s="415"/>
      <c r="AA80" s="415"/>
      <c r="AB80" s="415"/>
      <c r="AC80" s="415"/>
      <c r="AD80" s="415"/>
      <c r="AE80" s="415"/>
      <c r="AF80" s="415"/>
      <c r="AG80" s="415"/>
      <c r="AH80" s="415"/>
      <c r="AI80" s="415"/>
      <c r="AJ80" s="415"/>
      <c r="AK80" s="415"/>
      <c r="AL80" s="415"/>
      <c r="AM80" s="415"/>
      <c r="AN80" s="415"/>
      <c r="AO80" s="415"/>
      <c r="AP80" s="415"/>
      <c r="AQ80" s="415"/>
      <c r="AR80" s="415"/>
    </row>
    <row r="81" spans="1:44">
      <c r="A81" s="187"/>
      <c r="B81" s="187"/>
      <c r="C81" s="187"/>
      <c r="D81" s="187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415" t="s">
        <v>679</v>
      </c>
      <c r="T81" s="415"/>
      <c r="U81" s="415"/>
      <c r="V81" s="415"/>
      <c r="W81" s="415"/>
      <c r="X81" s="415"/>
      <c r="Y81" s="415"/>
      <c r="Z81" s="415"/>
      <c r="AA81" s="415"/>
      <c r="AB81" s="415"/>
      <c r="AC81" s="415"/>
      <c r="AD81" s="415"/>
      <c r="AE81" s="415"/>
      <c r="AF81" s="415"/>
      <c r="AG81" s="415"/>
      <c r="AH81" s="415"/>
      <c r="AI81" s="415"/>
      <c r="AJ81" s="415"/>
      <c r="AK81" s="415"/>
      <c r="AL81" s="415"/>
      <c r="AM81" s="415"/>
      <c r="AN81" s="415"/>
      <c r="AO81" s="415"/>
      <c r="AP81" s="415"/>
      <c r="AQ81" s="415"/>
      <c r="AR81" s="415"/>
    </row>
    <row r="82" spans="1:44">
      <c r="A82" s="187"/>
      <c r="B82" s="187"/>
      <c r="C82" s="187"/>
      <c r="D82" s="187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415" t="s">
        <v>680</v>
      </c>
      <c r="T82" s="415"/>
      <c r="U82" s="415"/>
      <c r="V82" s="415"/>
      <c r="W82" s="415"/>
      <c r="X82" s="415"/>
      <c r="Y82" s="415"/>
      <c r="Z82" s="415"/>
      <c r="AA82" s="415"/>
      <c r="AB82" s="415"/>
      <c r="AC82" s="415"/>
      <c r="AD82" s="415"/>
      <c r="AE82" s="415"/>
      <c r="AF82" s="415"/>
      <c r="AG82" s="415"/>
      <c r="AH82" s="415"/>
      <c r="AI82" s="415"/>
      <c r="AJ82" s="415"/>
      <c r="AK82" s="415"/>
      <c r="AL82" s="415"/>
      <c r="AM82" s="415"/>
      <c r="AN82" s="415"/>
      <c r="AO82" s="415"/>
      <c r="AP82" s="415"/>
      <c r="AQ82" s="415"/>
      <c r="AR82" s="415"/>
    </row>
    <row r="83" spans="1:44">
      <c r="A83" s="187"/>
      <c r="B83" s="187"/>
      <c r="C83" s="187"/>
      <c r="D83" s="187"/>
      <c r="E83" s="191"/>
      <c r="F83" s="191"/>
      <c r="G83" s="191"/>
      <c r="H83" s="191"/>
      <c r="I83" s="191"/>
      <c r="J83" s="191"/>
      <c r="K83" s="191"/>
      <c r="L83" s="191"/>
      <c r="M83" s="191"/>
      <c r="N83" s="191"/>
      <c r="O83" s="191"/>
      <c r="P83" s="191"/>
      <c r="Q83" s="191"/>
      <c r="R83" s="191"/>
      <c r="S83" s="415" t="s">
        <v>681</v>
      </c>
      <c r="T83" s="415"/>
      <c r="U83" s="415"/>
      <c r="V83" s="415"/>
      <c r="W83" s="415"/>
      <c r="X83" s="415"/>
      <c r="Y83" s="415"/>
      <c r="Z83" s="415"/>
      <c r="AA83" s="415"/>
      <c r="AB83" s="415"/>
      <c r="AC83" s="415"/>
      <c r="AD83" s="415"/>
      <c r="AE83" s="415"/>
      <c r="AF83" s="415"/>
      <c r="AG83" s="415"/>
      <c r="AH83" s="415"/>
      <c r="AI83" s="415"/>
      <c r="AJ83" s="415"/>
      <c r="AK83" s="415"/>
      <c r="AL83" s="415"/>
      <c r="AM83" s="415"/>
      <c r="AN83" s="415"/>
      <c r="AO83" s="415"/>
      <c r="AP83" s="415"/>
      <c r="AQ83" s="415"/>
      <c r="AR83" s="415"/>
    </row>
    <row r="84" spans="1:44">
      <c r="A84" s="187"/>
      <c r="B84" s="187"/>
      <c r="C84" s="187"/>
      <c r="D84" s="187"/>
      <c r="E84" s="191"/>
      <c r="F84" s="191"/>
      <c r="G84" s="191"/>
      <c r="H84" s="191"/>
      <c r="I84" s="191"/>
      <c r="J84" s="191"/>
      <c r="K84" s="191"/>
      <c r="L84" s="191"/>
      <c r="M84" s="191"/>
      <c r="N84" s="191"/>
      <c r="O84" s="191"/>
      <c r="P84" s="191"/>
      <c r="Q84" s="191"/>
      <c r="R84" s="191"/>
      <c r="S84" s="415" t="s">
        <v>682</v>
      </c>
      <c r="T84" s="415"/>
      <c r="U84" s="415"/>
      <c r="V84" s="415"/>
      <c r="W84" s="415"/>
      <c r="X84" s="415"/>
      <c r="Y84" s="415"/>
      <c r="Z84" s="415"/>
      <c r="AA84" s="415"/>
      <c r="AB84" s="415"/>
      <c r="AC84" s="415"/>
      <c r="AD84" s="415"/>
      <c r="AE84" s="415"/>
      <c r="AF84" s="415"/>
      <c r="AG84" s="415"/>
      <c r="AH84" s="415"/>
      <c r="AI84" s="415"/>
      <c r="AJ84" s="415"/>
      <c r="AK84" s="415"/>
      <c r="AL84" s="415"/>
      <c r="AM84" s="415"/>
      <c r="AN84" s="415"/>
      <c r="AO84" s="415"/>
      <c r="AP84" s="415"/>
      <c r="AQ84" s="415"/>
      <c r="AR84" s="415"/>
    </row>
    <row r="85" spans="1:44">
      <c r="A85" s="187"/>
      <c r="B85" s="187"/>
      <c r="C85" s="187"/>
      <c r="D85" s="187"/>
      <c r="E85" s="191"/>
      <c r="F85" s="191"/>
      <c r="G85" s="191"/>
      <c r="H85" s="191"/>
      <c r="I85" s="191"/>
      <c r="J85" s="191"/>
      <c r="K85" s="191"/>
      <c r="L85" s="191"/>
      <c r="M85" s="191"/>
      <c r="N85" s="191"/>
      <c r="O85" s="191"/>
      <c r="P85" s="191"/>
      <c r="Q85" s="191"/>
      <c r="R85" s="191"/>
      <c r="S85" s="415" t="s">
        <v>683</v>
      </c>
      <c r="T85" s="415"/>
      <c r="U85" s="415"/>
      <c r="V85" s="415"/>
      <c r="W85" s="415"/>
      <c r="X85" s="415"/>
      <c r="Y85" s="415"/>
      <c r="Z85" s="415"/>
      <c r="AA85" s="415"/>
      <c r="AB85" s="415"/>
      <c r="AC85" s="415"/>
      <c r="AD85" s="415"/>
      <c r="AE85" s="415"/>
      <c r="AF85" s="415"/>
      <c r="AG85" s="415"/>
      <c r="AH85" s="415"/>
      <c r="AI85" s="415"/>
      <c r="AJ85" s="415"/>
      <c r="AK85" s="415"/>
      <c r="AL85" s="415"/>
      <c r="AM85" s="415"/>
      <c r="AN85" s="415"/>
      <c r="AO85" s="415"/>
      <c r="AP85" s="415"/>
      <c r="AQ85" s="415"/>
      <c r="AR85" s="415"/>
    </row>
    <row r="87" spans="1:44" s="33" customFormat="1">
      <c r="A87" s="33" t="s">
        <v>684</v>
      </c>
    </row>
    <row r="88" spans="1:44" s="35" customFormat="1">
      <c r="A88" s="35" t="s">
        <v>69</v>
      </c>
    </row>
    <row r="89" spans="1:44">
      <c r="A89" s="465" t="s">
        <v>685</v>
      </c>
      <c r="B89" s="465"/>
      <c r="C89" s="465"/>
      <c r="D89" s="130" t="s">
        <v>686</v>
      </c>
      <c r="E89" s="465" t="s">
        <v>687</v>
      </c>
      <c r="F89" s="465"/>
      <c r="G89" s="465" t="s">
        <v>688</v>
      </c>
      <c r="H89" s="465"/>
      <c r="I89" s="465" t="s">
        <v>689</v>
      </c>
      <c r="J89" s="465"/>
      <c r="K89" s="465" t="s">
        <v>690</v>
      </c>
      <c r="L89" s="465"/>
      <c r="M89" s="177" t="s">
        <v>24</v>
      </c>
      <c r="N89" s="177"/>
      <c r="O89" s="177" t="s">
        <v>76</v>
      </c>
      <c r="P89" s="177"/>
      <c r="Q89" s="177" t="s">
        <v>531</v>
      </c>
      <c r="R89" s="177"/>
      <c r="S89" s="177" t="s">
        <v>532</v>
      </c>
      <c r="T89" s="177"/>
    </row>
    <row r="90" spans="1:44" ht="15" thickBot="1">
      <c r="A90" s="358">
        <v>3</v>
      </c>
      <c r="B90" s="358"/>
      <c r="C90" s="358"/>
      <c r="D90" s="131">
        <v>0.15</v>
      </c>
      <c r="E90" s="169">
        <v>0.18</v>
      </c>
      <c r="F90" s="169"/>
      <c r="G90" s="169">
        <v>0.08</v>
      </c>
      <c r="H90" s="169"/>
      <c r="I90" s="416">
        <f>A90*D90</f>
        <v>0.44999999999999996</v>
      </c>
      <c r="J90" s="416"/>
      <c r="K90" s="463">
        <f>I90*((1+G90)^10)*((1+E90)^10)</f>
        <v>5.0847562839198543</v>
      </c>
      <c r="L90" s="464"/>
      <c r="M90" s="167">
        <v>0.35</v>
      </c>
      <c r="N90" s="167"/>
      <c r="O90" s="167">
        <v>0.05</v>
      </c>
      <c r="P90" s="167"/>
      <c r="Q90" s="168">
        <f>PRODUCT(M90:P90,I90)*1000</f>
        <v>7.8749999999999982</v>
      </c>
      <c r="R90" s="168"/>
      <c r="S90" s="168">
        <f>PRODUCT(M90:P90,K90)*1000</f>
        <v>88.983234968597444</v>
      </c>
      <c r="T90" s="168"/>
    </row>
    <row r="91" spans="1:44" ht="15" thickTop="1"/>
    <row r="92" spans="1:44" s="33" customFormat="1">
      <c r="A92" s="33" t="s">
        <v>691</v>
      </c>
    </row>
    <row r="93" spans="1:44" s="35" customFormat="1">
      <c r="A93" s="35" t="s">
        <v>69</v>
      </c>
    </row>
    <row r="94" spans="1:44">
      <c r="A94" s="132" t="s">
        <v>116</v>
      </c>
      <c r="B94" s="461" t="s">
        <v>692</v>
      </c>
      <c r="C94" s="462"/>
      <c r="D94" s="132" t="s">
        <v>19</v>
      </c>
      <c r="E94" s="461" t="s">
        <v>693</v>
      </c>
      <c r="F94" s="462"/>
      <c r="G94" s="132" t="s">
        <v>19</v>
      </c>
      <c r="H94" s="461" t="s">
        <v>694</v>
      </c>
      <c r="I94" s="462"/>
      <c r="J94" s="132" t="s">
        <v>19</v>
      </c>
      <c r="K94" s="132" t="s">
        <v>695</v>
      </c>
      <c r="L94" s="177" t="s">
        <v>24</v>
      </c>
      <c r="M94" s="177"/>
      <c r="N94" s="177" t="s">
        <v>76</v>
      </c>
      <c r="O94" s="177"/>
      <c r="P94" s="177" t="s">
        <v>696</v>
      </c>
      <c r="Q94" s="177"/>
    </row>
    <row r="95" spans="1:44" ht="15" thickBot="1">
      <c r="A95" s="133">
        <v>2025</v>
      </c>
      <c r="B95" s="460">
        <f>SUM(E95,H95)</f>
        <v>3.3</v>
      </c>
      <c r="C95" s="460"/>
      <c r="D95" s="134">
        <f xml:space="preserve"> B95/83*1000</f>
        <v>39.75903614457831</v>
      </c>
      <c r="E95" s="460">
        <v>2.4750000000000001</v>
      </c>
      <c r="F95" s="460"/>
      <c r="G95" s="135">
        <f xml:space="preserve"> E95/83*1000</f>
        <v>29.819277108433734</v>
      </c>
      <c r="H95" s="460">
        <v>0.82499999999999996</v>
      </c>
      <c r="I95" s="460"/>
      <c r="J95" s="135">
        <f xml:space="preserve"> H95/83*1000</f>
        <v>9.9397590361445776</v>
      </c>
      <c r="K95" s="136">
        <v>0.08</v>
      </c>
      <c r="L95" s="167">
        <v>0.15</v>
      </c>
      <c r="M95" s="167"/>
      <c r="N95" s="167">
        <v>0.05</v>
      </c>
      <c r="O95" s="167"/>
      <c r="P95" s="168">
        <f>PRODUCT(L95:O95,D95)*1000</f>
        <v>298.19277108433732</v>
      </c>
      <c r="Q95" s="168"/>
    </row>
    <row r="96" spans="1:44" ht="15.6" thickTop="1" thickBot="1">
      <c r="A96" s="133">
        <v>2035</v>
      </c>
      <c r="B96" s="460">
        <f>SUM(E96,H96)</f>
        <v>7.1244524910001994</v>
      </c>
      <c r="C96" s="460"/>
      <c r="D96" s="134">
        <f xml:space="preserve"> B96/83*1000</f>
        <v>85.8367770000024</v>
      </c>
      <c r="E96" s="460">
        <f xml:space="preserve"> E95*(1+K95)^10</f>
        <v>5.3433393682501498</v>
      </c>
      <c r="F96" s="460"/>
      <c r="G96" s="135">
        <f xml:space="preserve"> G95*(1+K95)^10</f>
        <v>64.377582750001807</v>
      </c>
      <c r="H96" s="460">
        <f xml:space="preserve"> H95*(1+K95)^10</f>
        <v>1.7811131227500498</v>
      </c>
      <c r="I96" s="460"/>
      <c r="J96" s="135">
        <f xml:space="preserve"> H96/83*1000</f>
        <v>21.4591942500006</v>
      </c>
      <c r="K96" s="136">
        <v>0.08</v>
      </c>
      <c r="L96" s="167">
        <v>0.3</v>
      </c>
      <c r="M96" s="167"/>
      <c r="N96" s="167">
        <v>0.05</v>
      </c>
      <c r="O96" s="167"/>
      <c r="P96" s="168">
        <f xml:space="preserve"> PRODUCT(L96:O96,D96)*1000</f>
        <v>1287.5516550000359</v>
      </c>
      <c r="Q96" s="168"/>
    </row>
    <row r="97" spans="1:14" ht="15" thickTop="1"/>
    <row r="98" spans="1:14" s="3" customFormat="1">
      <c r="A98" s="2" t="s">
        <v>144</v>
      </c>
    </row>
    <row r="99" spans="1:14">
      <c r="A99" s="52" t="s">
        <v>116</v>
      </c>
      <c r="B99" s="52"/>
      <c r="D99" s="53">
        <f>DATE(2025, 4, 1)</f>
        <v>45748</v>
      </c>
      <c r="E99" s="53">
        <f>EDATE(D99, 12)</f>
        <v>46113</v>
      </c>
      <c r="F99" s="53">
        <f t="shared" ref="F99:N99" si="1">EDATE(E99, 12)</f>
        <v>46478</v>
      </c>
      <c r="G99" s="53">
        <f t="shared" si="1"/>
        <v>46844</v>
      </c>
      <c r="H99" s="53">
        <f t="shared" si="1"/>
        <v>47209</v>
      </c>
      <c r="I99" s="53">
        <f t="shared" si="1"/>
        <v>47574</v>
      </c>
      <c r="J99" s="53">
        <f t="shared" si="1"/>
        <v>47939</v>
      </c>
      <c r="K99" s="53">
        <f t="shared" si="1"/>
        <v>48305</v>
      </c>
      <c r="L99" s="53">
        <f t="shared" si="1"/>
        <v>48670</v>
      </c>
      <c r="M99" s="53">
        <f>EDATE(L99, 12)</f>
        <v>49035</v>
      </c>
      <c r="N99" s="53">
        <f t="shared" si="1"/>
        <v>49400</v>
      </c>
    </row>
    <row r="100" spans="1:14">
      <c r="A100" s="52" t="s">
        <v>131</v>
      </c>
      <c r="B100" s="52"/>
      <c r="D100" s="54">
        <v>0</v>
      </c>
      <c r="E100" s="54">
        <v>1</v>
      </c>
      <c r="F100" s="54">
        <v>2</v>
      </c>
      <c r="G100" s="54">
        <v>3</v>
      </c>
      <c r="H100" s="54">
        <v>4</v>
      </c>
      <c r="I100" s="54">
        <v>5</v>
      </c>
      <c r="J100" s="54">
        <v>6</v>
      </c>
      <c r="K100" s="54">
        <v>7</v>
      </c>
      <c r="L100" s="54">
        <v>8</v>
      </c>
      <c r="M100" s="54">
        <v>9</v>
      </c>
      <c r="N100" s="54">
        <v>10</v>
      </c>
    </row>
    <row r="102" spans="1:14">
      <c r="A102" s="55" t="s">
        <v>132</v>
      </c>
      <c r="B102" s="55"/>
      <c r="D102" s="56">
        <f>Q49</f>
        <v>306.11233700000003</v>
      </c>
      <c r="E102" s="56">
        <f>D102*(1+E103)</f>
        <v>489.77973920000005</v>
      </c>
      <c r="F102" s="56">
        <f t="shared" ref="F102:N102" si="2">E102*(1+F103)</f>
        <v>734.66960880000011</v>
      </c>
      <c r="G102" s="56">
        <f t="shared" si="2"/>
        <v>1028.5374523200001</v>
      </c>
      <c r="H102" s="56">
        <f t="shared" si="2"/>
        <v>1234.2449427839999</v>
      </c>
      <c r="I102" s="56">
        <f t="shared" si="2"/>
        <v>1419.3816842015999</v>
      </c>
      <c r="J102" s="56">
        <f t="shared" si="2"/>
        <v>1618.0951199898241</v>
      </c>
      <c r="K102" s="56">
        <f t="shared" si="2"/>
        <v>1763.7236807889083</v>
      </c>
      <c r="L102" s="56">
        <f t="shared" si="2"/>
        <v>1904.8215752520211</v>
      </c>
      <c r="M102" s="56">
        <f t="shared" si="2"/>
        <v>1981.014438262102</v>
      </c>
      <c r="N102" s="56">
        <f t="shared" si="2"/>
        <v>2020.6347270273441</v>
      </c>
    </row>
    <row r="103" spans="1:14" s="58" customFormat="1" ht="12">
      <c r="A103" s="164" t="s">
        <v>133</v>
      </c>
      <c r="B103" s="164"/>
      <c r="D103" s="59"/>
      <c r="E103" s="59">
        <v>0.6</v>
      </c>
      <c r="F103" s="59">
        <v>0.5</v>
      </c>
      <c r="G103" s="59">
        <v>0.4</v>
      </c>
      <c r="H103" s="59">
        <v>0.2</v>
      </c>
      <c r="I103" s="59">
        <v>0.15</v>
      </c>
      <c r="J103" s="59">
        <v>0.14000000000000001</v>
      </c>
      <c r="K103" s="59">
        <v>0.09</v>
      </c>
      <c r="L103" s="59">
        <v>0.08</v>
      </c>
      <c r="M103" s="59">
        <v>0.04</v>
      </c>
      <c r="N103" s="59">
        <v>0.02</v>
      </c>
    </row>
    <row r="104" spans="1:14">
      <c r="A104" s="55"/>
      <c r="B104" s="55"/>
    </row>
    <row r="105" spans="1:14">
      <c r="A105" s="55" t="s">
        <v>134</v>
      </c>
      <c r="B105" s="55"/>
      <c r="D105" s="56">
        <f>D102*D106</f>
        <v>214.27863590000001</v>
      </c>
      <c r="E105" s="56">
        <f t="shared" ref="E105:N105" si="3">E102*E106</f>
        <v>335.49912135200009</v>
      </c>
      <c r="F105" s="56">
        <f t="shared" si="3"/>
        <v>492.22863789600012</v>
      </c>
      <c r="G105" s="56">
        <f t="shared" si="3"/>
        <v>673.69203126960008</v>
      </c>
      <c r="H105" s="56">
        <f t="shared" si="3"/>
        <v>789.91676338176001</v>
      </c>
      <c r="I105" s="56">
        <f t="shared" si="3"/>
        <v>887.113552626</v>
      </c>
      <c r="J105" s="56">
        <f t="shared" si="3"/>
        <v>987.03802319379429</v>
      </c>
      <c r="K105" s="56">
        <f t="shared" si="3"/>
        <v>1049.4155900694022</v>
      </c>
      <c r="L105" s="56">
        <f t="shared" si="3"/>
        <v>1104.7965136461742</v>
      </c>
      <c r="M105" s="56">
        <f t="shared" si="3"/>
        <v>1119.2731576180895</v>
      </c>
      <c r="N105" s="56">
        <f t="shared" si="3"/>
        <v>1111.3490998650414</v>
      </c>
    </row>
    <row r="106" spans="1:14" s="58" customFormat="1">
      <c r="A106" s="164" t="s">
        <v>135</v>
      </c>
      <c r="B106" s="164"/>
      <c r="D106" s="94">
        <v>0.7</v>
      </c>
      <c r="E106" s="94">
        <v>0.68500000000000005</v>
      </c>
      <c r="F106" s="94">
        <v>0.67</v>
      </c>
      <c r="G106" s="94">
        <v>0.65500000000000003</v>
      </c>
      <c r="H106" s="94">
        <v>0.64</v>
      </c>
      <c r="I106" s="94">
        <v>0.625</v>
      </c>
      <c r="J106" s="94">
        <v>0.61000000000000099</v>
      </c>
      <c r="K106" s="94">
        <v>0.59500000000000097</v>
      </c>
      <c r="L106" s="94">
        <v>0.58000000000000096</v>
      </c>
      <c r="M106" s="94">
        <v>0.56500000000000095</v>
      </c>
      <c r="N106" s="94">
        <v>0.55000000000000104</v>
      </c>
    </row>
    <row r="108" spans="1:14">
      <c r="A108" s="92" t="s">
        <v>136</v>
      </c>
      <c r="B108" s="92"/>
      <c r="D108" s="56">
        <f xml:space="preserve"> D102-D105</f>
        <v>91.833701100000013</v>
      </c>
      <c r="E108" s="56">
        <f t="shared" ref="E108:N108" si="4" xml:space="preserve"> E102-E105</f>
        <v>154.28061784799996</v>
      </c>
      <c r="F108" s="56">
        <f t="shared" si="4"/>
        <v>242.44097090399998</v>
      </c>
      <c r="G108" s="56">
        <f t="shared" si="4"/>
        <v>354.84542105039998</v>
      </c>
      <c r="H108" s="56">
        <f t="shared" si="4"/>
        <v>444.32817940223993</v>
      </c>
      <c r="I108" s="56">
        <f t="shared" si="4"/>
        <v>532.26813157559991</v>
      </c>
      <c r="J108" s="56">
        <f t="shared" si="4"/>
        <v>631.05709679602978</v>
      </c>
      <c r="K108" s="56">
        <f t="shared" si="4"/>
        <v>714.30809071950603</v>
      </c>
      <c r="L108" s="56">
        <f t="shared" si="4"/>
        <v>800.02506160584699</v>
      </c>
      <c r="M108" s="56">
        <f t="shared" si="4"/>
        <v>861.74128064401248</v>
      </c>
      <c r="N108" s="56">
        <f t="shared" si="4"/>
        <v>909.28562716230272</v>
      </c>
    </row>
    <row r="109" spans="1:14" s="58" customFormat="1" ht="12">
      <c r="A109" s="262" t="s">
        <v>135</v>
      </c>
      <c r="B109" s="262"/>
      <c r="D109" s="59">
        <f>D108/D102</f>
        <v>0.30000000000000004</v>
      </c>
      <c r="E109" s="59">
        <f t="shared" ref="E109:N109" si="5">E108/E102</f>
        <v>0.31499999999999989</v>
      </c>
      <c r="F109" s="59">
        <f t="shared" si="5"/>
        <v>0.3299999999999999</v>
      </c>
      <c r="G109" s="59">
        <f t="shared" si="5"/>
        <v>0.34499999999999997</v>
      </c>
      <c r="H109" s="59">
        <f t="shared" si="5"/>
        <v>0.36</v>
      </c>
      <c r="I109" s="59">
        <f t="shared" si="5"/>
        <v>0.37499999999999994</v>
      </c>
      <c r="J109" s="59">
        <f t="shared" si="5"/>
        <v>0.38999999999999901</v>
      </c>
      <c r="K109" s="59">
        <f t="shared" si="5"/>
        <v>0.40499999999999897</v>
      </c>
      <c r="L109" s="59">
        <f t="shared" si="5"/>
        <v>0.41999999999999899</v>
      </c>
      <c r="M109" s="59">
        <f t="shared" si="5"/>
        <v>0.43499999999999905</v>
      </c>
      <c r="N109" s="59">
        <f t="shared" si="5"/>
        <v>0.44999999999999896</v>
      </c>
    </row>
    <row r="111" spans="1:14">
      <c r="A111" s="55" t="s">
        <v>137</v>
      </c>
      <c r="B111" s="55"/>
      <c r="D111" s="56">
        <f>D102*D112</f>
        <v>11.4792126375</v>
      </c>
      <c r="E111" s="56">
        <f t="shared" ref="E111:N111" si="6">E102*E112</f>
        <v>17.6320706112</v>
      </c>
      <c r="F111" s="56">
        <f t="shared" si="6"/>
        <v>25.346101503600007</v>
      </c>
      <c r="G111" s="56">
        <f t="shared" si="6"/>
        <v>33.941735926560007</v>
      </c>
      <c r="H111" s="56">
        <f t="shared" si="6"/>
        <v>38.878715697695995</v>
      </c>
      <c r="I111" s="56">
        <f t="shared" si="6"/>
        <v>42.581450526047995</v>
      </c>
      <c r="J111" s="56">
        <f t="shared" si="6"/>
        <v>46.115710919709983</v>
      </c>
      <c r="K111" s="56">
        <f t="shared" si="6"/>
        <v>47.620539381300524</v>
      </c>
      <c r="L111" s="56">
        <f t="shared" si="6"/>
        <v>48.572950168926546</v>
      </c>
      <c r="M111" s="56">
        <f t="shared" si="6"/>
        <v>47.544346518290446</v>
      </c>
      <c r="N111" s="56">
        <f t="shared" si="6"/>
        <v>45.464281358115237</v>
      </c>
    </row>
    <row r="112" spans="1:14" s="58" customFormat="1" ht="12">
      <c r="A112" s="164" t="s">
        <v>135</v>
      </c>
      <c r="B112" s="164"/>
      <c r="D112" s="59">
        <f>15%*D118</f>
        <v>3.7499999999999999E-2</v>
      </c>
      <c r="E112" s="59">
        <f t="shared" ref="E112:N112" si="7">15%*E118</f>
        <v>3.5999999999999997E-2</v>
      </c>
      <c r="F112" s="59">
        <f t="shared" si="7"/>
        <v>3.4500000000000003E-2</v>
      </c>
      <c r="G112" s="59">
        <f t="shared" si="7"/>
        <v>3.3000000000000002E-2</v>
      </c>
      <c r="H112" s="59">
        <f t="shared" si="7"/>
        <v>3.15E-2</v>
      </c>
      <c r="I112" s="59">
        <f t="shared" si="7"/>
        <v>0.03</v>
      </c>
      <c r="J112" s="59">
        <f t="shared" si="7"/>
        <v>2.8499999999999998E-2</v>
      </c>
      <c r="K112" s="59">
        <f t="shared" si="7"/>
        <v>2.7E-2</v>
      </c>
      <c r="L112" s="59">
        <f t="shared" si="7"/>
        <v>2.5500000000000002E-2</v>
      </c>
      <c r="M112" s="59">
        <f t="shared" si="7"/>
        <v>2.4E-2</v>
      </c>
      <c r="N112" s="59">
        <f t="shared" si="7"/>
        <v>2.2499999999999999E-2</v>
      </c>
    </row>
    <row r="113" spans="1:14">
      <c r="A113" s="55" t="s">
        <v>450</v>
      </c>
      <c r="B113" s="55"/>
      <c r="D113" s="56">
        <f>D102*D114</f>
        <v>49.743254762500008</v>
      </c>
      <c r="E113" s="56">
        <f t="shared" ref="E113:N113" si="8">E102*E114</f>
        <v>76.405639315200006</v>
      </c>
      <c r="F113" s="56">
        <f t="shared" si="8"/>
        <v>109.83310651560004</v>
      </c>
      <c r="G113" s="56">
        <f t="shared" si="8"/>
        <v>147.08085568176003</v>
      </c>
      <c r="H113" s="56">
        <f t="shared" si="8"/>
        <v>168.47443469001601</v>
      </c>
      <c r="I113" s="56">
        <f t="shared" si="8"/>
        <v>184.519618946208</v>
      </c>
      <c r="J113" s="56">
        <f t="shared" si="8"/>
        <v>199.8347473187433</v>
      </c>
      <c r="K113" s="56">
        <f t="shared" si="8"/>
        <v>206.35567065230225</v>
      </c>
      <c r="L113" s="56">
        <f t="shared" si="8"/>
        <v>210.48278406534837</v>
      </c>
      <c r="M113" s="56">
        <f t="shared" si="8"/>
        <v>206.02550157925862</v>
      </c>
      <c r="N113" s="56">
        <f t="shared" si="8"/>
        <v>197.01188588516607</v>
      </c>
    </row>
    <row r="114" spans="1:14" s="58" customFormat="1" ht="12">
      <c r="A114" s="164" t="s">
        <v>135</v>
      </c>
      <c r="B114" s="164"/>
      <c r="D114" s="59">
        <f>65%*D118</f>
        <v>0.16250000000000001</v>
      </c>
      <c r="E114" s="59">
        <f t="shared" ref="E114:N114" si="9">65%*E118</f>
        <v>0.156</v>
      </c>
      <c r="F114" s="59">
        <f t="shared" si="9"/>
        <v>0.14950000000000002</v>
      </c>
      <c r="G114" s="59">
        <f t="shared" si="9"/>
        <v>0.14300000000000002</v>
      </c>
      <c r="H114" s="59">
        <f t="shared" si="9"/>
        <v>0.13650000000000001</v>
      </c>
      <c r="I114" s="59">
        <f t="shared" si="9"/>
        <v>0.13</v>
      </c>
      <c r="J114" s="59">
        <f t="shared" si="9"/>
        <v>0.12350000000000001</v>
      </c>
      <c r="K114" s="59">
        <f t="shared" si="9"/>
        <v>0.11699999999999999</v>
      </c>
      <c r="L114" s="59">
        <f t="shared" si="9"/>
        <v>0.11050000000000001</v>
      </c>
      <c r="M114" s="59">
        <f t="shared" si="9"/>
        <v>0.10400000000000001</v>
      </c>
      <c r="N114" s="59">
        <f t="shared" si="9"/>
        <v>9.7500000000000003E-2</v>
      </c>
    </row>
    <row r="115" spans="1:14">
      <c r="A115" s="55" t="s">
        <v>138</v>
      </c>
      <c r="B115" s="55"/>
      <c r="D115" s="56">
        <f t="shared" ref="D115:N115" si="10">D102*D116</f>
        <v>15.305616850000002</v>
      </c>
      <c r="E115" s="56">
        <f t="shared" si="10"/>
        <v>23.509427481600003</v>
      </c>
      <c r="F115" s="56">
        <f t="shared" si="10"/>
        <v>33.794802004800012</v>
      </c>
      <c r="G115" s="56">
        <f t="shared" si="10"/>
        <v>45.255647902080007</v>
      </c>
      <c r="H115" s="56">
        <f t="shared" si="10"/>
        <v>51.838287596927998</v>
      </c>
      <c r="I115" s="56">
        <f t="shared" si="10"/>
        <v>56.775267368064007</v>
      </c>
      <c r="J115" s="56">
        <f t="shared" si="10"/>
        <v>61.487614559613327</v>
      </c>
      <c r="K115" s="56">
        <f t="shared" si="10"/>
        <v>63.494052508400692</v>
      </c>
      <c r="L115" s="56">
        <f t="shared" si="10"/>
        <v>64.763933558568723</v>
      </c>
      <c r="M115" s="56">
        <f t="shared" si="10"/>
        <v>63.392462024387264</v>
      </c>
      <c r="N115" s="56">
        <f t="shared" si="10"/>
        <v>60.61904181082032</v>
      </c>
    </row>
    <row r="116" spans="1:14" s="58" customFormat="1" ht="12">
      <c r="A116" s="164" t="s">
        <v>135</v>
      </c>
      <c r="B116" s="164"/>
      <c r="D116" s="59">
        <f>20%*D118</f>
        <v>0.05</v>
      </c>
      <c r="E116" s="59">
        <f t="shared" ref="E116:N116" si="11">20%*E118</f>
        <v>4.8000000000000001E-2</v>
      </c>
      <c r="F116" s="59">
        <f t="shared" si="11"/>
        <v>4.6000000000000006E-2</v>
      </c>
      <c r="G116" s="59">
        <f t="shared" si="11"/>
        <v>4.4000000000000004E-2</v>
      </c>
      <c r="H116" s="59">
        <f t="shared" si="11"/>
        <v>4.2000000000000003E-2</v>
      </c>
      <c r="I116" s="59">
        <f t="shared" si="11"/>
        <v>4.0000000000000008E-2</v>
      </c>
      <c r="J116" s="59">
        <f t="shared" si="11"/>
        <v>3.8000000000000006E-2</v>
      </c>
      <c r="K116" s="59">
        <f t="shared" si="11"/>
        <v>3.5999999999999997E-2</v>
      </c>
      <c r="L116" s="59">
        <f t="shared" si="11"/>
        <v>3.4000000000000002E-2</v>
      </c>
      <c r="M116" s="59">
        <f t="shared" si="11"/>
        <v>3.2000000000000001E-2</v>
      </c>
      <c r="N116" s="59">
        <f t="shared" si="11"/>
        <v>0.03</v>
      </c>
    </row>
    <row r="117" spans="1:14" s="58" customFormat="1">
      <c r="A117" s="55" t="s">
        <v>452</v>
      </c>
      <c r="B117" s="55"/>
      <c r="D117" s="56">
        <f t="shared" ref="D117:N117" si="12">D118*D102</f>
        <v>76.528084250000006</v>
      </c>
      <c r="E117" s="56">
        <f t="shared" si="12"/>
        <v>117.54713740800001</v>
      </c>
      <c r="F117" s="56">
        <f t="shared" si="12"/>
        <v>168.97401002400002</v>
      </c>
      <c r="G117" s="56">
        <f t="shared" si="12"/>
        <v>226.27823951040003</v>
      </c>
      <c r="H117" s="56">
        <f t="shared" si="12"/>
        <v>259.19143798464</v>
      </c>
      <c r="I117" s="56">
        <f t="shared" si="12"/>
        <v>283.87633684031999</v>
      </c>
      <c r="J117" s="56">
        <f t="shared" si="12"/>
        <v>307.43807279806657</v>
      </c>
      <c r="K117" s="56">
        <f t="shared" si="12"/>
        <v>317.47026254200347</v>
      </c>
      <c r="L117" s="56">
        <f t="shared" si="12"/>
        <v>323.81966779284363</v>
      </c>
      <c r="M117" s="56">
        <f t="shared" si="12"/>
        <v>316.9623101219363</v>
      </c>
      <c r="N117" s="56">
        <f t="shared" si="12"/>
        <v>303.09520905410159</v>
      </c>
    </row>
    <row r="118" spans="1:14" s="58" customFormat="1" ht="12">
      <c r="A118" s="164" t="s">
        <v>135</v>
      </c>
      <c r="B118" s="164"/>
      <c r="D118" s="59">
        <v>0.25</v>
      </c>
      <c r="E118" s="59">
        <v>0.24</v>
      </c>
      <c r="F118" s="59">
        <v>0.23</v>
      </c>
      <c r="G118" s="59">
        <v>0.22</v>
      </c>
      <c r="H118" s="59">
        <v>0.21</v>
      </c>
      <c r="I118" s="59">
        <v>0.2</v>
      </c>
      <c r="J118" s="59">
        <v>0.19</v>
      </c>
      <c r="K118" s="59">
        <v>0.18</v>
      </c>
      <c r="L118" s="59">
        <v>0.17</v>
      </c>
      <c r="M118" s="59">
        <v>0.16</v>
      </c>
      <c r="N118" s="59">
        <v>0.15</v>
      </c>
    </row>
    <row r="120" spans="1:14">
      <c r="A120" s="92" t="s">
        <v>285</v>
      </c>
      <c r="B120" s="92"/>
      <c r="D120" s="56">
        <f t="shared" ref="D120:N120" si="13">D108-SUM(D111,D113,D115)</f>
        <v>15.305616850000007</v>
      </c>
      <c r="E120" s="56">
        <f t="shared" si="13"/>
        <v>36.733480439999965</v>
      </c>
      <c r="F120" s="56">
        <f t="shared" si="13"/>
        <v>73.466960879999931</v>
      </c>
      <c r="G120" s="56">
        <f t="shared" si="13"/>
        <v>128.56718153999995</v>
      </c>
      <c r="H120" s="56">
        <f t="shared" si="13"/>
        <v>185.13674141759992</v>
      </c>
      <c r="I120" s="56">
        <f t="shared" si="13"/>
        <v>248.39179473527992</v>
      </c>
      <c r="J120" s="56">
        <f t="shared" si="13"/>
        <v>323.61902399796315</v>
      </c>
      <c r="K120" s="56">
        <f t="shared" si="13"/>
        <v>396.83782817750256</v>
      </c>
      <c r="L120" s="56">
        <f t="shared" si="13"/>
        <v>476.20539381300335</v>
      </c>
      <c r="M120" s="56">
        <f t="shared" si="13"/>
        <v>544.77897052207618</v>
      </c>
      <c r="N120" s="56">
        <f t="shared" si="13"/>
        <v>606.19041810820113</v>
      </c>
    </row>
    <row r="121" spans="1:14" s="58" customFormat="1" ht="12">
      <c r="A121" s="262" t="s">
        <v>135</v>
      </c>
      <c r="B121" s="262"/>
      <c r="D121" s="59">
        <f t="shared" ref="D121:N121" si="14">D120/D102</f>
        <v>5.0000000000000017E-2</v>
      </c>
      <c r="E121" s="59">
        <f t="shared" si="14"/>
        <v>7.4999999999999928E-2</v>
      </c>
      <c r="F121" s="59">
        <f t="shared" si="14"/>
        <v>9.9999999999999895E-2</v>
      </c>
      <c r="G121" s="59">
        <f t="shared" si="14"/>
        <v>0.12499999999999994</v>
      </c>
      <c r="H121" s="59">
        <f t="shared" si="14"/>
        <v>0.14999999999999994</v>
      </c>
      <c r="I121" s="59">
        <f t="shared" si="14"/>
        <v>0.17499999999999996</v>
      </c>
      <c r="J121" s="59">
        <f t="shared" si="14"/>
        <v>0.19999999999999898</v>
      </c>
      <c r="K121" s="59">
        <f t="shared" si="14"/>
        <v>0.22499999999999898</v>
      </c>
      <c r="L121" s="59">
        <f t="shared" si="14"/>
        <v>0.24999999999999897</v>
      </c>
      <c r="M121" s="59">
        <f t="shared" si="14"/>
        <v>0.27499999999999908</v>
      </c>
      <c r="N121" s="59">
        <f t="shared" si="14"/>
        <v>0.29999999999999899</v>
      </c>
    </row>
    <row r="123" spans="1:14">
      <c r="A123" s="55" t="s">
        <v>139</v>
      </c>
      <c r="B123" s="55"/>
      <c r="D123" s="56">
        <f t="shared" ref="D123:N123" si="15">D102*D124</f>
        <v>9.1833701100000003</v>
      </c>
      <c r="E123" s="56">
        <f t="shared" si="15"/>
        <v>14.203612436800002</v>
      </c>
      <c r="F123" s="56">
        <f t="shared" si="15"/>
        <v>20.570749046400003</v>
      </c>
      <c r="G123" s="56">
        <f t="shared" si="15"/>
        <v>27.770511212640002</v>
      </c>
      <c r="H123" s="56">
        <f t="shared" si="15"/>
        <v>32.090368512383996</v>
      </c>
      <c r="I123" s="56">
        <f t="shared" si="15"/>
        <v>35.484542105039999</v>
      </c>
      <c r="J123" s="56">
        <f t="shared" si="15"/>
        <v>38.834282879755776</v>
      </c>
      <c r="K123" s="56">
        <f t="shared" si="15"/>
        <v>40.56564465814489</v>
      </c>
      <c r="L123" s="56">
        <f t="shared" si="15"/>
        <v>41.906074655544465</v>
      </c>
      <c r="M123" s="56">
        <f t="shared" si="15"/>
        <v>41.601303203504145</v>
      </c>
      <c r="N123" s="56">
        <f t="shared" si="15"/>
        <v>40.41269454054688</v>
      </c>
    </row>
    <row r="124" spans="1:14" s="58" customFormat="1" ht="12">
      <c r="A124" s="164" t="s">
        <v>135</v>
      </c>
      <c r="B124" s="164"/>
      <c r="D124" s="59">
        <v>0.03</v>
      </c>
      <c r="E124" s="59">
        <v>2.9000000000000001E-2</v>
      </c>
      <c r="F124" s="59">
        <v>2.8000000000000001E-2</v>
      </c>
      <c r="G124" s="59">
        <v>2.7E-2</v>
      </c>
      <c r="H124" s="59">
        <v>2.5999999999999999E-2</v>
      </c>
      <c r="I124" s="59">
        <v>2.5000000000000001E-2</v>
      </c>
      <c r="J124" s="59">
        <v>2.4E-2</v>
      </c>
      <c r="K124" s="59">
        <v>2.3E-2</v>
      </c>
      <c r="L124" s="59">
        <v>2.1999999999999999E-2</v>
      </c>
      <c r="M124" s="59">
        <v>2.1000000000000001E-2</v>
      </c>
      <c r="N124" s="59">
        <v>0.02</v>
      </c>
    </row>
    <row r="126" spans="1:14">
      <c r="A126" s="92" t="s">
        <v>140</v>
      </c>
      <c r="B126" s="92"/>
      <c r="D126" s="56">
        <f>D108- SUM(D111,D113,D115)-D123</f>
        <v>6.1222467400000067</v>
      </c>
      <c r="E126" s="56">
        <f t="shared" ref="E126:N126" si="16">E108- SUM(E111,E113,E115)-E123</f>
        <v>22.529868003199965</v>
      </c>
      <c r="F126" s="56">
        <f t="shared" si="16"/>
        <v>52.896211833599928</v>
      </c>
      <c r="G126" s="56">
        <f t="shared" si="16"/>
        <v>100.79667032735995</v>
      </c>
      <c r="H126" s="56">
        <f t="shared" si="16"/>
        <v>153.04637290521592</v>
      </c>
      <c r="I126" s="56">
        <f t="shared" si="16"/>
        <v>212.90725263023992</v>
      </c>
      <c r="J126" s="56">
        <f t="shared" si="16"/>
        <v>284.78474111820736</v>
      </c>
      <c r="K126" s="56">
        <f t="shared" si="16"/>
        <v>356.27218351935767</v>
      </c>
      <c r="L126" s="56">
        <f t="shared" si="16"/>
        <v>434.29931915745891</v>
      </c>
      <c r="M126" s="56">
        <f t="shared" si="16"/>
        <v>503.17766731857205</v>
      </c>
      <c r="N126" s="56">
        <f t="shared" si="16"/>
        <v>565.77772356765422</v>
      </c>
    </row>
    <row r="127" spans="1:14" s="58" customFormat="1" ht="12">
      <c r="A127" s="262" t="s">
        <v>135</v>
      </c>
      <c r="B127" s="262"/>
      <c r="D127" s="59">
        <f t="shared" ref="D127:N127" si="17">D126/D102</f>
        <v>2.0000000000000021E-2</v>
      </c>
      <c r="E127" s="59">
        <f t="shared" si="17"/>
        <v>4.5999999999999923E-2</v>
      </c>
      <c r="F127" s="59">
        <f t="shared" si="17"/>
        <v>7.1999999999999897E-2</v>
      </c>
      <c r="G127" s="59">
        <f t="shared" si="17"/>
        <v>9.7999999999999948E-2</v>
      </c>
      <c r="H127" s="59">
        <f t="shared" si="17"/>
        <v>0.12399999999999994</v>
      </c>
      <c r="I127" s="59">
        <f t="shared" si="17"/>
        <v>0.14999999999999997</v>
      </c>
      <c r="J127" s="59">
        <f t="shared" si="17"/>
        <v>0.17599999999999896</v>
      </c>
      <c r="K127" s="59">
        <f t="shared" si="17"/>
        <v>0.20199999999999899</v>
      </c>
      <c r="L127" s="59">
        <f t="shared" si="17"/>
        <v>0.22799999999999901</v>
      </c>
      <c r="M127" s="59">
        <f t="shared" si="17"/>
        <v>0.25399999999999906</v>
      </c>
      <c r="N127" s="59">
        <f t="shared" si="17"/>
        <v>0.27999999999999897</v>
      </c>
    </row>
    <row r="129" spans="1:19">
      <c r="A129" s="55" t="s">
        <v>141</v>
      </c>
      <c r="B129" s="55"/>
      <c r="D129" s="56">
        <f t="shared" ref="D129:N129" si="18">D102*D130</f>
        <v>15.305616850000002</v>
      </c>
      <c r="E129" s="56">
        <f t="shared" si="18"/>
        <v>23.509427481600003</v>
      </c>
      <c r="F129" s="56">
        <f t="shared" si="18"/>
        <v>33.794802004800005</v>
      </c>
      <c r="G129" s="56">
        <f t="shared" si="18"/>
        <v>45.25564790208</v>
      </c>
      <c r="H129" s="56">
        <f t="shared" si="18"/>
        <v>51.838287596927998</v>
      </c>
      <c r="I129" s="56">
        <f t="shared" si="18"/>
        <v>56.775267368064</v>
      </c>
      <c r="J129" s="56">
        <f t="shared" si="18"/>
        <v>61.487614559613313</v>
      </c>
      <c r="K129" s="56">
        <f t="shared" si="18"/>
        <v>63.494052508400692</v>
      </c>
      <c r="L129" s="56">
        <f t="shared" si="18"/>
        <v>64.763933558568723</v>
      </c>
      <c r="M129" s="56">
        <f t="shared" si="18"/>
        <v>63.392462024387264</v>
      </c>
      <c r="N129" s="56">
        <f t="shared" si="18"/>
        <v>60.61904181082032</v>
      </c>
      <c r="S129" s="94"/>
    </row>
    <row r="130" spans="1:19" s="58" customFormat="1" ht="12">
      <c r="A130" s="164" t="s">
        <v>135</v>
      </c>
      <c r="B130" s="164"/>
      <c r="D130" s="59">
        <v>0.05</v>
      </c>
      <c r="E130" s="59">
        <v>4.8000000000000001E-2</v>
      </c>
      <c r="F130" s="59">
        <v>4.5999999999999999E-2</v>
      </c>
      <c r="G130" s="59">
        <v>4.3999999999999997E-2</v>
      </c>
      <c r="H130" s="59">
        <v>4.2000000000000003E-2</v>
      </c>
      <c r="I130" s="59">
        <v>0.04</v>
      </c>
      <c r="J130" s="59">
        <v>3.7999999999999999E-2</v>
      </c>
      <c r="K130" s="59">
        <v>3.5999999999999997E-2</v>
      </c>
      <c r="L130" s="59">
        <v>3.4000000000000002E-2</v>
      </c>
      <c r="M130" s="59">
        <v>3.2000000000000001E-2</v>
      </c>
      <c r="N130" s="59">
        <v>0.03</v>
      </c>
    </row>
    <row r="132" spans="1:19">
      <c r="A132" s="55" t="s">
        <v>142</v>
      </c>
      <c r="B132" s="55"/>
      <c r="D132" s="56">
        <f t="shared" ref="D132:N132" si="19">D102*D133</f>
        <v>39.794603810000005</v>
      </c>
      <c r="E132" s="56">
        <f t="shared" si="19"/>
        <v>46.529075224000003</v>
      </c>
      <c r="F132" s="56">
        <f t="shared" si="19"/>
        <v>66.120264792</v>
      </c>
      <c r="G132" s="56">
        <f t="shared" si="19"/>
        <v>87.425683447200015</v>
      </c>
      <c r="H132" s="56">
        <f t="shared" si="19"/>
        <v>98.739595422720001</v>
      </c>
      <c r="I132" s="56">
        <f t="shared" si="19"/>
        <v>106.45362631511999</v>
      </c>
      <c r="J132" s="56">
        <f t="shared" si="19"/>
        <v>113.26665839928769</v>
      </c>
      <c r="K132" s="56">
        <f t="shared" si="19"/>
        <v>114.64203925127904</v>
      </c>
      <c r="L132" s="56">
        <f t="shared" si="19"/>
        <v>114.28929451512127</v>
      </c>
      <c r="M132" s="56">
        <f t="shared" si="19"/>
        <v>108.9557941044156</v>
      </c>
      <c r="N132" s="56">
        <f t="shared" si="19"/>
        <v>101.03173635136721</v>
      </c>
    </row>
    <row r="133" spans="1:19" s="58" customFormat="1" ht="12">
      <c r="A133" s="164" t="s">
        <v>135</v>
      </c>
      <c r="B133" s="164"/>
      <c r="D133" s="59">
        <v>0.13</v>
      </c>
      <c r="E133" s="59">
        <v>9.5000000000000001E-2</v>
      </c>
      <c r="F133" s="59">
        <v>0.09</v>
      </c>
      <c r="G133" s="59">
        <v>8.5000000000000006E-2</v>
      </c>
      <c r="H133" s="59">
        <v>0.08</v>
      </c>
      <c r="I133" s="59">
        <v>7.4999999999999997E-2</v>
      </c>
      <c r="J133" s="59">
        <v>7.0000000000000007E-2</v>
      </c>
      <c r="K133" s="59">
        <v>6.5000000000000002E-2</v>
      </c>
      <c r="L133" s="59">
        <v>0.06</v>
      </c>
      <c r="M133" s="59">
        <v>5.5E-2</v>
      </c>
      <c r="N133" s="59">
        <v>0.05</v>
      </c>
    </row>
    <row r="135" spans="1:19">
      <c r="A135" s="55" t="s">
        <v>143</v>
      </c>
      <c r="B135" s="55"/>
      <c r="D135" s="56">
        <f xml:space="preserve"> MAX(D126,0)*25%</f>
        <v>1.5305616850000017</v>
      </c>
      <c r="E135" s="56">
        <f t="shared" ref="E135:N135" si="20" xml:space="preserve"> MAX(E126,0)*25%</f>
        <v>5.6324670007999913</v>
      </c>
      <c r="F135" s="56">
        <f t="shared" si="20"/>
        <v>13.224052958399982</v>
      </c>
      <c r="G135" s="56">
        <f t="shared" si="20"/>
        <v>25.199167581839987</v>
      </c>
      <c r="H135" s="56">
        <f t="shared" si="20"/>
        <v>38.26159322630398</v>
      </c>
      <c r="I135" s="56">
        <f t="shared" si="20"/>
        <v>53.226813157559981</v>
      </c>
      <c r="J135" s="56">
        <f t="shared" si="20"/>
        <v>71.196185279551841</v>
      </c>
      <c r="K135" s="56">
        <f t="shared" si="20"/>
        <v>89.068045879839417</v>
      </c>
      <c r="L135" s="56">
        <f t="shared" si="20"/>
        <v>108.57482978936473</v>
      </c>
      <c r="M135" s="56">
        <f t="shared" si="20"/>
        <v>125.79441682964301</v>
      </c>
      <c r="N135" s="56">
        <f t="shared" si="20"/>
        <v>141.44443089191356</v>
      </c>
    </row>
    <row r="136" spans="1:19" s="58" customFormat="1" ht="12">
      <c r="A136" s="164" t="s">
        <v>135</v>
      </c>
      <c r="B136" s="164"/>
      <c r="D136" s="59">
        <v>0.25</v>
      </c>
      <c r="E136" s="59">
        <v>0.25</v>
      </c>
      <c r="F136" s="59">
        <v>0.25</v>
      </c>
      <c r="G136" s="59">
        <v>0.25</v>
      </c>
      <c r="H136" s="59">
        <v>0.25</v>
      </c>
      <c r="I136" s="59">
        <v>0.25</v>
      </c>
      <c r="J136" s="59">
        <v>0.25</v>
      </c>
      <c r="K136" s="59">
        <v>0.25</v>
      </c>
      <c r="L136" s="59">
        <v>0.25</v>
      </c>
      <c r="M136" s="59">
        <v>0.25</v>
      </c>
      <c r="N136" s="59">
        <v>0.25</v>
      </c>
    </row>
    <row r="138" spans="1:19">
      <c r="A138" s="60" t="s">
        <v>144</v>
      </c>
      <c r="B138" s="60"/>
      <c r="D138" s="56">
        <f>D126+D123-D129-D132 - D135</f>
        <v>-41.325165495</v>
      </c>
      <c r="E138" s="56">
        <f t="shared" ref="E138:N138" si="21">E126+E123-E129-E132 - E135</f>
        <v>-38.937489266400036</v>
      </c>
      <c r="F138" s="56">
        <f t="shared" si="21"/>
        <v>-39.672158875200054</v>
      </c>
      <c r="G138" s="56">
        <f t="shared" si="21"/>
        <v>-29.313317391120052</v>
      </c>
      <c r="H138" s="56">
        <f t="shared" si="21"/>
        <v>-3.7027348283520709</v>
      </c>
      <c r="I138" s="56">
        <f t="shared" si="21"/>
        <v>31.936087894535952</v>
      </c>
      <c r="J138" s="56">
        <f t="shared" si="21"/>
        <v>77.668565759510344</v>
      </c>
      <c r="K138" s="56">
        <f t="shared" si="21"/>
        <v>129.63369053798343</v>
      </c>
      <c r="L138" s="56">
        <f t="shared" si="21"/>
        <v>188.57733594994858</v>
      </c>
      <c r="M138" s="56">
        <f t="shared" si="21"/>
        <v>246.63629756363031</v>
      </c>
      <c r="N138" s="56">
        <f t="shared" si="21"/>
        <v>303.0952090541</v>
      </c>
    </row>
    <row r="139" spans="1:19" s="58" customFormat="1" ht="12">
      <c r="A139" s="165" t="s">
        <v>135</v>
      </c>
      <c r="B139" s="165"/>
      <c r="D139" s="59">
        <f t="shared" ref="D139:N139" si="22">D138/D102</f>
        <v>-0.13499999999999998</v>
      </c>
      <c r="E139" s="59">
        <f t="shared" si="22"/>
        <v>-7.9500000000000071E-2</v>
      </c>
      <c r="F139" s="59">
        <f t="shared" si="22"/>
        <v>-5.4000000000000069E-2</v>
      </c>
      <c r="G139" s="59">
        <f t="shared" si="22"/>
        <v>-2.850000000000005E-2</v>
      </c>
      <c r="H139" s="59">
        <f t="shared" si="22"/>
        <v>-3.0000000000000577E-3</v>
      </c>
      <c r="I139" s="59">
        <f t="shared" si="22"/>
        <v>2.2499999999999968E-2</v>
      </c>
      <c r="J139" s="59">
        <f t="shared" si="22"/>
        <v>4.7999999999999252E-2</v>
      </c>
      <c r="K139" s="59">
        <f t="shared" si="22"/>
        <v>7.3499999999999246E-2</v>
      </c>
      <c r="L139" s="59">
        <f t="shared" si="22"/>
        <v>9.89999999999992E-2</v>
      </c>
      <c r="M139" s="59">
        <f t="shared" si="22"/>
        <v>0.12449999999999931</v>
      </c>
      <c r="N139" s="59">
        <f t="shared" si="22"/>
        <v>0.14999999999999919</v>
      </c>
    </row>
    <row r="141" spans="1:19">
      <c r="A141" s="166" t="s">
        <v>145</v>
      </c>
      <c r="B141" s="166"/>
      <c r="D141" s="61">
        <f>D138/(1+$D$145)^(D100-0.5)</f>
        <v>-44.890620153470621</v>
      </c>
      <c r="E141" s="61">
        <f t="shared" ref="E141:N141" si="23">E138/(1+$D$145)^(E100-0.5)</f>
        <v>-35.844864303336287</v>
      </c>
      <c r="F141" s="61">
        <f t="shared" si="23"/>
        <v>-30.95015465910074</v>
      </c>
      <c r="G141" s="61">
        <f t="shared" si="23"/>
        <v>-19.3802757516968</v>
      </c>
      <c r="H141" s="61">
        <f t="shared" si="23"/>
        <v>-2.074605789655358</v>
      </c>
      <c r="I141" s="61">
        <f t="shared" si="23"/>
        <v>15.163961809980592</v>
      </c>
      <c r="J141" s="61">
        <f t="shared" si="23"/>
        <v>31.253182306671423</v>
      </c>
      <c r="K141" s="61">
        <f t="shared" si="23"/>
        <v>44.206368299770382</v>
      </c>
      <c r="L141" s="61">
        <f t="shared" si="23"/>
        <v>54.497231622408172</v>
      </c>
      <c r="M141" s="61">
        <f t="shared" si="23"/>
        <v>60.403197658529599</v>
      </c>
      <c r="N141" s="61">
        <f t="shared" si="23"/>
        <v>62.907148878599365</v>
      </c>
    </row>
    <row r="142" spans="1:19" s="142" customFormat="1" ht="10.8">
      <c r="A142" s="142" t="s">
        <v>146</v>
      </c>
      <c r="D142" s="143">
        <f>SUM(C141:D141)</f>
        <v>-44.890620153470621</v>
      </c>
      <c r="E142" s="143">
        <f>SUM(D141:E141)</f>
        <v>-80.735484456806915</v>
      </c>
      <c r="F142" s="143">
        <f xml:space="preserve"> SUM(F141,E142)</f>
        <v>-111.68563911590766</v>
      </c>
      <c r="G142" s="143">
        <f t="shared" ref="G142:N142" si="24" xml:space="preserve"> SUM(G141,F142)</f>
        <v>-131.06591486760448</v>
      </c>
      <c r="H142" s="143">
        <f t="shared" si="24"/>
        <v>-133.14052065725983</v>
      </c>
      <c r="I142" s="143">
        <f t="shared" si="24"/>
        <v>-117.97655884727924</v>
      </c>
      <c r="J142" s="143">
        <f t="shared" si="24"/>
        <v>-86.723376540607816</v>
      </c>
      <c r="K142" s="143">
        <f t="shared" si="24"/>
        <v>-42.517008240837434</v>
      </c>
      <c r="L142" s="143">
        <f t="shared" si="24"/>
        <v>11.980223381570738</v>
      </c>
      <c r="M142" s="143">
        <f t="shared" si="24"/>
        <v>72.38342104010033</v>
      </c>
      <c r="N142" s="143">
        <f t="shared" si="24"/>
        <v>135.2905699186997</v>
      </c>
    </row>
    <row r="143" spans="1:19"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</row>
    <row r="144" spans="1:19" s="3" customFormat="1">
      <c r="A144" s="2" t="s">
        <v>130</v>
      </c>
    </row>
    <row r="145" spans="1:4">
      <c r="A145" s="161" t="s">
        <v>147</v>
      </c>
      <c r="B145" s="162"/>
      <c r="C145" s="163"/>
      <c r="D145" s="63">
        <f xml:space="preserve"> CHOOSE(ASSUMPTIONS!E5,ASSUMPTIONS!D32,ASSUMPTIONS!D33,ASSUMPTIONS!D34)</f>
        <v>0.18</v>
      </c>
    </row>
    <row r="146" spans="1:4">
      <c r="A146" s="161" t="s">
        <v>148</v>
      </c>
      <c r="B146" s="162"/>
      <c r="C146" s="163"/>
      <c r="D146" s="63">
        <f>CHOOSE(ASSUMPTIONS!E5,ASSUMPTIONS!E32,ASSUMPTIONS!E33,ASSUMPTIONS!E34)</f>
        <v>3.5000000000000003E-2</v>
      </c>
    </row>
    <row r="147" spans="1:4">
      <c r="A147" s="160" t="s">
        <v>149</v>
      </c>
      <c r="B147" s="160"/>
      <c r="C147" s="160"/>
      <c r="D147" s="64">
        <f>N138*(1+D146)/(D145-D146)</f>
        <v>2163.4726991103003</v>
      </c>
    </row>
    <row r="148" spans="1:4">
      <c r="A148" s="160" t="s">
        <v>150</v>
      </c>
      <c r="B148" s="160"/>
      <c r="C148" s="160"/>
      <c r="D148" s="64">
        <f xml:space="preserve"> D147/(1+D145)^N100</f>
        <v>413.36275793764952</v>
      </c>
    </row>
    <row r="149" spans="1:4">
      <c r="A149" s="160" t="s">
        <v>732</v>
      </c>
      <c r="B149" s="160"/>
      <c r="C149" s="160"/>
      <c r="D149" s="64">
        <f>SUM(D138:N138)</f>
        <v>824.5963209036363</v>
      </c>
    </row>
    <row r="150" spans="1:4">
      <c r="D150" s="65"/>
    </row>
    <row r="151" spans="1:4">
      <c r="A151" s="161" t="s">
        <v>151</v>
      </c>
      <c r="B151" s="162"/>
      <c r="C151" s="163"/>
      <c r="D151" s="66">
        <f>SUM(D148:D149)</f>
        <v>1237.9590788412859</v>
      </c>
    </row>
    <row r="152" spans="1:4">
      <c r="A152" s="161" t="s">
        <v>152</v>
      </c>
      <c r="B152" s="162"/>
      <c r="C152" s="163"/>
      <c r="D152" s="66">
        <f>D151</f>
        <v>1237.9590788412859</v>
      </c>
    </row>
    <row r="153" spans="1:4">
      <c r="A153" s="161" t="s">
        <v>153</v>
      </c>
      <c r="B153" s="162"/>
      <c r="C153" s="163"/>
      <c r="D153" s="67">
        <f>-D151/SUM(D141:H141)</f>
        <v>9.2981390844049017</v>
      </c>
    </row>
    <row r="155" spans="1:4">
      <c r="A155" s="160" t="s">
        <v>154</v>
      </c>
      <c r="B155" s="160"/>
      <c r="C155" s="160"/>
      <c r="D155" s="68">
        <f xml:space="preserve"> 6+(-J142/K141)</f>
        <v>7.9617846902175469</v>
      </c>
    </row>
  </sheetData>
  <mergeCells count="147">
    <mergeCell ref="A5:D5"/>
    <mergeCell ref="E5:F5"/>
    <mergeCell ref="G5:H5"/>
    <mergeCell ref="E6:F6"/>
    <mergeCell ref="G6:H6"/>
    <mergeCell ref="A8:D8"/>
    <mergeCell ref="E8:F8"/>
    <mergeCell ref="G8:H8"/>
    <mergeCell ref="A1:F1"/>
    <mergeCell ref="A3:D3"/>
    <mergeCell ref="E3:F3"/>
    <mergeCell ref="G3:H3"/>
    <mergeCell ref="A4:D4"/>
    <mergeCell ref="E4:F4"/>
    <mergeCell ref="G4:H4"/>
    <mergeCell ref="A13:D13"/>
    <mergeCell ref="E13:F13"/>
    <mergeCell ref="G13:H13"/>
    <mergeCell ref="E14:F14"/>
    <mergeCell ref="G14:H14"/>
    <mergeCell ref="A17:B17"/>
    <mergeCell ref="E17:F17"/>
    <mergeCell ref="A9:D9"/>
    <mergeCell ref="E9:F9"/>
    <mergeCell ref="G9:H9"/>
    <mergeCell ref="E10:F10"/>
    <mergeCell ref="G10:H10"/>
    <mergeCell ref="A12:D12"/>
    <mergeCell ref="E12:F12"/>
    <mergeCell ref="G12:H12"/>
    <mergeCell ref="A24:D24"/>
    <mergeCell ref="H24:K24"/>
    <mergeCell ref="A25:D25"/>
    <mergeCell ref="H25:K25"/>
    <mergeCell ref="A26:D26"/>
    <mergeCell ref="H26:K26"/>
    <mergeCell ref="A19:F19"/>
    <mergeCell ref="H19:M19"/>
    <mergeCell ref="A22:D22"/>
    <mergeCell ref="H22:K22"/>
    <mergeCell ref="A23:D23"/>
    <mergeCell ref="H23:K23"/>
    <mergeCell ref="A34:D34"/>
    <mergeCell ref="H34:K34"/>
    <mergeCell ref="A35:D35"/>
    <mergeCell ref="H35:K35"/>
    <mergeCell ref="A36:D36"/>
    <mergeCell ref="H36:K36"/>
    <mergeCell ref="A30:D30"/>
    <mergeCell ref="H30:K30"/>
    <mergeCell ref="A31:D31"/>
    <mergeCell ref="H31:K31"/>
    <mergeCell ref="A32:D32"/>
    <mergeCell ref="H32:K32"/>
    <mergeCell ref="A41:D41"/>
    <mergeCell ref="H41:K41"/>
    <mergeCell ref="A42:D42"/>
    <mergeCell ref="H42:K42"/>
    <mergeCell ref="A68:B68"/>
    <mergeCell ref="A70:D70"/>
    <mergeCell ref="E70:R70"/>
    <mergeCell ref="A37:D37"/>
    <mergeCell ref="H37:K37"/>
    <mergeCell ref="A39:D39"/>
    <mergeCell ref="H39:K39"/>
    <mergeCell ref="A40:D40"/>
    <mergeCell ref="H40:K40"/>
    <mergeCell ref="S70:AR70"/>
    <mergeCell ref="A71:D79"/>
    <mergeCell ref="E71:R79"/>
    <mergeCell ref="S71:AR71"/>
    <mergeCell ref="S72:AR72"/>
    <mergeCell ref="S73:AR73"/>
    <mergeCell ref="S74:AR74"/>
    <mergeCell ref="S75:AR75"/>
    <mergeCell ref="S76:AR76"/>
    <mergeCell ref="S77:AR77"/>
    <mergeCell ref="S78:AR78"/>
    <mergeCell ref="S79:AR79"/>
    <mergeCell ref="A80:D85"/>
    <mergeCell ref="E80:R85"/>
    <mergeCell ref="S80:AR80"/>
    <mergeCell ref="S81:AR81"/>
    <mergeCell ref="S82:AR82"/>
    <mergeCell ref="S83:AR83"/>
    <mergeCell ref="S84:AR84"/>
    <mergeCell ref="S85:AR85"/>
    <mergeCell ref="Q90:R90"/>
    <mergeCell ref="S90:T90"/>
    <mergeCell ref="B94:C94"/>
    <mergeCell ref="E94:F94"/>
    <mergeCell ref="H94:I94"/>
    <mergeCell ref="L94:M94"/>
    <mergeCell ref="N94:O94"/>
    <mergeCell ref="P94:Q94"/>
    <mergeCell ref="O89:P89"/>
    <mergeCell ref="Q89:R89"/>
    <mergeCell ref="S89:T89"/>
    <mergeCell ref="A90:C90"/>
    <mergeCell ref="E90:F90"/>
    <mergeCell ref="G90:H90"/>
    <mergeCell ref="I90:J90"/>
    <mergeCell ref="K90:L90"/>
    <mergeCell ref="M90:N90"/>
    <mergeCell ref="O90:P90"/>
    <mergeCell ref="A89:C89"/>
    <mergeCell ref="E89:F89"/>
    <mergeCell ref="G89:H89"/>
    <mergeCell ref="I89:J89"/>
    <mergeCell ref="K89:L89"/>
    <mergeCell ref="M89:N89"/>
    <mergeCell ref="B96:C96"/>
    <mergeCell ref="E96:F96"/>
    <mergeCell ref="H96:I96"/>
    <mergeCell ref="L96:M96"/>
    <mergeCell ref="N96:O96"/>
    <mergeCell ref="P96:Q96"/>
    <mergeCell ref="B95:C95"/>
    <mergeCell ref="E95:F95"/>
    <mergeCell ref="H95:I95"/>
    <mergeCell ref="L95:M95"/>
    <mergeCell ref="N95:O95"/>
    <mergeCell ref="P95:Q95"/>
    <mergeCell ref="A118:B118"/>
    <mergeCell ref="A121:B121"/>
    <mergeCell ref="A124:B124"/>
    <mergeCell ref="A127:B127"/>
    <mergeCell ref="A130:B130"/>
    <mergeCell ref="A133:B133"/>
    <mergeCell ref="A103:B103"/>
    <mergeCell ref="A106:B106"/>
    <mergeCell ref="A109:B109"/>
    <mergeCell ref="A112:B112"/>
    <mergeCell ref="A114:B114"/>
    <mergeCell ref="A116:B116"/>
    <mergeCell ref="A155:C155"/>
    <mergeCell ref="A148:C148"/>
    <mergeCell ref="A149:C149"/>
    <mergeCell ref="A151:C151"/>
    <mergeCell ref="A152:C152"/>
    <mergeCell ref="A153:C153"/>
    <mergeCell ref="A136:B136"/>
    <mergeCell ref="A139:B139"/>
    <mergeCell ref="A141:B141"/>
    <mergeCell ref="A145:C145"/>
    <mergeCell ref="A146:C146"/>
    <mergeCell ref="A147:C147"/>
  </mergeCells>
  <dataValidations count="1">
    <dataValidation type="list" allowBlank="1" showInputMessage="1" showErrorMessage="1" sqref="G17" xr:uid="{EDED7F2B-A03E-4D8D-9BD9-2287797FBC39}">
      <formula1>"1,2,3"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E7F-99CB-46BD-8FBE-8D04EAD4FB4E}">
  <sheetPr codeName="Sheet7"/>
  <dimension ref="A1:S119"/>
  <sheetViews>
    <sheetView showGridLines="0" zoomScale="74" workbookViewId="0">
      <selection activeCell="H92" sqref="H92"/>
    </sheetView>
  </sheetViews>
  <sheetFormatPr defaultRowHeight="14.4"/>
  <cols>
    <col min="2" max="2" width="9" bestFit="1" customWidth="1"/>
    <col min="4" max="4" width="9.88671875" bestFit="1" customWidth="1"/>
    <col min="5" max="5" width="8.5546875" bestFit="1" customWidth="1"/>
    <col min="11" max="11" width="9" bestFit="1" customWidth="1"/>
    <col min="22" max="22" width="9.6640625" bestFit="1" customWidth="1"/>
  </cols>
  <sheetData>
    <row r="1" spans="1:9" s="3" customFormat="1">
      <c r="A1" s="2" t="s">
        <v>0</v>
      </c>
    </row>
    <row r="2" spans="1:9">
      <c r="A2" s="257" t="s">
        <v>1</v>
      </c>
      <c r="B2" s="258"/>
      <c r="C2" s="258"/>
      <c r="D2" s="259"/>
      <c r="E2" s="260" t="s">
        <v>2</v>
      </c>
      <c r="F2" s="260"/>
      <c r="G2" s="260" t="s">
        <v>3</v>
      </c>
      <c r="H2" s="261"/>
      <c r="I2" s="4" t="s">
        <v>4</v>
      </c>
    </row>
    <row r="3" spans="1:9">
      <c r="A3" s="245" t="s">
        <v>726</v>
      </c>
      <c r="B3" s="245"/>
      <c r="C3" s="245"/>
      <c r="D3" s="245"/>
      <c r="E3" s="253">
        <f xml:space="preserve"> SUM('GIGA HEALTH'!E4:F4,'GIGA HEALTH'!E8:F8,'GIGA HEALTH'!E13:F13)</f>
        <v>15.608536987951808</v>
      </c>
      <c r="F3" s="253"/>
      <c r="G3" s="253">
        <f xml:space="preserve"> SUM('GIGA HEALTH'!G4:H4,'GIGA HEALTH'!G8:H8,'GIGA HEALTH'!G13:H13)</f>
        <v>38.004422066824191</v>
      </c>
      <c r="H3" s="253"/>
      <c r="I3" s="5">
        <f>(G3/E3)^0.1-1</f>
        <v>9.3068033038729236E-2</v>
      </c>
    </row>
    <row r="4" spans="1:9" ht="15" thickBot="1">
      <c r="A4" s="246" t="s">
        <v>6</v>
      </c>
      <c r="B4" s="246"/>
      <c r="C4" s="246"/>
      <c r="D4" s="246"/>
      <c r="E4" s="168">
        <f>SUM('GIGA HEALTH'!E5:F5,'GIGA HEALTH'!E9:F9,'GIGA HEALTH'!E14:F14)</f>
        <v>0.25754698765060241</v>
      </c>
      <c r="F4" s="168"/>
      <c r="G4" s="168">
        <f>SUM('GIGA HEALTH'!G5:H5,'GIGA HEALTH'!G9:H9,'GIGA HEALTH'!G14:H14)</f>
        <v>0.90238163133064675</v>
      </c>
      <c r="H4" s="168"/>
      <c r="I4" s="5">
        <f>(G4/E4)^0.1-1</f>
        <v>0.1335831379922281</v>
      </c>
    </row>
    <row r="5" spans="1:9" ht="15" thickTop="1">
      <c r="A5" s="6" t="s">
        <v>7</v>
      </c>
      <c r="B5" s="6"/>
      <c r="C5" s="6"/>
      <c r="D5" s="6"/>
      <c r="E5" s="247">
        <f xml:space="preserve"> E4/E3</f>
        <v>1.650039256397972E-2</v>
      </c>
      <c r="F5" s="247"/>
      <c r="G5" s="247">
        <f xml:space="preserve"> G4/G3</f>
        <v>2.3744121927284277E-2</v>
      </c>
      <c r="H5" s="247"/>
      <c r="I5" s="5"/>
    </row>
    <row r="6" spans="1:9">
      <c r="A6" s="245" t="s">
        <v>725</v>
      </c>
      <c r="B6" s="245"/>
      <c r="C6" s="245"/>
      <c r="D6" s="245"/>
      <c r="E6" s="253">
        <f xml:space="preserve"> SUM('GIGA EoR'!E9:F9,'GIGA EoR'!E14:F14,'GIGA EoR'!E19:F19)</f>
        <v>12.600347482096218</v>
      </c>
      <c r="F6" s="253"/>
      <c r="G6" s="253">
        <f xml:space="preserve"> SUM('GIGA EoR'!G9:H9,'GIGA EoR'!G14:H14,'GIGA EoR'!G19:H19)</f>
        <v>26.522462108198958</v>
      </c>
      <c r="H6" s="253"/>
      <c r="I6" s="5">
        <f>(G6/E6)^0.1-1</f>
        <v>7.7266442625783638E-2</v>
      </c>
    </row>
    <row r="7" spans="1:9" ht="15" thickBot="1">
      <c r="A7" s="246" t="s">
        <v>6</v>
      </c>
      <c r="B7" s="246"/>
      <c r="C7" s="246"/>
      <c r="D7" s="246"/>
      <c r="E7" s="168">
        <f>SUM('GIGA EoR'!E10:F10,'GIGA EoR'!E15:F15,'GIGA EoR'!E20:F20)</f>
        <v>0.2159137485314685</v>
      </c>
      <c r="F7" s="168"/>
      <c r="G7" s="168">
        <f>SUM('GIGA EoR'!G10:H10,'GIGA EoR'!G15:H15,'GIGA EoR'!G20:H20)</f>
        <v>1.4315072407680018</v>
      </c>
      <c r="H7" s="168"/>
      <c r="I7" s="5">
        <f>(G7/E7)^0.1-1</f>
        <v>0.20823475798369229</v>
      </c>
    </row>
    <row r="8" spans="1:9" ht="15" thickTop="1">
      <c r="A8" s="6" t="s">
        <v>7</v>
      </c>
      <c r="B8" s="6"/>
      <c r="C8" s="6"/>
      <c r="D8" s="6"/>
      <c r="E8" s="247">
        <f xml:space="preserve"> E7/E6</f>
        <v>1.713553922526815E-2</v>
      </c>
      <c r="F8" s="247"/>
      <c r="G8" s="247">
        <f xml:space="preserve"> G7/G6</f>
        <v>5.3973391871694906E-2</v>
      </c>
      <c r="H8" s="247"/>
      <c r="I8" s="5"/>
    </row>
    <row r="9" spans="1:9">
      <c r="A9" s="252" t="s">
        <v>727</v>
      </c>
      <c r="B9" s="252"/>
      <c r="C9" s="252"/>
      <c r="D9" s="252"/>
      <c r="E9" s="253">
        <f>SUM('GIGA GPO'!C4:D4)</f>
        <v>13.463855421686748</v>
      </c>
      <c r="F9" s="253"/>
      <c r="G9" s="253">
        <f>SUM('GIGA GPO'!E4:F4)</f>
        <v>23.466433707641578</v>
      </c>
      <c r="H9" s="253"/>
      <c r="I9" s="5">
        <f>(G9/E9)^0.1-1</f>
        <v>5.7128460749796606E-2</v>
      </c>
    </row>
    <row r="10" spans="1:9" ht="15" thickBot="1">
      <c r="A10" s="246" t="s">
        <v>6</v>
      </c>
      <c r="B10" s="246"/>
      <c r="C10" s="246"/>
      <c r="D10" s="246"/>
      <c r="E10" s="168">
        <f>SUM('GIGA GPO'!C5:D5)</f>
        <v>3.5342620481927704E-2</v>
      </c>
      <c r="F10" s="168"/>
      <c r="G10" s="168">
        <f>SUM('GIGA GPO'!E5:F5)</f>
        <v>0.15977294942340861</v>
      </c>
      <c r="H10" s="168"/>
      <c r="I10" s="5">
        <f>(G10/E10)^0.1-1</f>
        <v>0.16284130682477649</v>
      </c>
    </row>
    <row r="11" spans="1:9" ht="15" thickTop="1">
      <c r="A11" s="6" t="s">
        <v>7</v>
      </c>
      <c r="B11" s="6"/>
      <c r="C11" s="6"/>
      <c r="D11" s="6"/>
      <c r="E11" s="247">
        <f xml:space="preserve"> E10/E9</f>
        <v>2.6249999999999993E-3</v>
      </c>
      <c r="F11" s="247"/>
      <c r="G11" s="247">
        <f xml:space="preserve"> G10/G9</f>
        <v>6.8085739577625022E-3</v>
      </c>
      <c r="H11" s="247"/>
      <c r="I11" s="5"/>
    </row>
    <row r="12" spans="1:9">
      <c r="A12" s="245" t="s">
        <v>728</v>
      </c>
      <c r="B12" s="245"/>
      <c r="C12" s="245"/>
      <c r="D12" s="245"/>
      <c r="E12" s="251">
        <f>SUM('GIGA FINANCE'!E4:F4,'GIGA FINANCE'!E8:F8,'GIGA FINANCE'!E12:F12)</f>
        <v>20.606046192440985</v>
      </c>
      <c r="F12" s="251"/>
      <c r="G12" s="251">
        <f>SUM('GIGA FINANCE'!G4:H4,'GIGA FINANCE'!G8:H8,'GIGA FINANCE'!G12:H12)</f>
        <v>63.711765373385923</v>
      </c>
      <c r="H12" s="251"/>
      <c r="I12" s="5">
        <f>(G12/E12)^0.1-1</f>
        <v>0.11949587324812638</v>
      </c>
    </row>
    <row r="13" spans="1:9" ht="15" thickBot="1">
      <c r="A13" s="246" t="s">
        <v>6</v>
      </c>
      <c r="B13" s="246"/>
      <c r="C13" s="246"/>
      <c r="D13" s="246"/>
      <c r="E13" s="168">
        <f xml:space="preserve"> SUM(E7,E4, E10)</f>
        <v>0.50880335666399856</v>
      </c>
      <c r="F13" s="168"/>
      <c r="G13" s="168">
        <f xml:space="preserve"> SUM(G7,G4, G10)</f>
        <v>2.493661821522057</v>
      </c>
      <c r="H13" s="168"/>
      <c r="I13" s="5">
        <f>(G13/E13)^0.1-1</f>
        <v>0.17227299052439782</v>
      </c>
    </row>
    <row r="14" spans="1:9" ht="15" thickTop="1">
      <c r="A14" s="6" t="s">
        <v>7</v>
      </c>
      <c r="B14" s="6"/>
      <c r="C14" s="6"/>
      <c r="D14" s="6"/>
      <c r="E14" s="247">
        <f xml:space="preserve"> E13/E12</f>
        <v>2.4691944874443955E-2</v>
      </c>
      <c r="F14" s="247"/>
      <c r="G14" s="247">
        <f xml:space="preserve"> G13/G12</f>
        <v>3.9139738271382528E-2</v>
      </c>
      <c r="H14" s="247"/>
      <c r="I14" s="5"/>
    </row>
    <row r="15" spans="1:9">
      <c r="A15" s="245" t="s">
        <v>729</v>
      </c>
      <c r="B15" s="245"/>
      <c r="C15" s="245"/>
      <c r="D15" s="245"/>
      <c r="E15" s="251">
        <f xml:space="preserve"> SUM('GIGA ADVISORY'!E4:F4,'GIGA ADVISORY'!E8:F8,'GIGA ADVISORY'!E13:F13,'GIGA ADVISORY'!E17:F17)</f>
        <v>22.315289156626505</v>
      </c>
      <c r="F15" s="251"/>
      <c r="G15" s="251">
        <f xml:space="preserve"> SUM('GIGA ADVISORY'!G4:H4,'GIGA ADVISORY'!G8:H8,'GIGA ADVISORY'!G13:H13,'GIGA ADVISORY'!G17:H17)</f>
        <v>93.444367059347044</v>
      </c>
      <c r="H15" s="251"/>
      <c r="I15" s="5">
        <f>(G15/E15)^0.1-1</f>
        <v>0.15397144089494907</v>
      </c>
    </row>
    <row r="16" spans="1:9" ht="15" thickBot="1">
      <c r="A16" s="246" t="s">
        <v>6</v>
      </c>
      <c r="B16" s="246"/>
      <c r="C16" s="246"/>
      <c r="D16" s="246"/>
      <c r="E16" s="168">
        <f xml:space="preserve"> SUM('GIGA ADVISORY'!E5:F5,'GIGA ADVISORY'!E9:F9,'GIGA ADVISORY'!E14:F14,'GIGA ADVISORY'!E18:F18)/1000</f>
        <v>0.3905175602409639</v>
      </c>
      <c r="F16" s="168"/>
      <c r="G16" s="168">
        <f xml:space="preserve"> SUM('GIGA ADVISORY'!G5:H5,'GIGA ADVISORY'!G9:H9,'GIGA ADVISORY'!G14:H14,'GIGA ADVISORY'!G18:H18)/1000</f>
        <v>1.6352764235385731</v>
      </c>
      <c r="H16" s="168"/>
      <c r="I16" s="5">
        <f>(G16/E16)^0.1-1</f>
        <v>0.15397144089494907</v>
      </c>
    </row>
    <row r="17" spans="1:14" ht="15" thickTop="1">
      <c r="A17" s="6" t="s">
        <v>7</v>
      </c>
      <c r="B17" s="6"/>
      <c r="C17" s="6"/>
      <c r="D17" s="6"/>
      <c r="E17" s="247">
        <f xml:space="preserve"> E16/E15</f>
        <v>1.7500000000000002E-2</v>
      </c>
      <c r="F17" s="247"/>
      <c r="G17" s="247">
        <f xml:space="preserve"> G16/G15</f>
        <v>1.7499999999999998E-2</v>
      </c>
      <c r="H17" s="247"/>
      <c r="I17" s="5"/>
    </row>
    <row r="18" spans="1:14">
      <c r="A18" s="245" t="s">
        <v>730</v>
      </c>
      <c r="B18" s="245"/>
      <c r="C18" s="245"/>
      <c r="D18" s="245"/>
      <c r="E18" s="251">
        <f xml:space="preserve"> SUM('GIGA Rx'!E4:F4,'GIGA Rx'!E8:F8)</f>
        <v>40.209036144578313</v>
      </c>
      <c r="F18" s="251"/>
      <c r="G18" s="251">
        <f xml:space="preserve"> SUM('GIGA Rx'!G4:H4,'GIGA Rx'!G8:H8)</f>
        <v>90.921533283922258</v>
      </c>
      <c r="H18" s="251"/>
      <c r="I18" s="5">
        <f>(G18/E18)^0.1-1</f>
        <v>8.5011418918610415E-2</v>
      </c>
    </row>
    <row r="19" spans="1:14" ht="15" thickBot="1">
      <c r="A19" s="246" t="s">
        <v>6</v>
      </c>
      <c r="B19" s="246"/>
      <c r="C19" s="246"/>
      <c r="D19" s="246"/>
      <c r="E19" s="168">
        <f xml:space="preserve"> SUM('GIGA Rx'!E5:F5,'GIGA Rx'!E9:F9)/1000</f>
        <v>0.3060677710843373</v>
      </c>
      <c r="F19" s="168"/>
      <c r="G19" s="168">
        <f xml:space="preserve"> SUM('GIGA Rx'!G5:H5,'GIGA Rx'!G9:H9)/1000</f>
        <v>1.3765348899686334</v>
      </c>
      <c r="H19" s="168"/>
      <c r="I19" s="5">
        <f>(G19/E19)^0.1-1</f>
        <v>0.16224306181649228</v>
      </c>
    </row>
    <row r="20" spans="1:14" ht="15" thickTop="1">
      <c r="A20" s="6" t="s">
        <v>7</v>
      </c>
      <c r="B20" s="6"/>
      <c r="C20" s="6"/>
      <c r="D20" s="6"/>
      <c r="E20" s="247">
        <f xml:space="preserve"> E19/E18</f>
        <v>7.6119151422535834E-3</v>
      </c>
      <c r="F20" s="247"/>
      <c r="G20" s="247">
        <f xml:space="preserve"> G19/G18</f>
        <v>1.5139811662327602E-2</v>
      </c>
      <c r="H20" s="247"/>
      <c r="I20" s="5"/>
    </row>
    <row r="22" spans="1:14">
      <c r="A22" s="245" t="s">
        <v>740</v>
      </c>
      <c r="B22" s="245"/>
      <c r="C22" s="245"/>
      <c r="D22" s="245"/>
      <c r="E22" s="472">
        <f>SUM(E3,E6,E9,E12,E15,E18)</f>
        <v>124.80311138538059</v>
      </c>
      <c r="F22" s="472"/>
      <c r="G22" s="472">
        <f>SUM(G3,G6,G9,G12,G15,G18)</f>
        <v>336.07098359931996</v>
      </c>
      <c r="H22" s="472"/>
      <c r="I22" s="5">
        <f>(G22/E22)^0.1-1</f>
        <v>0.10413089062574854</v>
      </c>
    </row>
    <row r="23" spans="1:14" ht="15" thickBot="1">
      <c r="A23" s="246" t="s">
        <v>6</v>
      </c>
      <c r="B23" s="246"/>
      <c r="C23" s="246"/>
      <c r="D23" s="246"/>
      <c r="E23" s="168">
        <f xml:space="preserve"> SUM(E4,E7,E10,E13,E16,E19)</f>
        <v>1.7141920446532983</v>
      </c>
      <c r="F23" s="168"/>
      <c r="G23" s="168">
        <f xml:space="preserve"> SUM(G4,G7,G10,G13,G16,G19)</f>
        <v>7.9991349565513206</v>
      </c>
      <c r="H23" s="168"/>
      <c r="I23" s="5">
        <f>(G23/E23)^0.1-1</f>
        <v>0.16653656124783289</v>
      </c>
    </row>
    <row r="24" spans="1:14" ht="15" thickTop="1">
      <c r="A24" s="6" t="s">
        <v>7</v>
      </c>
      <c r="B24" s="6"/>
      <c r="C24" s="6"/>
      <c r="D24" s="6"/>
      <c r="E24" s="247">
        <f xml:space="preserve"> E23/E22</f>
        <v>1.3735170747146121E-2</v>
      </c>
      <c r="F24" s="247"/>
      <c r="G24" s="247">
        <f xml:space="preserve"> G23/G22</f>
        <v>2.3801920864695285E-2</v>
      </c>
      <c r="H24" s="247"/>
      <c r="I24" s="5"/>
    </row>
    <row r="27" spans="1:14" s="3" customFormat="1">
      <c r="A27" s="2" t="s">
        <v>144</v>
      </c>
    </row>
    <row r="28" spans="1:14">
      <c r="A28" s="52" t="s">
        <v>116</v>
      </c>
      <c r="B28" s="52"/>
      <c r="D28" s="53">
        <f>DATE(2025, 4, 1)</f>
        <v>45748</v>
      </c>
      <c r="E28" s="53">
        <f>EDATE(D28, 12)</f>
        <v>46113</v>
      </c>
      <c r="F28" s="53">
        <f t="shared" ref="F28:N28" si="0">EDATE(E28, 12)</f>
        <v>46478</v>
      </c>
      <c r="G28" s="53">
        <f t="shared" si="0"/>
        <v>46844</v>
      </c>
      <c r="H28" s="53">
        <f t="shared" si="0"/>
        <v>47209</v>
      </c>
      <c r="I28" s="53">
        <f t="shared" si="0"/>
        <v>47574</v>
      </c>
      <c r="J28" s="53">
        <f t="shared" si="0"/>
        <v>47939</v>
      </c>
      <c r="K28" s="53">
        <f t="shared" si="0"/>
        <v>48305</v>
      </c>
      <c r="L28" s="53">
        <f t="shared" si="0"/>
        <v>48670</v>
      </c>
      <c r="M28" s="53">
        <f>EDATE(L28, 12)</f>
        <v>49035</v>
      </c>
      <c r="N28" s="53">
        <f t="shared" si="0"/>
        <v>49400</v>
      </c>
    </row>
    <row r="29" spans="1:14">
      <c r="A29" s="52" t="s">
        <v>131</v>
      </c>
      <c r="B29" s="52"/>
      <c r="D29" s="54">
        <v>0</v>
      </c>
      <c r="E29" s="54">
        <v>1</v>
      </c>
      <c r="F29" s="54">
        <v>2</v>
      </c>
      <c r="G29" s="54">
        <v>3</v>
      </c>
      <c r="H29" s="54">
        <v>4</v>
      </c>
      <c r="I29" s="54">
        <v>5</v>
      </c>
      <c r="J29" s="54">
        <v>6</v>
      </c>
      <c r="K29" s="54">
        <v>7</v>
      </c>
      <c r="L29" s="54">
        <v>8</v>
      </c>
      <c r="M29" s="54">
        <v>9</v>
      </c>
      <c r="N29" s="54">
        <v>10</v>
      </c>
    </row>
    <row r="31" spans="1:14">
      <c r="A31" s="55" t="s">
        <v>132</v>
      </c>
      <c r="B31" s="55"/>
      <c r="D31" s="56">
        <f>SUM('GIGA HEALTH'!D112,'GIGA EoR'!D211,'GIGA GPO'!D71,'GIGA FINANCE'!D163,'GIGA ADVISORY'!D161,'GIGA Rx'!D102)</f>
        <v>1263.3442890000001</v>
      </c>
      <c r="E31" s="56">
        <f>SUM('GIGA HEALTH'!E112,'GIGA EoR'!E211,'GIGA GPO'!E71,'GIGA FINANCE'!E163,'GIGA ADVISORY'!E161,'GIGA Rx'!E102)</f>
        <v>2008.73586</v>
      </c>
      <c r="F31" s="56">
        <f>SUM('GIGA HEALTH'!F112,'GIGA EoR'!F211,'GIGA GPO'!F71,'GIGA FINANCE'!F163,'GIGA ADVISORY'!F161,'GIGA Rx'!F102)</f>
        <v>2867.0484109199997</v>
      </c>
      <c r="G31" s="56">
        <f>SUM('GIGA HEALTH'!G112,'GIGA EoR'!G211,'GIGA GPO'!G71,'GIGA FINANCE'!G163,'GIGA ADVISORY'!G161,'GIGA Rx'!G102)</f>
        <v>3769.3400721899998</v>
      </c>
      <c r="H31" s="56">
        <f>SUM('GIGA HEALTH'!H112,'GIGA EoR'!H211,'GIGA GPO'!H71,'GIGA FINANCE'!H163,'GIGA ADVISORY'!H161,'GIGA Rx'!H102)</f>
        <v>4454.0130490316997</v>
      </c>
      <c r="I31" s="56">
        <f>SUM('GIGA HEALTH'!I112,'GIGA EoR'!I211,'GIGA GPO'!I71,'GIGA FINANCE'!I163,'GIGA ADVISORY'!I161,'GIGA Rx'!I102)</f>
        <v>5038.2517068149482</v>
      </c>
      <c r="J31" s="56">
        <f>SUM('GIGA HEALTH'!J112,'GIGA EoR'!J211,'GIGA GPO'!J71,'GIGA FINANCE'!J163,'GIGA ADVISORY'!J161,'GIGA Rx'!J102)</f>
        <v>5587.4947980726502</v>
      </c>
      <c r="K31" s="56">
        <f>SUM('GIGA HEALTH'!K112,'GIGA EoR'!K211,'GIGA GPO'!K71,'GIGA FINANCE'!K163,'GIGA ADVISORY'!K161,'GIGA Rx'!K102)</f>
        <v>6021.0717326375052</v>
      </c>
      <c r="L31" s="56">
        <f>SUM('GIGA HEALTH'!L112,'GIGA EoR'!L211,'GIGA GPO'!L71,'GIGA FINANCE'!L163,'GIGA ADVISORY'!L161,'GIGA Rx'!L102)</f>
        <v>6358.5334823856929</v>
      </c>
      <c r="M31" s="56">
        <f>SUM('GIGA HEALTH'!M112,'GIGA EoR'!M211,'GIGA GPO'!M71,'GIGA FINANCE'!M163,'GIGA ADVISORY'!M161,'GIGA Rx'!M102)</f>
        <v>6559.5546973214969</v>
      </c>
      <c r="N31" s="56">
        <f>SUM('GIGA HEALTH'!N112,'GIGA EoR'!N211,'GIGA GPO'!N71,'GIGA FINANCE'!N163,'GIGA ADVISORY'!N161,'GIGA Rx'!N102)</f>
        <v>6719.0242308748784</v>
      </c>
    </row>
    <row r="32" spans="1:14" s="58" customFormat="1" ht="12">
      <c r="A32" s="164" t="s">
        <v>133</v>
      </c>
      <c r="B32" s="164"/>
      <c r="D32" s="59"/>
      <c r="E32" s="59">
        <f>E31/D31-1</f>
        <v>0.59001459656734934</v>
      </c>
      <c r="F32" s="59">
        <f t="shared" ref="F32:N32" si="1">F31/E31-1</f>
        <v>0.42728990307366721</v>
      </c>
      <c r="G32" s="59">
        <f t="shared" si="1"/>
        <v>0.31471099610085274</v>
      </c>
      <c r="H32" s="59">
        <f t="shared" si="1"/>
        <v>0.18164266522227135</v>
      </c>
      <c r="I32" s="59">
        <f t="shared" si="1"/>
        <v>0.13117129459471655</v>
      </c>
      <c r="J32" s="59">
        <f t="shared" si="1"/>
        <v>0.10901461920109567</v>
      </c>
      <c r="K32" s="59">
        <f t="shared" si="1"/>
        <v>7.7597733910090172E-2</v>
      </c>
      <c r="L32" s="59">
        <f t="shared" si="1"/>
        <v>5.6046791125068385E-2</v>
      </c>
      <c r="M32" s="59">
        <f t="shared" si="1"/>
        <v>3.1614399058001341E-2</v>
      </c>
      <c r="N32" s="59">
        <f t="shared" si="1"/>
        <v>2.4311030384196464E-2</v>
      </c>
    </row>
    <row r="33" spans="1:14">
      <c r="A33" s="55"/>
      <c r="B33" s="55"/>
    </row>
    <row r="34" spans="1:14">
      <c r="A34" s="55" t="s">
        <v>134</v>
      </c>
      <c r="B34" s="55"/>
      <c r="D34" s="56">
        <f>SUM('GIGA HEALTH'!D115,'GIGA EoR'!D214,'GIGA GPO'!D74,'GIGA FINANCE'!D166,'GIGA ADVISORY'!D164,'GIGA Rx'!D105)</f>
        <v>827.21940230000007</v>
      </c>
      <c r="E34" s="56">
        <f>SUM('GIGA HEALTH'!E115,'GIGA EoR'!E214,'GIGA GPO'!E74,'GIGA FINANCE'!E166,'GIGA ADVISORY'!E164,'GIGA Rx'!E105)</f>
        <v>1208.0264387880002</v>
      </c>
      <c r="F34" s="56">
        <f>SUM('GIGA HEALTH'!F115,'GIGA EoR'!F214,'GIGA GPO'!F74,'GIGA FINANCE'!F166,'GIGA ADVISORY'!F164,'GIGA Rx'!F105)</f>
        <v>1687.6626191927999</v>
      </c>
      <c r="G34" s="56">
        <f>SUM('GIGA HEALTH'!G115,'GIGA EoR'!G214,'GIGA GPO'!G74,'GIGA FINANCE'!G166,'GIGA ADVISORY'!G164,'GIGA Rx'!G105)</f>
        <v>2157.2088799506005</v>
      </c>
      <c r="H34" s="56">
        <f>SUM('GIGA HEALTH'!H115,'GIGA EoR'!H214,'GIGA GPO'!H74,'GIGA FINANCE'!H166,'GIGA ADVISORY'!H164,'GIGA Rx'!H105)</f>
        <v>2455.7183916616259</v>
      </c>
      <c r="I34" s="56">
        <f>SUM('GIGA HEALTH'!I115,'GIGA EoR'!I214,'GIGA GPO'!I74,'GIGA FINANCE'!I166,'GIGA ADVISORY'!I164,'GIGA Rx'!I105)</f>
        <v>2677.3842545668658</v>
      </c>
      <c r="J34" s="56">
        <f>SUM('GIGA HEALTH'!J115,'GIGA EoR'!J214,'GIGA GPO'!J74,'GIGA FINANCE'!J166,'GIGA ADVISORY'!J164,'GIGA Rx'!J105)</f>
        <v>2871.4187000915922</v>
      </c>
      <c r="K34" s="56">
        <f>SUM('GIGA HEALTH'!K115,'GIGA EoR'!K214,'GIGA GPO'!K74,'GIGA FINANCE'!K166,'GIGA ADVISORY'!K164,'GIGA Rx'!K105)</f>
        <v>2990.4323300629317</v>
      </c>
      <c r="L34" s="56">
        <f>SUM('GIGA HEALTH'!L115,'GIGA EoR'!L214,'GIGA GPO'!L74,'GIGA FINANCE'!L166,'GIGA ADVISORY'!L164,'GIGA Rx'!L105)</f>
        <v>3049.047488418591</v>
      </c>
      <c r="M34" s="56">
        <f>SUM('GIGA HEALTH'!M115,'GIGA EoR'!M214,'GIGA GPO'!M74,'GIGA FINANCE'!M166,'GIGA ADVISORY'!M164,'GIGA Rx'!M105)</f>
        <v>3045.5288951516854</v>
      </c>
      <c r="N34" s="56">
        <f>SUM('GIGA HEALTH'!N115,'GIGA EoR'!N214,'GIGA GPO'!N74,'GIGA FINANCE'!N166,'GIGA ADVISORY'!N164,'GIGA Rx'!N105)</f>
        <v>3030.1085829234717</v>
      </c>
    </row>
    <row r="35" spans="1:14" s="58" customFormat="1" ht="12">
      <c r="A35" s="164" t="s">
        <v>135</v>
      </c>
      <c r="B35" s="164"/>
      <c r="D35" s="59">
        <f>D34/D31</f>
        <v>0.65478540529500906</v>
      </c>
      <c r="E35" s="59">
        <f t="shared" ref="E35:N35" si="2">E34/E31</f>
        <v>0.60138640567107726</v>
      </c>
      <c r="F35" s="59">
        <f t="shared" si="2"/>
        <v>0.58864113098503634</v>
      </c>
      <c r="G35" s="59">
        <f t="shared" si="2"/>
        <v>0.5723041271511633</v>
      </c>
      <c r="H35" s="59">
        <f t="shared" si="2"/>
        <v>0.55134961766569091</v>
      </c>
      <c r="I35" s="59">
        <f t="shared" si="2"/>
        <v>0.53141137250950066</v>
      </c>
      <c r="J35" s="59">
        <f t="shared" si="2"/>
        <v>0.51390091693366036</v>
      </c>
      <c r="K35" s="59">
        <f t="shared" si="2"/>
        <v>0.4966611365636372</v>
      </c>
      <c r="L35" s="59">
        <f t="shared" si="2"/>
        <v>0.47952055247723602</v>
      </c>
      <c r="M35" s="59">
        <f t="shared" si="2"/>
        <v>0.4642889701636736</v>
      </c>
      <c r="N35" s="59">
        <f t="shared" si="2"/>
        <v>0.45097449849930421</v>
      </c>
    </row>
    <row r="37" spans="1:14">
      <c r="A37" s="92" t="s">
        <v>136</v>
      </c>
      <c r="B37" s="92"/>
      <c r="D37" s="56">
        <f xml:space="preserve"> D31-D34</f>
        <v>436.12488670000005</v>
      </c>
      <c r="E37" s="56">
        <f t="shared" ref="E37:N37" si="3" xml:space="preserve"> E31-E34</f>
        <v>800.70942121199982</v>
      </c>
      <c r="F37" s="56">
        <f t="shared" si="3"/>
        <v>1179.3857917271998</v>
      </c>
      <c r="G37" s="56">
        <f t="shared" si="3"/>
        <v>1612.1311922393993</v>
      </c>
      <c r="H37" s="56">
        <f t="shared" si="3"/>
        <v>1998.2946573700738</v>
      </c>
      <c r="I37" s="56">
        <f t="shared" si="3"/>
        <v>2360.8674522480824</v>
      </c>
      <c r="J37" s="56">
        <f t="shared" si="3"/>
        <v>2716.076097981058</v>
      </c>
      <c r="K37" s="56">
        <f t="shared" si="3"/>
        <v>3030.6394025745735</v>
      </c>
      <c r="L37" s="56">
        <f t="shared" si="3"/>
        <v>3309.4859939671019</v>
      </c>
      <c r="M37" s="56">
        <f t="shared" si="3"/>
        <v>3514.0258021698114</v>
      </c>
      <c r="N37" s="56">
        <f t="shared" si="3"/>
        <v>3688.9156479514068</v>
      </c>
    </row>
    <row r="38" spans="1:14" s="58" customFormat="1" ht="12">
      <c r="A38" s="262" t="s">
        <v>135</v>
      </c>
      <c r="B38" s="262"/>
      <c r="D38" s="59">
        <f>D37/D31</f>
        <v>0.345214594704991</v>
      </c>
      <c r="E38" s="59">
        <f t="shared" ref="E38:N38" si="4">E37/E31</f>
        <v>0.39861359432892279</v>
      </c>
      <c r="F38" s="59">
        <f t="shared" si="4"/>
        <v>0.41135886901496366</v>
      </c>
      <c r="G38" s="59">
        <f t="shared" si="4"/>
        <v>0.42769587284883676</v>
      </c>
      <c r="H38" s="59">
        <f t="shared" si="4"/>
        <v>0.44865038233430909</v>
      </c>
      <c r="I38" s="59">
        <f t="shared" si="4"/>
        <v>0.46858862749049934</v>
      </c>
      <c r="J38" s="59">
        <f t="shared" si="4"/>
        <v>0.48609908306633964</v>
      </c>
      <c r="K38" s="59">
        <f t="shared" si="4"/>
        <v>0.5033388634363628</v>
      </c>
      <c r="L38" s="59">
        <f t="shared" si="4"/>
        <v>0.52047944752276398</v>
      </c>
      <c r="M38" s="59">
        <f t="shared" si="4"/>
        <v>0.53571102983632646</v>
      </c>
      <c r="N38" s="59">
        <f t="shared" si="4"/>
        <v>0.54902550150069573</v>
      </c>
    </row>
    <row r="40" spans="1:14">
      <c r="A40" s="55" t="s">
        <v>137</v>
      </c>
      <c r="B40" s="55"/>
      <c r="D40" s="56">
        <f>SUM('GIGA HEALTH'!D121,'GIGA EoR'!D220,'GIGA GPO'!D80,'GIGA FINANCE'!D172,'GIGA ADVISORY'!D170,'GIGA Rx'!D111)</f>
        <v>186.29335011750001</v>
      </c>
      <c r="E40" s="56">
        <f>SUM('GIGA HEALTH'!E121,'GIGA EoR'!E220,'GIGA GPO'!E80,'GIGA FINANCE'!E172,'GIGA ADVISORY'!E170,'GIGA Rx'!E111)</f>
        <v>272.5496988658</v>
      </c>
      <c r="F40" s="56">
        <f>SUM('GIGA HEALTH'!F121,'GIGA EoR'!F220,'GIGA GPO'!F80,'GIGA FINANCE'!F172,'GIGA ADVISORY'!F170,'GIGA Rx'!F111)</f>
        <v>361.15980309018005</v>
      </c>
      <c r="G40" s="56">
        <f>SUM('GIGA HEALTH'!G121,'GIGA EoR'!G220,'GIGA GPO'!G80,'GIGA FINANCE'!G172,'GIGA ADVISORY'!G170,'GIGA Rx'!G111)</f>
        <v>443.88255854061003</v>
      </c>
      <c r="H40" s="56">
        <f>SUM('GIGA HEALTH'!H121,'GIGA EoR'!H220,'GIGA GPO'!H80,'GIGA FINANCE'!H172,'GIGA ADVISORY'!H170,'GIGA Rx'!H111)</f>
        <v>492.45400070210923</v>
      </c>
      <c r="I40" s="56">
        <f>SUM('GIGA HEALTH'!I121,'GIGA EoR'!I220,'GIGA GPO'!I80,'GIGA FINANCE'!I172,'GIGA ADVISORY'!I170,'GIGA Rx'!I111)</f>
        <v>521.52233787390719</v>
      </c>
      <c r="J40" s="56">
        <f>SUM('GIGA HEALTH'!J121,'GIGA EoR'!J220,'GIGA GPO'!J80,'GIGA FINANCE'!J172,'GIGA ADVISORY'!J170,'GIGA Rx'!J111)</f>
        <v>535.65010202281167</v>
      </c>
      <c r="K40" s="56">
        <f>SUM('GIGA HEALTH'!K121,'GIGA EoR'!K220,'GIGA GPO'!K80,'GIGA FINANCE'!K172,'GIGA ADVISORY'!K170,'GIGA Rx'!K111)</f>
        <v>532.09290718789987</v>
      </c>
      <c r="L40" s="56">
        <f>SUM('GIGA HEALTH'!L121,'GIGA EoR'!L220,'GIGA GPO'!L80,'GIGA FINANCE'!L172,'GIGA ADVISORY'!L170,'GIGA Rx'!L111)</f>
        <v>512.60700369590097</v>
      </c>
      <c r="M40" s="56">
        <f>SUM('GIGA HEALTH'!M121,'GIGA EoR'!M220,'GIGA GPO'!M80,'GIGA FINANCE'!M172,'GIGA ADVISORY'!M170,'GIGA Rx'!M111)</f>
        <v>486.60744703529519</v>
      </c>
      <c r="N40" s="56">
        <f>SUM('GIGA HEALTH'!N121,'GIGA EoR'!N220,'GIGA GPO'!N80,'GIGA FINANCE'!N172,'GIGA ADVISORY'!N170,'GIGA Rx'!N111)</f>
        <v>458.34466575926808</v>
      </c>
    </row>
    <row r="41" spans="1:14" s="58" customFormat="1" ht="12">
      <c r="A41" s="164" t="s">
        <v>135</v>
      </c>
      <c r="B41" s="164"/>
      <c r="D41" s="59">
        <f>D40/D31</f>
        <v>0.14746047592850597</v>
      </c>
      <c r="E41" s="59">
        <f t="shared" ref="E41:N41" si="5">E40/E31</f>
        <v>0.13568219908505044</v>
      </c>
      <c r="F41" s="59">
        <f t="shared" si="5"/>
        <v>0.12596920293169672</v>
      </c>
      <c r="G41" s="59">
        <f t="shared" si="5"/>
        <v>0.11776134549799661</v>
      </c>
      <c r="H41" s="59">
        <f t="shared" si="5"/>
        <v>0.11056411269589084</v>
      </c>
      <c r="I41" s="59">
        <f t="shared" si="5"/>
        <v>0.10351256114665221</v>
      </c>
      <c r="J41" s="59">
        <f t="shared" si="5"/>
        <v>9.5865879321727285E-2</v>
      </c>
      <c r="K41" s="59">
        <f t="shared" si="5"/>
        <v>8.8371793397455309E-2</v>
      </c>
      <c r="L41" s="59">
        <f t="shared" si="5"/>
        <v>8.0617174560127208E-2</v>
      </c>
      <c r="M41" s="59">
        <f t="shared" si="5"/>
        <v>7.4183000140847152E-2</v>
      </c>
      <c r="N41" s="59">
        <f t="shared" si="5"/>
        <v>6.8215956664229416E-2</v>
      </c>
    </row>
    <row r="42" spans="1:14">
      <c r="A42" s="55" t="s">
        <v>450</v>
      </c>
      <c r="B42" s="55"/>
      <c r="D42" s="56">
        <f>SUM('GIGA HEALTH'!D123,'GIGA EoR'!D222,'GIGA GPO'!D82,'GIGA FINANCE'!D174,'GIGA FINANCE'!D176,'GIGA ADVISORY'!D172,'GIGA Rx'!D113)</f>
        <v>235.83857634250003</v>
      </c>
      <c r="E42" s="56">
        <f>SUM('GIGA HEALTH'!E123,'GIGA EoR'!E222,'GIGA GPO'!E82,'GIGA FINANCE'!E174,'GIGA FINANCE'!E176,'GIGA ADVISORY'!E172,'GIGA Rx'!E113)</f>
        <v>349.32296400180002</v>
      </c>
      <c r="F42" s="56">
        <f>SUM('GIGA HEALTH'!F123,'GIGA EoR'!F222,'GIGA GPO'!F82,'GIGA FINANCE'!F174,'GIGA FINANCE'!F176,'GIGA ADVISORY'!F172,'GIGA Rx'!F113)</f>
        <v>465.59097312828004</v>
      </c>
      <c r="G42" s="56">
        <f>SUM('GIGA HEALTH'!G123,'GIGA EoR'!G222,'GIGA GPO'!G82,'GIGA FINANCE'!G174,'GIGA FINANCE'!G176,'GIGA ADVISORY'!G172,'GIGA Rx'!G113)</f>
        <v>572.58157085030996</v>
      </c>
      <c r="H42" s="56">
        <f>SUM('GIGA HEALTH'!H123,'GIGA EoR'!H222,'GIGA GPO'!H82,'GIGA FINANCE'!H174,'GIGA FINANCE'!H176,'GIGA ADVISORY'!H172,'GIGA Rx'!H113)</f>
        <v>634.89041588942553</v>
      </c>
      <c r="I42" s="56">
        <f>SUM('GIGA HEALTH'!I123,'GIGA EoR'!I222,'GIGA GPO'!I82,'GIGA FINANCE'!I174,'GIGA FINANCE'!I176,'GIGA ADVISORY'!I172,'GIGA Rx'!I113)</f>
        <v>671.00843733599652</v>
      </c>
      <c r="J42" s="56">
        <f>SUM('GIGA HEALTH'!J123,'GIGA EoR'!J222,'GIGA GPO'!J82,'GIGA FINANCE'!J174,'GIGA FINANCE'!J176,'GIGA ADVISORY'!J172,'GIGA Rx'!J113)</f>
        <v>695.37384634049215</v>
      </c>
      <c r="K42" s="56">
        <f>SUM('GIGA HEALTH'!K123,'GIGA EoR'!K222,'GIGA GPO'!K82,'GIGA FINANCE'!K174,'GIGA FINANCE'!K176,'GIGA ADVISORY'!K172,'GIGA Rx'!K113)</f>
        <v>696.18358670067209</v>
      </c>
      <c r="L42" s="56">
        <f>SUM('GIGA HEALTH'!L123,'GIGA EoR'!L222,'GIGA GPO'!L82,'GIGA FINANCE'!L174,'GIGA FINANCE'!L176,'GIGA ADVISORY'!L172,'GIGA Rx'!L113)</f>
        <v>681.77732730180412</v>
      </c>
      <c r="M42" s="56">
        <f>SUM('GIGA HEALTH'!M123,'GIGA EoR'!M222,'GIGA GPO'!M82,'GIGA FINANCE'!M174,'GIGA FINANCE'!M176,'GIGA ADVISORY'!M172,'GIGA Rx'!M113)</f>
        <v>671.66705932171476</v>
      </c>
      <c r="N42" s="56">
        <f>SUM('GIGA HEALTH'!N123,'GIGA EoR'!N222,'GIGA GPO'!N82,'GIGA FINANCE'!N174,'GIGA FINANCE'!N176,'GIGA ADVISORY'!N172,'GIGA Rx'!N113)</f>
        <v>661.71964277377333</v>
      </c>
    </row>
    <row r="43" spans="1:14" s="58" customFormat="1" ht="12">
      <c r="A43" s="164" t="s">
        <v>135</v>
      </c>
      <c r="B43" s="164"/>
      <c r="D43" s="59">
        <f>D42/D31</f>
        <v>0.18667799300314089</v>
      </c>
      <c r="E43" s="59">
        <f t="shared" ref="E43:N43" si="6">E42/E31</f>
        <v>0.17390189071538756</v>
      </c>
      <c r="F43" s="59">
        <f t="shared" si="6"/>
        <v>0.16239383030818016</v>
      </c>
      <c r="G43" s="59">
        <f t="shared" si="6"/>
        <v>0.15190499129404317</v>
      </c>
      <c r="H43" s="59">
        <f t="shared" si="6"/>
        <v>0.14254345663119475</v>
      </c>
      <c r="I43" s="59">
        <f t="shared" si="6"/>
        <v>0.13318279363223609</v>
      </c>
      <c r="J43" s="59">
        <f t="shared" si="6"/>
        <v>0.12445181095834833</v>
      </c>
      <c r="K43" s="59">
        <f t="shared" si="6"/>
        <v>0.11562452958781008</v>
      </c>
      <c r="L43" s="59">
        <f t="shared" si="6"/>
        <v>0.1072224168026248</v>
      </c>
      <c r="M43" s="59">
        <f t="shared" si="6"/>
        <v>0.10239522197992811</v>
      </c>
      <c r="N43" s="59">
        <f t="shared" si="6"/>
        <v>9.848448525205146E-2</v>
      </c>
    </row>
    <row r="44" spans="1:14">
      <c r="A44" s="55" t="s">
        <v>138</v>
      </c>
      <c r="B44" s="55"/>
      <c r="D44" s="56">
        <f>SUM('GIGA HEALTH'!D125,'GIGA EoR'!D224,'GIGA GPO'!D84,'GIGA FINANCE'!D178,'GIGA ADVISORY'!D174,'GIGA Rx'!D115)</f>
        <v>111.06582099000001</v>
      </c>
      <c r="E44" s="56">
        <f>SUM('GIGA HEALTH'!E125,'GIGA EoR'!E224,'GIGA GPO'!E84,'GIGA FINANCE'!E178,'GIGA ADVISORY'!E174,'GIGA Rx'!E115)</f>
        <v>172.07988540439999</v>
      </c>
      <c r="F44" s="56">
        <f>SUM('GIGA HEALTH'!F125,'GIGA EoR'!F224,'GIGA GPO'!F84,'GIGA FINANCE'!F178,'GIGA ADVISORY'!F174,'GIGA Rx'!F115)</f>
        <v>237.65863886274002</v>
      </c>
      <c r="G44" s="56">
        <f>SUM('GIGA HEALTH'!G125,'GIGA EoR'!G224,'GIGA GPO'!G84,'GIGA FINANCE'!G178,'GIGA ADVISORY'!G174,'GIGA Rx'!G115)</f>
        <v>301.59948712278003</v>
      </c>
      <c r="H44" s="56">
        <f>SUM('GIGA HEALTH'!H125,'GIGA EoR'!H224,'GIGA GPO'!H84,'GIGA FINANCE'!H178,'GIGA ADVISORY'!H174,'GIGA Rx'!H115)</f>
        <v>346.20442936504429</v>
      </c>
      <c r="I44" s="56">
        <f>SUM('GIGA HEALTH'!I125,'GIGA EoR'!I224,'GIGA GPO'!I84,'GIGA FINANCE'!I178,'GIGA ADVISORY'!I174,'GIGA Rx'!I115)</f>
        <v>378.42589679467704</v>
      </c>
      <c r="J44" s="56">
        <f>SUM('GIGA HEALTH'!J125,'GIGA EoR'!J224,'GIGA GPO'!J84,'GIGA FINANCE'!J178,'GIGA ADVISORY'!J174,'GIGA Rx'!J115)</f>
        <v>403.59853785949201</v>
      </c>
      <c r="K44" s="56">
        <f>SUM('GIGA HEALTH'!K125,'GIGA EoR'!K224,'GIGA GPO'!K84,'GIGA FINANCE'!K178,'GIGA ADVISORY'!K174,'GIGA Rx'!K115)</f>
        <v>418.38846843795073</v>
      </c>
      <c r="L44" s="56">
        <f>SUM('GIGA HEALTH'!L125,'GIGA EoR'!L224,'GIGA GPO'!L84,'GIGA FINANCE'!L178,'GIGA ADVISORY'!L174,'GIGA Rx'!L115)</f>
        <v>422.49701594740714</v>
      </c>
      <c r="M44" s="56">
        <f>SUM('GIGA HEALTH'!M125,'GIGA EoR'!M224,'GIGA GPO'!M84,'GIGA FINANCE'!M178,'GIGA ADVISORY'!M174,'GIGA Rx'!M115)</f>
        <v>424.47553252590723</v>
      </c>
      <c r="N44" s="56">
        <f>SUM('GIGA HEALTH'!N125,'GIGA EoR'!N224,'GIGA GPO'!N84,'GIGA FINANCE'!N178,'GIGA ADVISORY'!N174,'GIGA Rx'!N115)</f>
        <v>431.86933983400741</v>
      </c>
    </row>
    <row r="45" spans="1:14" s="58" customFormat="1" ht="12">
      <c r="A45" s="164" t="s">
        <v>135</v>
      </c>
      <c r="B45" s="164"/>
      <c r="D45" s="59">
        <f>D44/D31</f>
        <v>8.7914135487099976E-2</v>
      </c>
      <c r="E45" s="59">
        <f t="shared" ref="E45:N45" si="7">E44/E31</f>
        <v>8.5665760656256709E-2</v>
      </c>
      <c r="F45" s="59">
        <f t="shared" si="7"/>
        <v>8.2893137750149934E-2</v>
      </c>
      <c r="G45" s="59">
        <f t="shared" si="7"/>
        <v>8.0013870159385672E-2</v>
      </c>
      <c r="H45" s="59">
        <f t="shared" si="7"/>
        <v>7.7728651791962977E-2</v>
      </c>
      <c r="I45" s="59">
        <f t="shared" si="7"/>
        <v>7.5110557950648332E-2</v>
      </c>
      <c r="J45" s="59">
        <f t="shared" si="7"/>
        <v>7.2232467759738989E-2</v>
      </c>
      <c r="K45" s="59">
        <f t="shared" si="7"/>
        <v>6.9487374842265401E-2</v>
      </c>
      <c r="L45" s="59">
        <f t="shared" si="7"/>
        <v>6.6445669762973114E-2</v>
      </c>
      <c r="M45" s="59">
        <f t="shared" si="7"/>
        <v>6.4711028737855628E-2</v>
      </c>
      <c r="N45" s="59">
        <f t="shared" si="7"/>
        <v>6.4275603866630809E-2</v>
      </c>
    </row>
    <row r="46" spans="1:14" s="58" customFormat="1">
      <c r="A46" s="55" t="s">
        <v>452</v>
      </c>
      <c r="B46" s="55"/>
      <c r="D46" s="56">
        <f>SUM(D40,D42,D44)</f>
        <v>533.19774745000007</v>
      </c>
      <c r="E46" s="56">
        <f t="shared" ref="E46:N46" si="8">SUM(E40,E42,E44)</f>
        <v>793.95254827199994</v>
      </c>
      <c r="F46" s="56">
        <f t="shared" si="8"/>
        <v>1064.4094150812</v>
      </c>
      <c r="G46" s="56">
        <f t="shared" si="8"/>
        <v>1318.0636165137</v>
      </c>
      <c r="H46" s="56">
        <f t="shared" si="8"/>
        <v>1473.548845956579</v>
      </c>
      <c r="I46" s="56">
        <f t="shared" si="8"/>
        <v>1570.9566720045809</v>
      </c>
      <c r="J46" s="56">
        <f t="shared" si="8"/>
        <v>1634.6224862227959</v>
      </c>
      <c r="K46" s="56">
        <f t="shared" si="8"/>
        <v>1646.6649623265228</v>
      </c>
      <c r="L46" s="56">
        <f t="shared" si="8"/>
        <v>1616.8813469451122</v>
      </c>
      <c r="M46" s="56">
        <f t="shared" si="8"/>
        <v>1582.7500388829174</v>
      </c>
      <c r="N46" s="56">
        <f t="shared" si="8"/>
        <v>1551.9336483670488</v>
      </c>
    </row>
    <row r="47" spans="1:14" s="58" customFormat="1" ht="12">
      <c r="A47" s="164" t="s">
        <v>135</v>
      </c>
      <c r="B47" s="164"/>
      <c r="D47" s="59">
        <f>SUM(D41,D43,D45)</f>
        <v>0.42205260441874687</v>
      </c>
      <c r="E47" s="59">
        <f t="shared" ref="E47:N47" si="9">SUM(E41,E43,E45)</f>
        <v>0.3952498504566947</v>
      </c>
      <c r="F47" s="59">
        <f t="shared" si="9"/>
        <v>0.37125617099002683</v>
      </c>
      <c r="G47" s="59">
        <f t="shared" si="9"/>
        <v>0.34968020695142543</v>
      </c>
      <c r="H47" s="59">
        <f t="shared" si="9"/>
        <v>0.33083622111904853</v>
      </c>
      <c r="I47" s="59">
        <f t="shared" si="9"/>
        <v>0.31180591272953662</v>
      </c>
      <c r="J47" s="59">
        <f t="shared" si="9"/>
        <v>0.2925501580398146</v>
      </c>
      <c r="K47" s="59">
        <f t="shared" si="9"/>
        <v>0.27348369782753079</v>
      </c>
      <c r="L47" s="59">
        <f t="shared" si="9"/>
        <v>0.25428526112572514</v>
      </c>
      <c r="M47" s="59">
        <f t="shared" si="9"/>
        <v>0.2412892508586309</v>
      </c>
      <c r="N47" s="59">
        <f t="shared" si="9"/>
        <v>0.23097604578291167</v>
      </c>
    </row>
    <row r="49" spans="1:19">
      <c r="A49" s="92" t="s">
        <v>285</v>
      </c>
      <c r="B49" s="92"/>
      <c r="D49" s="56">
        <f>D37-D46</f>
        <v>-97.072860750000018</v>
      </c>
      <c r="E49" s="56">
        <f>E37-E46</f>
        <v>6.7568729399998801</v>
      </c>
      <c r="F49" s="56">
        <f t="shared" ref="F49:N49" si="10">F37-F46</f>
        <v>114.97637664599984</v>
      </c>
      <c r="G49" s="56">
        <f t="shared" si="10"/>
        <v>294.06757572569927</v>
      </c>
      <c r="H49" s="56">
        <f t="shared" si="10"/>
        <v>524.74581141349472</v>
      </c>
      <c r="I49" s="56">
        <f t="shared" si="10"/>
        <v>789.91078024350145</v>
      </c>
      <c r="J49" s="56">
        <f t="shared" si="10"/>
        <v>1081.453611758262</v>
      </c>
      <c r="K49" s="56">
        <f t="shared" si="10"/>
        <v>1383.9744402480508</v>
      </c>
      <c r="L49" s="56">
        <f t="shared" si="10"/>
        <v>1692.6046470219896</v>
      </c>
      <c r="M49" s="56">
        <f t="shared" si="10"/>
        <v>1931.2757632868941</v>
      </c>
      <c r="N49" s="56">
        <f t="shared" si="10"/>
        <v>2136.9819995843582</v>
      </c>
    </row>
    <row r="50" spans="1:19" s="58" customFormat="1" ht="12">
      <c r="A50" s="262" t="s">
        <v>135</v>
      </c>
      <c r="B50" s="262"/>
      <c r="D50" s="59">
        <f t="shared" ref="D50:N50" si="11">D49/D31</f>
        <v>-7.6838009713755873E-2</v>
      </c>
      <c r="E50" s="59">
        <f t="shared" si="11"/>
        <v>3.3637438722281185E-3</v>
      </c>
      <c r="F50" s="59">
        <f t="shared" si="11"/>
        <v>4.0102698024936857E-2</v>
      </c>
      <c r="G50" s="59">
        <f t="shared" si="11"/>
        <v>7.801566589741131E-2</v>
      </c>
      <c r="H50" s="59">
        <f t="shared" si="11"/>
        <v>0.11781416121526052</v>
      </c>
      <c r="I50" s="59">
        <f t="shared" si="11"/>
        <v>0.1567827147609627</v>
      </c>
      <c r="J50" s="59">
        <f t="shared" si="11"/>
        <v>0.19354892502652504</v>
      </c>
      <c r="K50" s="59">
        <f t="shared" si="11"/>
        <v>0.22985516560883199</v>
      </c>
      <c r="L50" s="59">
        <f t="shared" si="11"/>
        <v>0.26619418639703885</v>
      </c>
      <c r="M50" s="59">
        <f t="shared" si="11"/>
        <v>0.2944217789776955</v>
      </c>
      <c r="N50" s="59">
        <f t="shared" si="11"/>
        <v>0.31804945571778415</v>
      </c>
    </row>
    <row r="52" spans="1:19">
      <c r="A52" s="55" t="s">
        <v>139</v>
      </c>
      <c r="B52" s="55"/>
      <c r="D52" s="56">
        <f t="shared" ref="D52:N52" si="12">D31*D53</f>
        <v>37.90032867</v>
      </c>
      <c r="E52" s="56">
        <f t="shared" si="12"/>
        <v>58.253339940000004</v>
      </c>
      <c r="F52" s="56">
        <f t="shared" si="12"/>
        <v>80.277355505759999</v>
      </c>
      <c r="G52" s="56">
        <f t="shared" si="12"/>
        <v>101.77218194912999</v>
      </c>
      <c r="H52" s="56">
        <f t="shared" si="12"/>
        <v>115.80433927482419</v>
      </c>
      <c r="I52" s="56">
        <f t="shared" si="12"/>
        <v>125.95629267037371</v>
      </c>
      <c r="J52" s="56">
        <f t="shared" si="12"/>
        <v>134.0998751537436</v>
      </c>
      <c r="K52" s="56">
        <f t="shared" si="12"/>
        <v>138.48464985066261</v>
      </c>
      <c r="L52" s="56">
        <f t="shared" si="12"/>
        <v>139.88773661248524</v>
      </c>
      <c r="M52" s="56">
        <f t="shared" si="12"/>
        <v>137.75064864375145</v>
      </c>
      <c r="N52" s="56">
        <f t="shared" si="12"/>
        <v>134.38048461749756</v>
      </c>
    </row>
    <row r="53" spans="1:19" s="58" customFormat="1" ht="12">
      <c r="A53" s="164" t="s">
        <v>135</v>
      </c>
      <c r="B53" s="164"/>
      <c r="D53" s="59">
        <v>0.03</v>
      </c>
      <c r="E53" s="59">
        <v>2.9000000000000001E-2</v>
      </c>
      <c r="F53" s="59">
        <v>2.8000000000000001E-2</v>
      </c>
      <c r="G53" s="59">
        <v>2.7E-2</v>
      </c>
      <c r="H53" s="59">
        <v>2.5999999999999999E-2</v>
      </c>
      <c r="I53" s="59">
        <v>2.5000000000000001E-2</v>
      </c>
      <c r="J53" s="59">
        <v>2.4E-2</v>
      </c>
      <c r="K53" s="59">
        <v>2.3E-2</v>
      </c>
      <c r="L53" s="59">
        <v>2.1999999999999999E-2</v>
      </c>
      <c r="M53" s="59">
        <v>2.1000000000000001E-2</v>
      </c>
      <c r="N53" s="59">
        <v>0.02</v>
      </c>
    </row>
    <row r="55" spans="1:19">
      <c r="A55" s="92" t="s">
        <v>140</v>
      </c>
      <c r="B55" s="92"/>
      <c r="D55" s="56">
        <f>D37- SUM(D40,D42,D44)-D52</f>
        <v>-134.97318942000001</v>
      </c>
      <c r="E55" s="56">
        <f t="shared" ref="E55:N55" si="13">E37- SUM(E40,E42,E44)-E52</f>
        <v>-51.496467000000123</v>
      </c>
      <c r="F55" s="56">
        <f t="shared" si="13"/>
        <v>34.699021140239836</v>
      </c>
      <c r="G55" s="56">
        <f t="shared" si="13"/>
        <v>192.29539377656928</v>
      </c>
      <c r="H55" s="56">
        <f t="shared" si="13"/>
        <v>408.94147213867052</v>
      </c>
      <c r="I55" s="56">
        <f t="shared" si="13"/>
        <v>663.95448757312772</v>
      </c>
      <c r="J55" s="56">
        <f t="shared" si="13"/>
        <v>947.35373660451842</v>
      </c>
      <c r="K55" s="56">
        <f t="shared" si="13"/>
        <v>1245.4897903973881</v>
      </c>
      <c r="L55" s="56">
        <f t="shared" si="13"/>
        <v>1552.7169104095044</v>
      </c>
      <c r="M55" s="56">
        <f t="shared" si="13"/>
        <v>1793.5251146431426</v>
      </c>
      <c r="N55" s="56">
        <f t="shared" si="13"/>
        <v>2002.6015149668606</v>
      </c>
    </row>
    <row r="56" spans="1:19" s="58" customFormat="1" ht="12">
      <c r="A56" s="262" t="s">
        <v>135</v>
      </c>
      <c r="B56" s="262"/>
      <c r="D56" s="59">
        <f t="shared" ref="D56:N56" si="14">D55/D31</f>
        <v>-0.10683800971375587</v>
      </c>
      <c r="E56" s="59">
        <f t="shared" si="14"/>
        <v>-2.5636256127771883E-2</v>
      </c>
      <c r="F56" s="59">
        <f t="shared" si="14"/>
        <v>1.2102698024936857E-2</v>
      </c>
      <c r="G56" s="59">
        <f t="shared" si="14"/>
        <v>5.1015665897411321E-2</v>
      </c>
      <c r="H56" s="59">
        <f t="shared" si="14"/>
        <v>9.1814161215260523E-2</v>
      </c>
      <c r="I56" s="59">
        <f t="shared" si="14"/>
        <v>0.13178271476096268</v>
      </c>
      <c r="J56" s="59">
        <f t="shared" si="14"/>
        <v>0.16954892502652505</v>
      </c>
      <c r="K56" s="59">
        <f t="shared" si="14"/>
        <v>0.20685516560883199</v>
      </c>
      <c r="L56" s="59">
        <f t="shared" si="14"/>
        <v>0.24419418639703885</v>
      </c>
      <c r="M56" s="59">
        <f t="shared" si="14"/>
        <v>0.27342177897769548</v>
      </c>
      <c r="N56" s="59">
        <f t="shared" si="14"/>
        <v>0.29804945571778413</v>
      </c>
    </row>
    <row r="58" spans="1:19">
      <c r="A58" s="55" t="s">
        <v>141</v>
      </c>
      <c r="B58" s="55"/>
      <c r="D58" s="56">
        <f>SUM('GIGA HEALTH'!D134,'GIGA EoR'!D236,'GIGA GPO'!D96,'GIGA FINANCE'!D192,'GIGA ADVISORY'!D188,'GIGA Rx'!D129)</f>
        <v>55.29200445</v>
      </c>
      <c r="E58" s="56">
        <f>SUM('GIGA HEALTH'!E134,'GIGA EoR'!E236,'GIGA GPO'!E96,'GIGA FINANCE'!E192,'GIGA ADVISORY'!E188,'GIGA Rx'!E129)</f>
        <v>86.063061380000008</v>
      </c>
      <c r="F58" s="56">
        <f>SUM('GIGA HEALTH'!F134,'GIGA EoR'!F236,'GIGA GPO'!F96,'GIGA FINANCE'!F192,'GIGA ADVISORY'!F188,'GIGA Rx'!F129)</f>
        <v>117.76740492432</v>
      </c>
      <c r="G58" s="56">
        <f>SUM('GIGA HEALTH'!G134,'GIGA EoR'!G236,'GIGA GPO'!G96,'GIGA FINANCE'!G192,'GIGA ADVISORY'!G188,'GIGA Rx'!G129)</f>
        <v>146.76939408557999</v>
      </c>
      <c r="H58" s="56">
        <f>SUM('GIGA HEALTH'!H134,'GIGA EoR'!H236,'GIGA GPO'!H96,'GIGA FINANCE'!H192,'GIGA ADVISORY'!H188,'GIGA Rx'!H129)</f>
        <v>163.83856711030199</v>
      </c>
      <c r="I58" s="56">
        <f>SUM('GIGA HEALTH'!I134,'GIGA EoR'!I236,'GIGA GPO'!I96,'GIGA FINANCE'!I192,'GIGA ADVISORY'!I188,'GIGA Rx'!I129)</f>
        <v>173.24045741800097</v>
      </c>
      <c r="J58" s="56">
        <f>SUM('GIGA HEALTH'!J134,'GIGA EoR'!J236,'GIGA GPO'!J96,'GIGA FINANCE'!J192,'GIGA ADVISORY'!J188,'GIGA Rx'!J129)</f>
        <v>178.95739321108908</v>
      </c>
      <c r="K58" s="56">
        <f>SUM('GIGA HEALTH'!K134,'GIGA EoR'!K236,'GIGA GPO'!K96,'GIGA FINANCE'!K192,'GIGA ADVISORY'!K188,'GIGA Rx'!K129)</f>
        <v>179.57968497243101</v>
      </c>
      <c r="L58" s="56">
        <f>SUM('GIGA HEALTH'!L134,'GIGA EoR'!L236,'GIGA GPO'!L96,'GIGA FINANCE'!L192,'GIGA ADVISORY'!L188,'GIGA Rx'!L129)</f>
        <v>174.5232113406405</v>
      </c>
      <c r="M58" s="56">
        <f>SUM('GIGA HEALTH'!M134,'GIGA EoR'!M236,'GIGA GPO'!M96,'GIGA FINANCE'!M192,'GIGA ADVISORY'!M188,'GIGA Rx'!M129)</f>
        <v>170.90726995740877</v>
      </c>
      <c r="N58" s="56">
        <f>SUM('GIGA HEALTH'!N134,'GIGA EoR'!N236,'GIGA GPO'!N96,'GIGA FINANCE'!N192,'GIGA ADVISORY'!N188,'GIGA Rx'!N129)</f>
        <v>165.55914977153304</v>
      </c>
      <c r="S58" s="94"/>
    </row>
    <row r="59" spans="1:19" s="58" customFormat="1" ht="12">
      <c r="A59" s="164" t="s">
        <v>135</v>
      </c>
      <c r="B59" s="164"/>
      <c r="D59" s="59">
        <f>D58/D31</f>
        <v>4.3766378596420755E-2</v>
      </c>
      <c r="E59" s="59">
        <f t="shared" ref="E59:N59" si="15">E58/E31</f>
        <v>4.284438939622455E-2</v>
      </c>
      <c r="F59" s="59">
        <f t="shared" si="15"/>
        <v>4.1076182904958319E-2</v>
      </c>
      <c r="G59" s="59">
        <f t="shared" si="15"/>
        <v>3.8937689694924886E-2</v>
      </c>
      <c r="H59" s="59">
        <f t="shared" si="15"/>
        <v>3.6784482961027792E-2</v>
      </c>
      <c r="I59" s="59">
        <f t="shared" si="15"/>
        <v>3.4385034233932528E-2</v>
      </c>
      <c r="J59" s="59">
        <f t="shared" si="15"/>
        <v>3.2028198625405187E-2</v>
      </c>
      <c r="K59" s="59">
        <f t="shared" si="15"/>
        <v>2.9825202712502295E-2</v>
      </c>
      <c r="L59" s="59">
        <f t="shared" si="15"/>
        <v>2.7447085373396539E-2</v>
      </c>
      <c r="M59" s="59">
        <f t="shared" si="15"/>
        <v>2.6054706126194264E-2</v>
      </c>
      <c r="N59" s="59">
        <f t="shared" si="15"/>
        <v>2.4640356111645653E-2</v>
      </c>
    </row>
    <row r="61" spans="1:19">
      <c r="A61" s="55" t="s">
        <v>142</v>
      </c>
      <c r="B61" s="55"/>
      <c r="D61" s="56">
        <f>SUM('GIGA HEALTH'!D137,'GIGA EoR'!D239,'GIGA GPO'!D99,'GIGA FINANCE'!D195,'GIGA ADVISORY'!D191,'GIGA Rx'!D132)</f>
        <v>89.118499010000008</v>
      </c>
      <c r="E61" s="56">
        <f>SUM('GIGA HEALTH'!E137,'GIGA EoR'!E239,'GIGA GPO'!E99,'GIGA FINANCE'!E195,'GIGA ADVISORY'!E191,'GIGA Rx'!E132)</f>
        <v>121.9430572</v>
      </c>
      <c r="F61" s="56">
        <f>SUM('GIGA HEALTH'!F137,'GIGA EoR'!F239,'GIGA GPO'!F99,'GIGA FINANCE'!F195,'GIGA ADVISORY'!F191,'GIGA Rx'!F132)</f>
        <v>164.45962874279999</v>
      </c>
      <c r="G61" s="56">
        <f>SUM('GIGA HEALTH'!G137,'GIGA EoR'!G239,'GIGA GPO'!G99,'GIGA FINANCE'!G195,'GIGA ADVISORY'!G191,'GIGA Rx'!G132)</f>
        <v>200.68431151965001</v>
      </c>
      <c r="H61" s="56">
        <f>SUM('GIGA HEALTH'!H137,'GIGA EoR'!H239,'GIGA GPO'!H99,'GIGA FINANCE'!H195,'GIGA ADVISORY'!H191,'GIGA Rx'!H132)</f>
        <v>218.96669763164698</v>
      </c>
      <c r="I61" s="56">
        <f>SUM('GIGA HEALTH'!I137,'GIGA EoR'!I239,'GIGA GPO'!I99,'GIGA FINANCE'!I195,'GIGA ADVISORY'!I191,'GIGA Rx'!I132)</f>
        <v>232.60821064985447</v>
      </c>
      <c r="J61" s="56">
        <f>SUM('GIGA HEALTH'!J137,'GIGA EoR'!J239,'GIGA GPO'!J99,'GIGA FINANCE'!J195,'GIGA ADVISORY'!J191,'GIGA Rx'!J132)</f>
        <v>235.29809878371825</v>
      </c>
      <c r="K61" s="56">
        <f>SUM('GIGA HEALTH'!K137,'GIGA EoR'!K239,'GIGA GPO'!K99,'GIGA FINANCE'!K195,'GIGA ADVISORY'!K191,'GIGA Rx'!K132)</f>
        <v>227.95542315927614</v>
      </c>
      <c r="L61" s="56">
        <f>SUM('GIGA HEALTH'!L137,'GIGA EoR'!L239,'GIGA GPO'!L99,'GIGA FINANCE'!L195,'GIGA ADVISORY'!L191,'GIGA Rx'!L132)</f>
        <v>223.94290307268329</v>
      </c>
      <c r="M61" s="56">
        <f>SUM('GIGA HEALTH'!M137,'GIGA EoR'!M239,'GIGA GPO'!M99,'GIGA FINANCE'!M195,'GIGA ADVISORY'!M191,'GIGA Rx'!M132)</f>
        <v>214.01622710030034</v>
      </c>
      <c r="N61" s="56">
        <f>SUM('GIGA HEALTH'!N137,'GIGA EoR'!N239,'GIGA GPO'!N99,'GIGA FINANCE'!N195,'GIGA ADVISORY'!N191,'GIGA Rx'!N132)</f>
        <v>201.13744075895445</v>
      </c>
    </row>
    <row r="62" spans="1:19" s="58" customFormat="1" ht="12">
      <c r="A62" s="164" t="s">
        <v>135</v>
      </c>
      <c r="B62" s="164"/>
      <c r="D62" s="59">
        <f>D61/D31</f>
        <v>7.0541735761153232E-2</v>
      </c>
      <c r="E62" s="59">
        <f t="shared" ref="E62:N62" si="16">E61/E31</f>
        <v>6.0706367436483159E-2</v>
      </c>
      <c r="F62" s="59">
        <f t="shared" si="16"/>
        <v>5.7361999231128072E-2</v>
      </c>
      <c r="G62" s="59">
        <f t="shared" si="16"/>
        <v>5.3241232596731906E-2</v>
      </c>
      <c r="H62" s="59">
        <f t="shared" si="16"/>
        <v>4.916166504704117E-2</v>
      </c>
      <c r="I62" s="59">
        <f t="shared" si="16"/>
        <v>4.61684378204485E-2</v>
      </c>
      <c r="J62" s="59">
        <f t="shared" si="16"/>
        <v>4.2111555766437929E-2</v>
      </c>
      <c r="K62" s="59">
        <f t="shared" si="16"/>
        <v>3.7859609265844307E-2</v>
      </c>
      <c r="L62" s="59">
        <f t="shared" si="16"/>
        <v>3.5219269300546474E-2</v>
      </c>
      <c r="M62" s="59">
        <f t="shared" si="16"/>
        <v>3.2626639608278732E-2</v>
      </c>
      <c r="N62" s="59">
        <f t="shared" si="16"/>
        <v>2.9935513528095214E-2</v>
      </c>
    </row>
    <row r="64" spans="1:19">
      <c r="A64" s="55" t="s">
        <v>143</v>
      </c>
      <c r="B64" s="55"/>
      <c r="D64" s="56">
        <f xml:space="preserve"> MAX(D55,0)*25%</f>
        <v>0</v>
      </c>
      <c r="E64" s="56">
        <f t="shared" ref="E64:N64" si="17" xml:space="preserve"> MAX(E55,0)*25%</f>
        <v>0</v>
      </c>
      <c r="F64" s="56">
        <f t="shared" si="17"/>
        <v>8.674755285059959</v>
      </c>
      <c r="G64" s="56">
        <f t="shared" si="17"/>
        <v>48.073848444142321</v>
      </c>
      <c r="H64" s="56">
        <f t="shared" si="17"/>
        <v>102.23536803466763</v>
      </c>
      <c r="I64" s="56">
        <f t="shared" si="17"/>
        <v>165.98862189328193</v>
      </c>
      <c r="J64" s="56">
        <f t="shared" si="17"/>
        <v>236.8384341511296</v>
      </c>
      <c r="K64" s="56">
        <f t="shared" si="17"/>
        <v>311.37244759934703</v>
      </c>
      <c r="L64" s="56">
        <f t="shared" si="17"/>
        <v>388.1792276023761</v>
      </c>
      <c r="M64" s="56">
        <f t="shared" si="17"/>
        <v>448.38127866078565</v>
      </c>
      <c r="N64" s="56">
        <f t="shared" si="17"/>
        <v>500.65037874171514</v>
      </c>
    </row>
    <row r="65" spans="1:15" s="58" customFormat="1" ht="12">
      <c r="A65" s="164" t="s">
        <v>135</v>
      </c>
      <c r="B65" s="164"/>
      <c r="D65" s="59">
        <v>0.25</v>
      </c>
      <c r="E65" s="59">
        <v>0.25</v>
      </c>
      <c r="F65" s="59">
        <v>0.25</v>
      </c>
      <c r="G65" s="59">
        <v>0.25</v>
      </c>
      <c r="H65" s="59">
        <v>0.25</v>
      </c>
      <c r="I65" s="59">
        <v>0.25</v>
      </c>
      <c r="J65" s="59">
        <v>0.25</v>
      </c>
      <c r="K65" s="59">
        <v>0.25</v>
      </c>
      <c r="L65" s="59">
        <v>0.25</v>
      </c>
      <c r="M65" s="59">
        <v>0.25</v>
      </c>
      <c r="N65" s="59">
        <v>0.25</v>
      </c>
    </row>
    <row r="67" spans="1:15">
      <c r="A67" s="60" t="s">
        <v>144</v>
      </c>
      <c r="B67" s="60"/>
      <c r="D67" s="56">
        <f>D55+D52-D58-D61 - D64</f>
        <v>-241.48336421000005</v>
      </c>
      <c r="E67" s="56">
        <f t="shared" ref="E67:N67" si="18">E55+E52-E58-E61 - E64</f>
        <v>-201.24924564000014</v>
      </c>
      <c r="F67" s="56">
        <f t="shared" si="18"/>
        <v>-175.92541230618014</v>
      </c>
      <c r="G67" s="56">
        <f t="shared" si="18"/>
        <v>-101.45997832367306</v>
      </c>
      <c r="H67" s="56">
        <f t="shared" si="18"/>
        <v>39.705178636878117</v>
      </c>
      <c r="I67" s="56">
        <f t="shared" si="18"/>
        <v>218.07349028236413</v>
      </c>
      <c r="J67" s="56">
        <f t="shared" si="18"/>
        <v>430.35968561232505</v>
      </c>
      <c r="K67" s="56">
        <f t="shared" si="18"/>
        <v>665.06688451699642</v>
      </c>
      <c r="L67" s="56">
        <f t="shared" si="18"/>
        <v>905.9593050062897</v>
      </c>
      <c r="M67" s="56">
        <f t="shared" si="18"/>
        <v>1097.9709875683993</v>
      </c>
      <c r="N67" s="56">
        <f t="shared" si="18"/>
        <v>1269.6350303121553</v>
      </c>
    </row>
    <row r="68" spans="1:15" s="58" customFormat="1" ht="12">
      <c r="A68" s="165" t="s">
        <v>135</v>
      </c>
      <c r="B68" s="165"/>
      <c r="D68" s="59">
        <f t="shared" ref="D68:N68" si="19">D67/D31</f>
        <v>-0.19114612407132989</v>
      </c>
      <c r="E68" s="59">
        <f t="shared" si="19"/>
        <v>-0.1001870129604796</v>
      </c>
      <c r="F68" s="59">
        <f t="shared" si="19"/>
        <v>-6.1361158617383754E-2</v>
      </c>
      <c r="G68" s="59">
        <f t="shared" si="19"/>
        <v>-2.6917172868598311E-2</v>
      </c>
      <c r="H68" s="59">
        <f t="shared" si="19"/>
        <v>8.9144729033764289E-3</v>
      </c>
      <c r="I68" s="59">
        <f t="shared" si="19"/>
        <v>4.3283564016341002E-2</v>
      </c>
      <c r="J68" s="59">
        <f t="shared" si="19"/>
        <v>7.7021939378050658E-2</v>
      </c>
      <c r="K68" s="59">
        <f t="shared" si="19"/>
        <v>0.11045656222827736</v>
      </c>
      <c r="L68" s="59">
        <f t="shared" si="19"/>
        <v>0.14247928512383612</v>
      </c>
      <c r="M68" s="59">
        <f t="shared" si="19"/>
        <v>0.16738498849879863</v>
      </c>
      <c r="N68" s="59">
        <f t="shared" si="19"/>
        <v>0.1889612221485972</v>
      </c>
    </row>
    <row r="70" spans="1:15">
      <c r="A70" s="166" t="s">
        <v>145</v>
      </c>
      <c r="B70" s="166"/>
      <c r="D70" s="61">
        <f>D67/(1+$D$74)^(D29-0.5)</f>
        <v>-262.31807776897847</v>
      </c>
      <c r="E70" s="61">
        <f t="shared" ref="E70:N70" si="20">E67/(1+$D$74)^(E29-0.5)</f>
        <v>-185.26494740736896</v>
      </c>
      <c r="F70" s="61">
        <f t="shared" si="20"/>
        <v>-137.24785526471763</v>
      </c>
      <c r="G70" s="61">
        <f t="shared" si="20"/>
        <v>-67.079489210921807</v>
      </c>
      <c r="H70" s="61">
        <f t="shared" si="20"/>
        <v>22.246419821542581</v>
      </c>
      <c r="I70" s="61">
        <f t="shared" si="20"/>
        <v>103.54612278533727</v>
      </c>
      <c r="J70" s="61">
        <f t="shared" si="20"/>
        <v>173.17314386273262</v>
      </c>
      <c r="K70" s="61">
        <f t="shared" si="20"/>
        <v>226.79437358396251</v>
      </c>
      <c r="L70" s="61">
        <f t="shared" si="20"/>
        <v>261.81446374079593</v>
      </c>
      <c r="M70" s="61">
        <f t="shared" si="20"/>
        <v>268.90185767694902</v>
      </c>
      <c r="N70" s="61">
        <f t="shared" si="20"/>
        <v>263.51165405282205</v>
      </c>
    </row>
    <row r="71" spans="1:15" s="142" customFormat="1" ht="10.8">
      <c r="A71" s="142" t="s">
        <v>146</v>
      </c>
      <c r="D71" s="143">
        <f>SUM(C70:D70)</f>
        <v>-262.31807776897847</v>
      </c>
      <c r="E71" s="143">
        <f>SUM(D70:E70)</f>
        <v>-447.58302517634741</v>
      </c>
      <c r="F71" s="143">
        <f xml:space="preserve"> SUM(F70,E71)</f>
        <v>-584.83088044106501</v>
      </c>
      <c r="G71" s="143">
        <f t="shared" ref="G71:N71" si="21" xml:space="preserve"> SUM(G70,F71)</f>
        <v>-651.9103696519868</v>
      </c>
      <c r="H71" s="143">
        <f t="shared" si="21"/>
        <v>-629.66394983044427</v>
      </c>
      <c r="I71" s="143">
        <f t="shared" si="21"/>
        <v>-526.11782704510699</v>
      </c>
      <c r="J71" s="143">
        <f t="shared" si="21"/>
        <v>-352.94468318237438</v>
      </c>
      <c r="K71" s="143">
        <f t="shared" si="21"/>
        <v>-126.15030959841187</v>
      </c>
      <c r="L71" s="143">
        <f t="shared" si="21"/>
        <v>135.66415414238406</v>
      </c>
      <c r="M71" s="143">
        <f t="shared" si="21"/>
        <v>404.56601181933308</v>
      </c>
      <c r="N71" s="143">
        <f t="shared" si="21"/>
        <v>668.07766587215519</v>
      </c>
    </row>
    <row r="72" spans="1:15"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</row>
    <row r="73" spans="1:15" s="3" customFormat="1">
      <c r="A73" s="2" t="s">
        <v>130</v>
      </c>
    </row>
    <row r="74" spans="1:15">
      <c r="A74" s="161" t="s">
        <v>147</v>
      </c>
      <c r="B74" s="162"/>
      <c r="C74" s="163"/>
      <c r="D74" s="63">
        <f>CHOOSE(ASSUMPTIONS!E5,ASSUMPTIONS!D32,ASSUMPTIONS!D33,ASSUMPTIONS!D34)</f>
        <v>0.18</v>
      </c>
    </row>
    <row r="75" spans="1:15">
      <c r="A75" s="161" t="s">
        <v>148</v>
      </c>
      <c r="B75" s="162"/>
      <c r="C75" s="163"/>
      <c r="D75" s="63">
        <f>CHOOSE(ASSUMPTIONS!E5,ASSUMPTIONS!E32,ASSUMPTIONS!E33,ASSUMPTIONS!E34)</f>
        <v>3.5000000000000003E-2</v>
      </c>
    </row>
    <row r="76" spans="1:15">
      <c r="A76" s="160" t="s">
        <v>149</v>
      </c>
      <c r="B76" s="160"/>
      <c r="C76" s="160"/>
      <c r="D76" s="64">
        <f>N67*(1+D75)/(D74-D75)</f>
        <v>9062.56728533159</v>
      </c>
    </row>
    <row r="77" spans="1:15">
      <c r="A77" s="160" t="s">
        <v>150</v>
      </c>
      <c r="B77" s="160"/>
      <c r="C77" s="160"/>
      <c r="D77" s="64">
        <f xml:space="preserve"> D76/(1+D74)^N29</f>
        <v>1731.5345872405644</v>
      </c>
    </row>
    <row r="78" spans="1:15">
      <c r="A78" s="160" t="s">
        <v>732</v>
      </c>
      <c r="B78" s="160"/>
      <c r="C78" s="160"/>
      <c r="D78" s="64">
        <f>SUM(D67:N67)</f>
        <v>3906.6525614555549</v>
      </c>
      <c r="O78" s="65"/>
    </row>
    <row r="79" spans="1:15">
      <c r="D79" s="65"/>
    </row>
    <row r="80" spans="1:15">
      <c r="A80" s="161" t="s">
        <v>151</v>
      </c>
      <c r="B80" s="162"/>
      <c r="C80" s="163"/>
      <c r="D80" s="66">
        <f>SUM(D77:D78)</f>
        <v>5638.187148696119</v>
      </c>
      <c r="I80" s="65"/>
    </row>
    <row r="81" spans="1:9">
      <c r="A81" s="161" t="s">
        <v>152</v>
      </c>
      <c r="B81" s="162"/>
      <c r="C81" s="163"/>
      <c r="D81" s="66">
        <f>D80</f>
        <v>5638.187148696119</v>
      </c>
    </row>
    <row r="82" spans="1:9">
      <c r="A82" s="161" t="s">
        <v>153</v>
      </c>
      <c r="B82" s="162"/>
      <c r="C82" s="163"/>
      <c r="D82" s="67">
        <f>-D80/SUM(D70:G70)</f>
        <v>8.6487152393449218</v>
      </c>
    </row>
    <row r="84" spans="1:9">
      <c r="A84" s="160" t="s">
        <v>154</v>
      </c>
      <c r="B84" s="160"/>
      <c r="C84" s="160"/>
      <c r="D84" s="68">
        <f xml:space="preserve"> 7+(-K71/L70)</f>
        <v>7.4818309416369919</v>
      </c>
    </row>
    <row r="86" spans="1:9" s="3" customFormat="1">
      <c r="A86" s="2" t="s">
        <v>731</v>
      </c>
    </row>
    <row r="87" spans="1:9">
      <c r="E87" s="12"/>
      <c r="F87" s="12"/>
      <c r="G87" s="12"/>
      <c r="H87" s="12"/>
      <c r="I87" s="13"/>
    </row>
    <row r="88" spans="1:9" s="7" customFormat="1">
      <c r="A88" s="146" t="s">
        <v>739</v>
      </c>
      <c r="B88" s="10">
        <f>ASSUMPTIONS!B5</f>
        <v>0.1</v>
      </c>
      <c r="D88" s="9" t="s">
        <v>13</v>
      </c>
      <c r="E88" s="145">
        <f>ASSUMPTIONS!E5</f>
        <v>2</v>
      </c>
      <c r="H88" s="8"/>
    </row>
    <row r="89" spans="1:9">
      <c r="E89" s="12"/>
      <c r="F89" s="12"/>
      <c r="G89" s="12"/>
      <c r="H89" s="12"/>
      <c r="I89" s="13"/>
    </row>
    <row r="90" spans="1:9" s="7" customFormat="1">
      <c r="A90" s="244" t="s">
        <v>741</v>
      </c>
      <c r="B90" s="244"/>
      <c r="C90" s="244"/>
      <c r="D90" s="244"/>
      <c r="E90" s="244"/>
    </row>
    <row r="91" spans="1:9">
      <c r="E91" s="12"/>
      <c r="F91" s="12"/>
    </row>
    <row r="92" spans="1:9" ht="14.4" customHeight="1">
      <c r="A92" s="15" t="s">
        <v>17</v>
      </c>
      <c r="B92" s="15"/>
      <c r="C92" s="15"/>
      <c r="D92" s="15"/>
      <c r="E92" s="15"/>
      <c r="F92" s="7"/>
    </row>
    <row r="93" spans="1:9" ht="14.4" customHeight="1">
      <c r="A93" s="245" t="s">
        <v>18</v>
      </c>
      <c r="B93" s="245"/>
      <c r="C93" s="245"/>
      <c r="D93" s="245"/>
      <c r="E93" s="245"/>
    </row>
    <row r="94" spans="1:9" ht="14.4" customHeight="1">
      <c r="A94" s="471" t="s">
        <v>736</v>
      </c>
      <c r="B94" s="471"/>
      <c r="C94" s="471"/>
      <c r="D94" s="471"/>
      <c r="E94" s="19">
        <f>CHOOSE(E88,E102,E103,E104)</f>
        <v>3906.6525614555549</v>
      </c>
    </row>
    <row r="95" spans="1:9">
      <c r="A95" s="239" t="s">
        <v>129</v>
      </c>
      <c r="B95" s="239"/>
      <c r="C95" s="239"/>
      <c r="D95" s="239"/>
      <c r="E95" s="20">
        <f>CHOOSE(E88,E107,E108,E109)</f>
        <v>0.18</v>
      </c>
    </row>
    <row r="96" spans="1:9" ht="14.4" customHeight="1">
      <c r="A96" s="239" t="s">
        <v>149</v>
      </c>
      <c r="B96" s="239"/>
      <c r="C96" s="239"/>
      <c r="D96" s="239"/>
      <c r="E96" s="144">
        <f>(CHOOSE(E88,E117,E118,E119)*(1+CHOOSE(E88,E112,E113,E114))/((CHOOSE(E88,E107,E108,E109)-CHOOSE(E88,E112,E113,E114))))</f>
        <v>9062.56728533159</v>
      </c>
    </row>
    <row r="97" spans="1:11">
      <c r="A97" s="239" t="s">
        <v>150</v>
      </c>
      <c r="B97" s="239"/>
      <c r="C97" s="239"/>
      <c r="D97" s="239"/>
      <c r="E97" s="144">
        <f>E96/((1+CHOOSE(E88,E107,E108,E109))^N29)</f>
        <v>1731.5345872405644</v>
      </c>
    </row>
    <row r="98" spans="1:11" ht="15" thickBot="1">
      <c r="A98" s="242" t="s">
        <v>737</v>
      </c>
      <c r="B98" s="242"/>
      <c r="C98" s="242"/>
      <c r="D98" s="242"/>
      <c r="E98" s="21">
        <f xml:space="preserve"> SUM(E94,E97)/1000</f>
        <v>5.6381871486961188</v>
      </c>
      <c r="F98" s="14"/>
    </row>
    <row r="99" spans="1:11" s="7" customFormat="1" ht="15" thickTop="1">
      <c r="A99"/>
      <c r="B99"/>
      <c r="C99"/>
      <c r="D99"/>
      <c r="E99" s="14"/>
      <c r="F99" s="14"/>
    </row>
    <row r="100" spans="1:11">
      <c r="A100" s="15" t="s">
        <v>26</v>
      </c>
      <c r="B100" s="15"/>
      <c r="C100" s="15"/>
      <c r="D100" s="15"/>
      <c r="E100" s="15"/>
      <c r="F100" s="7"/>
    </row>
    <row r="101" spans="1:11">
      <c r="A101" s="240" t="s">
        <v>735</v>
      </c>
      <c r="B101" s="240"/>
      <c r="C101" s="240"/>
      <c r="D101" s="240"/>
      <c r="E101" s="14"/>
      <c r="F101" s="14"/>
    </row>
    <row r="102" spans="1:11">
      <c r="A102" s="239" t="s">
        <v>30</v>
      </c>
      <c r="B102" s="239"/>
      <c r="C102" s="239"/>
      <c r="D102" s="239"/>
      <c r="E102" s="19">
        <f>E103*(1+B88)</f>
        <v>4297.3178176011106</v>
      </c>
      <c r="F102" s="14"/>
    </row>
    <row r="103" spans="1:11">
      <c r="A103" s="239" t="s">
        <v>31</v>
      </c>
      <c r="B103" s="239"/>
      <c r="C103" s="239"/>
      <c r="D103" s="239"/>
      <c r="E103" s="19">
        <f>D78</f>
        <v>3906.6525614555549</v>
      </c>
      <c r="F103" s="14"/>
    </row>
    <row r="104" spans="1:11">
      <c r="A104" s="239" t="s">
        <v>32</v>
      </c>
      <c r="B104" s="239"/>
      <c r="C104" s="239"/>
      <c r="D104" s="239"/>
      <c r="E104" s="19">
        <f>E103*(1-B88)</f>
        <v>3515.9873053099996</v>
      </c>
      <c r="F104" s="14"/>
    </row>
    <row r="105" spans="1:11">
      <c r="E105" s="14"/>
      <c r="F105" s="14"/>
    </row>
    <row r="106" spans="1:11">
      <c r="A106" s="240" t="s">
        <v>733</v>
      </c>
      <c r="B106" s="240"/>
      <c r="C106" s="240"/>
      <c r="D106" s="240"/>
      <c r="E106" s="14"/>
      <c r="F106" s="14"/>
    </row>
    <row r="107" spans="1:11">
      <c r="A107" s="239" t="s">
        <v>30</v>
      </c>
      <c r="B107" s="239"/>
      <c r="C107" s="239"/>
      <c r="D107" s="239"/>
      <c r="E107" s="20">
        <f>E108*(1+B88)</f>
        <v>0.19800000000000001</v>
      </c>
      <c r="F107" s="14"/>
    </row>
    <row r="108" spans="1:11">
      <c r="A108" s="239" t="s">
        <v>31</v>
      </c>
      <c r="B108" s="239"/>
      <c r="C108" s="239"/>
      <c r="D108" s="239"/>
      <c r="E108" s="20">
        <f>D74</f>
        <v>0.18</v>
      </c>
      <c r="F108" s="14"/>
    </row>
    <row r="109" spans="1:11">
      <c r="A109" s="239" t="s">
        <v>32</v>
      </c>
      <c r="B109" s="239"/>
      <c r="C109" s="239"/>
      <c r="D109" s="239"/>
      <c r="E109" s="20">
        <f>E108*(1-B88)</f>
        <v>0.16200000000000001</v>
      </c>
    </row>
    <row r="110" spans="1:11">
      <c r="A110" s="25"/>
      <c r="B110" s="25"/>
      <c r="C110" s="25"/>
      <c r="D110" s="25"/>
      <c r="E110" s="13"/>
    </row>
    <row r="111" spans="1:11">
      <c r="A111" s="240" t="s">
        <v>734</v>
      </c>
      <c r="B111" s="240"/>
      <c r="C111" s="240"/>
      <c r="D111" s="240"/>
      <c r="E111" s="14"/>
      <c r="F111" s="14"/>
      <c r="K111" s="147"/>
    </row>
    <row r="112" spans="1:11">
      <c r="A112" s="239" t="s">
        <v>30</v>
      </c>
      <c r="B112" s="239"/>
      <c r="C112" s="239"/>
      <c r="D112" s="239"/>
      <c r="E112" s="20">
        <f>E113*(1+B88)</f>
        <v>3.8500000000000006E-2</v>
      </c>
      <c r="F112" s="14"/>
    </row>
    <row r="113" spans="1:6">
      <c r="A113" s="239" t="s">
        <v>31</v>
      </c>
      <c r="B113" s="239"/>
      <c r="C113" s="239"/>
      <c r="D113" s="239"/>
      <c r="E113" s="20">
        <f>D75</f>
        <v>3.5000000000000003E-2</v>
      </c>
      <c r="F113" s="14"/>
    </row>
    <row r="114" spans="1:6">
      <c r="A114" s="239" t="s">
        <v>32</v>
      </c>
      <c r="B114" s="239"/>
      <c r="C114" s="239"/>
      <c r="D114" s="239"/>
      <c r="E114" s="20">
        <f>E113*(1-B88)</f>
        <v>3.1500000000000007E-2</v>
      </c>
    </row>
    <row r="116" spans="1:6">
      <c r="A116" s="240" t="s">
        <v>738</v>
      </c>
      <c r="B116" s="240"/>
      <c r="C116" s="240"/>
      <c r="D116" s="240"/>
      <c r="E116" s="14"/>
    </row>
    <row r="117" spans="1:6">
      <c r="A117" s="239" t="s">
        <v>30</v>
      </c>
      <c r="B117" s="239"/>
      <c r="C117" s="239"/>
      <c r="D117" s="239"/>
      <c r="E117" s="144">
        <f>E118*(1+B88)</f>
        <v>1396.5985333433709</v>
      </c>
    </row>
    <row r="118" spans="1:6">
      <c r="A118" s="239" t="s">
        <v>31</v>
      </c>
      <c r="B118" s="239"/>
      <c r="C118" s="239"/>
      <c r="D118" s="239"/>
      <c r="E118" s="144">
        <f>N67</f>
        <v>1269.6350303121553</v>
      </c>
    </row>
    <row r="119" spans="1:6">
      <c r="A119" s="239" t="s">
        <v>32</v>
      </c>
      <c r="B119" s="239"/>
      <c r="C119" s="239"/>
      <c r="D119" s="239"/>
      <c r="E119" s="144">
        <f>E118*(1-B88)</f>
        <v>1142.6715272809399</v>
      </c>
    </row>
  </sheetData>
  <mergeCells count="106">
    <mergeCell ref="A4:D4"/>
    <mergeCell ref="E4:F4"/>
    <mergeCell ref="G4:H4"/>
    <mergeCell ref="E5:F5"/>
    <mergeCell ref="G5:H5"/>
    <mergeCell ref="A6:D6"/>
    <mergeCell ref="E6:F6"/>
    <mergeCell ref="G6:H6"/>
    <mergeCell ref="A2:D2"/>
    <mergeCell ref="E2:F2"/>
    <mergeCell ref="G2:H2"/>
    <mergeCell ref="A3:D3"/>
    <mergeCell ref="E3:F3"/>
    <mergeCell ref="G3:H3"/>
    <mergeCell ref="A10:D10"/>
    <mergeCell ref="E10:F10"/>
    <mergeCell ref="G10:H10"/>
    <mergeCell ref="E11:F11"/>
    <mergeCell ref="G11:H11"/>
    <mergeCell ref="A12:D12"/>
    <mergeCell ref="E12:F12"/>
    <mergeCell ref="G12:H12"/>
    <mergeCell ref="A7:D7"/>
    <mergeCell ref="E7:F7"/>
    <mergeCell ref="G7:H7"/>
    <mergeCell ref="E8:F8"/>
    <mergeCell ref="G8:H8"/>
    <mergeCell ref="A9:D9"/>
    <mergeCell ref="E9:F9"/>
    <mergeCell ref="G9:H9"/>
    <mergeCell ref="A16:D16"/>
    <mergeCell ref="E16:F16"/>
    <mergeCell ref="G16:H16"/>
    <mergeCell ref="E17:F17"/>
    <mergeCell ref="G17:H17"/>
    <mergeCell ref="A18:D18"/>
    <mergeCell ref="E18:F18"/>
    <mergeCell ref="G18:H18"/>
    <mergeCell ref="A13:D13"/>
    <mergeCell ref="E13:F13"/>
    <mergeCell ref="G13:H13"/>
    <mergeCell ref="E14:F14"/>
    <mergeCell ref="G14:H14"/>
    <mergeCell ref="A15:D15"/>
    <mergeCell ref="E15:F15"/>
    <mergeCell ref="G15:H15"/>
    <mergeCell ref="A19:D19"/>
    <mergeCell ref="E19:F19"/>
    <mergeCell ref="G19:H19"/>
    <mergeCell ref="E20:F20"/>
    <mergeCell ref="G20:H20"/>
    <mergeCell ref="A32:B32"/>
    <mergeCell ref="E22:F22"/>
    <mergeCell ref="G22:H22"/>
    <mergeCell ref="E23:F23"/>
    <mergeCell ref="G23:H23"/>
    <mergeCell ref="E24:F24"/>
    <mergeCell ref="G24:H24"/>
    <mergeCell ref="A50:B50"/>
    <mergeCell ref="A53:B53"/>
    <mergeCell ref="A56:B56"/>
    <mergeCell ref="A59:B59"/>
    <mergeCell ref="A62:B62"/>
    <mergeCell ref="A65:B65"/>
    <mergeCell ref="A35:B35"/>
    <mergeCell ref="A38:B38"/>
    <mergeCell ref="A41:B41"/>
    <mergeCell ref="A43:B43"/>
    <mergeCell ref="A45:B45"/>
    <mergeCell ref="A47:B47"/>
    <mergeCell ref="A93:E93"/>
    <mergeCell ref="A78:C78"/>
    <mergeCell ref="A80:C80"/>
    <mergeCell ref="A81:C81"/>
    <mergeCell ref="A82:C82"/>
    <mergeCell ref="A84:C84"/>
    <mergeCell ref="A68:B68"/>
    <mergeCell ref="A70:B70"/>
    <mergeCell ref="A74:C74"/>
    <mergeCell ref="A75:C75"/>
    <mergeCell ref="A76:C76"/>
    <mergeCell ref="A77:C77"/>
    <mergeCell ref="A116:D116"/>
    <mergeCell ref="A117:D117"/>
    <mergeCell ref="A118:D118"/>
    <mergeCell ref="A119:D119"/>
    <mergeCell ref="A97:D97"/>
    <mergeCell ref="A22:D22"/>
    <mergeCell ref="A23:D23"/>
    <mergeCell ref="A90:E90"/>
    <mergeCell ref="A113:D113"/>
    <mergeCell ref="A114:D114"/>
    <mergeCell ref="A111:D111"/>
    <mergeCell ref="A112:D112"/>
    <mergeCell ref="A108:D108"/>
    <mergeCell ref="A109:D109"/>
    <mergeCell ref="A106:D106"/>
    <mergeCell ref="A107:D107"/>
    <mergeCell ref="A103:D103"/>
    <mergeCell ref="A104:D104"/>
    <mergeCell ref="A101:D101"/>
    <mergeCell ref="A102:D102"/>
    <mergeCell ref="A96:D96"/>
    <mergeCell ref="A98:D98"/>
    <mergeCell ref="A94:D94"/>
    <mergeCell ref="A95:D95"/>
  </mergeCells>
  <dataValidations count="1">
    <dataValidation type="list" allowBlank="1" showInputMessage="1" showErrorMessage="1" sqref="E88" xr:uid="{51422CF8-3BDD-4CF5-B276-E96D1E5CCCA6}">
      <formula1>"1,2,3"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BF2F3D6AF76C344937E629F020C26BD" ma:contentTypeVersion="5" ma:contentTypeDescription="Create a new document." ma:contentTypeScope="" ma:versionID="e333bb995161caf06f70c1c8a578be33">
  <xsd:schema xmlns:xsd="http://www.w3.org/2001/XMLSchema" xmlns:xs="http://www.w3.org/2001/XMLSchema" xmlns:p="http://schemas.microsoft.com/office/2006/metadata/properties" xmlns:ns3="9044598c-7cca-44b6-bc60-594f66015de6" targetNamespace="http://schemas.microsoft.com/office/2006/metadata/properties" ma:root="true" ma:fieldsID="2c24c41957f7eb6e79ffb2de55e30fc6" ns3:_="">
    <xsd:import namespace="9044598c-7cca-44b6-bc60-594f66015de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44598c-7cca-44b6-bc60-594f66015de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044598c-7cca-44b6-bc60-594f66015de6" xsi:nil="true"/>
  </documentManagement>
</p:properties>
</file>

<file path=customXml/itemProps1.xml><?xml version="1.0" encoding="utf-8"?>
<ds:datastoreItem xmlns:ds="http://schemas.openxmlformats.org/officeDocument/2006/customXml" ds:itemID="{A3987AB2-7B5D-4079-B9BB-CF79A0DF21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CA62CA-6E78-4446-90C6-43B0C90A64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44598c-7cca-44b6-bc60-594f66015d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B11B56B-1485-4578-B936-C278EB5F8AC4}">
  <ds:schemaRefs>
    <ds:schemaRef ds:uri="http://purl.org/dc/terms/"/>
    <ds:schemaRef ds:uri="9044598c-7cca-44b6-bc60-594f66015de6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ASSUMPTIONS</vt:lpstr>
      <vt:lpstr>GIGA HEALTH</vt:lpstr>
      <vt:lpstr>GIGA EoR</vt:lpstr>
      <vt:lpstr>GIGA GPO</vt:lpstr>
      <vt:lpstr>GIGA FINANCE</vt:lpstr>
      <vt:lpstr>GIGA ADVISORY</vt:lpstr>
      <vt:lpstr>GIGA Rx</vt:lpstr>
      <vt:lpstr>EXEC.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Kodidasu V Siddharth</dc:creator>
  <cp:lastModifiedBy>Siddharth K V</cp:lastModifiedBy>
  <dcterms:created xsi:type="dcterms:W3CDTF">2025-07-30T17:33:46Z</dcterms:created>
  <dcterms:modified xsi:type="dcterms:W3CDTF">2025-08-05T10:31:31Z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0x0101008BF2F3D6AF76C344937E629F020C26BD</vt:lpwstr>
  </property>
</Properties>
</file>